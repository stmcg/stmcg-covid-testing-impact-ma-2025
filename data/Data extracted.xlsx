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mc:AlternateContent xmlns:mc="http://schemas.openxmlformats.org/markup-compatibility/2006">
    <mc:Choice Requires="x15">
      <x15ac:absPath xmlns:x15ac="http://schemas.microsoft.com/office/spreadsheetml/2010/11/ac" url="/Users/lukasbrummer/Dropbox/WHO SR clinical utility/Manuscript/Second revision/"/>
    </mc:Choice>
  </mc:AlternateContent>
  <xr:revisionPtr revIDLastSave="0" documentId="13_ncr:1_{3E63B2B5-51CD-DC46-BF18-FF1E125B5E29}" xr6:coauthVersionLast="47" xr6:coauthVersionMax="47" xr10:uidLastSave="{00000000-0000-0000-0000-000000000000}"/>
  <bookViews>
    <workbookView xWindow="0" yWindow="720" windowWidth="29400" windowHeight="18400" xr2:uid="{00000000-000D-0000-FFFF-FFFF00000000}"/>
  </bookViews>
  <sheets>
    <sheet name="References" sheetId="1" r:id="rId1"/>
    <sheet name="Quality assessment" sheetId="10" r:id="rId2"/>
    <sheet name="Data extracted" sheetId="3" r:id="rId3"/>
    <sheet name="Mapping" sheetId="12" r:id="rId4"/>
  </sheets>
  <definedNames>
    <definedName name="_xlnm._FilterDatabase" localSheetId="2" hidden="1">'Data extracted'!$A$3:$DJ$90</definedName>
    <definedName name="_xlnm._FilterDatabase" localSheetId="1" hidden="1">'Quality assessment'!$A$3:$AN$77</definedName>
    <definedName name="_xlnm._FilterDatabase" localSheetId="0" hidden="1">References!$A$1:$AB$62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L81" i="10" l="1"/>
  <c r="AK81" i="10"/>
  <c r="AJ81" i="10"/>
  <c r="AJ88" i="10"/>
  <c r="AJ86" i="10"/>
  <c r="AJ85" i="10"/>
  <c r="AK86" i="10"/>
  <c r="AK85" i="10"/>
  <c r="AL86" i="10"/>
  <c r="AL85" i="10"/>
  <c r="AM86" i="10"/>
  <c r="AM85" i="10"/>
  <c r="AM84" i="10"/>
  <c r="AL84" i="10"/>
  <c r="AK84" i="10"/>
  <c r="AJ84" i="10"/>
  <c r="AM81" i="10"/>
  <c r="AM4" i="10"/>
  <c r="AJ4" i="10"/>
  <c r="AJ5" i="10"/>
  <c r="AK5" i="10"/>
  <c r="AL5" i="10"/>
  <c r="AJ6" i="10"/>
  <c r="AK6" i="10"/>
  <c r="AL6" i="10"/>
  <c r="AJ7" i="10"/>
  <c r="AK7" i="10"/>
  <c r="AL7" i="10"/>
  <c r="AJ8" i="10"/>
  <c r="AK8" i="10"/>
  <c r="AL8" i="10"/>
  <c r="AJ9" i="10"/>
  <c r="AK9" i="10"/>
  <c r="AL9" i="10"/>
  <c r="AJ10" i="10"/>
  <c r="AK10" i="10"/>
  <c r="AL10" i="10"/>
  <c r="AJ11" i="10"/>
  <c r="AK11" i="10"/>
  <c r="AL11" i="10"/>
  <c r="AJ12" i="10"/>
  <c r="AK12" i="10"/>
  <c r="AL12" i="10"/>
  <c r="AJ13" i="10"/>
  <c r="AK13" i="10"/>
  <c r="AL13" i="10"/>
  <c r="AJ14" i="10"/>
  <c r="AK14" i="10"/>
  <c r="AL14" i="10"/>
  <c r="AJ15" i="10"/>
  <c r="AK15" i="10"/>
  <c r="AL15" i="10"/>
  <c r="AJ16" i="10"/>
  <c r="AK16" i="10"/>
  <c r="AL16" i="10"/>
  <c r="AJ17" i="10"/>
  <c r="AK17" i="10"/>
  <c r="AL17" i="10"/>
  <c r="AJ18" i="10"/>
  <c r="AK18" i="10"/>
  <c r="AL18" i="10"/>
  <c r="AJ19" i="10"/>
  <c r="AK19" i="10"/>
  <c r="AL19" i="10"/>
  <c r="AJ20" i="10"/>
  <c r="AK20" i="10"/>
  <c r="AL20" i="10"/>
  <c r="AJ21" i="10"/>
  <c r="AK21" i="10"/>
  <c r="AL21" i="10"/>
  <c r="AJ22" i="10"/>
  <c r="AK22" i="10"/>
  <c r="AL22" i="10"/>
  <c r="AJ23" i="10"/>
  <c r="AK23" i="10"/>
  <c r="AL23" i="10"/>
  <c r="AJ24" i="10"/>
  <c r="AK24" i="10"/>
  <c r="AL24" i="10"/>
  <c r="AJ25" i="10"/>
  <c r="AK25" i="10"/>
  <c r="AL25" i="10"/>
  <c r="AJ26" i="10"/>
  <c r="AK26" i="10"/>
  <c r="AL26" i="10"/>
  <c r="AJ27" i="10"/>
  <c r="AK27" i="10"/>
  <c r="AL27" i="10"/>
  <c r="AJ28" i="10"/>
  <c r="AK28" i="10"/>
  <c r="AL28" i="10"/>
  <c r="AJ29" i="10"/>
  <c r="AK29" i="10"/>
  <c r="AL29" i="10"/>
  <c r="AJ30" i="10"/>
  <c r="AK30" i="10"/>
  <c r="AL30" i="10"/>
  <c r="AJ31" i="10"/>
  <c r="AK31" i="10"/>
  <c r="AL31" i="10"/>
  <c r="AJ32" i="10"/>
  <c r="AK32" i="10"/>
  <c r="AL32" i="10"/>
  <c r="AJ33" i="10"/>
  <c r="AK33" i="10"/>
  <c r="AL33" i="10"/>
  <c r="AJ34" i="10"/>
  <c r="AK34" i="10"/>
  <c r="AL34" i="10"/>
  <c r="AJ35" i="10"/>
  <c r="AK35" i="10"/>
  <c r="AL35" i="10"/>
  <c r="AJ36" i="10"/>
  <c r="AK36" i="10"/>
  <c r="AL36" i="10"/>
  <c r="AJ37" i="10"/>
  <c r="AK37" i="10"/>
  <c r="AL37" i="10"/>
  <c r="AJ38" i="10"/>
  <c r="AK38" i="10"/>
  <c r="AL38" i="10"/>
  <c r="AJ39" i="10"/>
  <c r="AK39" i="10"/>
  <c r="AL39" i="10"/>
  <c r="AJ40" i="10"/>
  <c r="AK40" i="10"/>
  <c r="AL40" i="10"/>
  <c r="AJ41" i="10"/>
  <c r="AK41" i="10"/>
  <c r="AL41" i="10"/>
  <c r="AJ42" i="10"/>
  <c r="AK42" i="10"/>
  <c r="AL42" i="10"/>
  <c r="AJ43" i="10"/>
  <c r="AK43" i="10"/>
  <c r="AL43" i="10"/>
  <c r="AJ44" i="10"/>
  <c r="AK44" i="10"/>
  <c r="AL44" i="10"/>
  <c r="AJ45" i="10"/>
  <c r="AK45" i="10"/>
  <c r="AL45" i="10"/>
  <c r="AJ46" i="10"/>
  <c r="AK46" i="10"/>
  <c r="AL46" i="10"/>
  <c r="AJ47" i="10"/>
  <c r="AK47" i="10"/>
  <c r="AL47" i="10"/>
  <c r="AJ48" i="10"/>
  <c r="AK48" i="10"/>
  <c r="AL48" i="10"/>
  <c r="AJ49" i="10"/>
  <c r="AK49" i="10"/>
  <c r="AL49" i="10"/>
  <c r="AJ50" i="10"/>
  <c r="AK50" i="10"/>
  <c r="AL50" i="10"/>
  <c r="AJ51" i="10"/>
  <c r="AK51" i="10"/>
  <c r="AL51" i="10"/>
  <c r="AJ52" i="10"/>
  <c r="AK52" i="10"/>
  <c r="AL52" i="10"/>
  <c r="AJ53" i="10"/>
  <c r="AK53" i="10"/>
  <c r="AL53" i="10"/>
  <c r="AJ54" i="10"/>
  <c r="AK54" i="10"/>
  <c r="AL54" i="10"/>
  <c r="AJ55" i="10"/>
  <c r="AK55" i="10"/>
  <c r="AL55" i="10"/>
  <c r="AJ56" i="10"/>
  <c r="AK56" i="10"/>
  <c r="AL56" i="10"/>
  <c r="AJ57" i="10"/>
  <c r="AK57" i="10"/>
  <c r="AL57" i="10"/>
  <c r="AJ58" i="10"/>
  <c r="AK58" i="10"/>
  <c r="AL58" i="10"/>
  <c r="AJ59" i="10"/>
  <c r="AK59" i="10"/>
  <c r="AL59" i="10"/>
  <c r="AJ60" i="10"/>
  <c r="AK60" i="10"/>
  <c r="AL60" i="10"/>
  <c r="AJ61" i="10"/>
  <c r="AK61" i="10"/>
  <c r="AL61" i="10"/>
  <c r="AJ62" i="10"/>
  <c r="AK62" i="10"/>
  <c r="AL62" i="10"/>
  <c r="AJ63" i="10"/>
  <c r="AK63" i="10"/>
  <c r="AL63" i="10"/>
  <c r="AJ64" i="10"/>
  <c r="AK64" i="10"/>
  <c r="AL64" i="10"/>
  <c r="AJ65" i="10"/>
  <c r="AK65" i="10"/>
  <c r="AL65" i="10"/>
  <c r="AJ66" i="10"/>
  <c r="AK66" i="10"/>
  <c r="AL66" i="10"/>
  <c r="AJ67" i="10"/>
  <c r="AK67" i="10"/>
  <c r="AL67" i="10"/>
  <c r="AJ68" i="10"/>
  <c r="AK68" i="10"/>
  <c r="AL68" i="10"/>
  <c r="AJ69" i="10"/>
  <c r="AK69" i="10"/>
  <c r="AL69" i="10"/>
  <c r="AJ70" i="10"/>
  <c r="AK70" i="10"/>
  <c r="AL70" i="10"/>
  <c r="AJ71" i="10"/>
  <c r="AK71" i="10"/>
  <c r="AL71" i="10"/>
  <c r="AJ72" i="10"/>
  <c r="AK72" i="10"/>
  <c r="AL72" i="10"/>
  <c r="AJ73" i="10"/>
  <c r="AK73" i="10"/>
  <c r="AL73" i="10"/>
  <c r="AJ74" i="10"/>
  <c r="AK74" i="10"/>
  <c r="AL74" i="10"/>
  <c r="AJ75" i="10"/>
  <c r="AK75" i="10"/>
  <c r="AL75" i="10"/>
  <c r="AJ76" i="10"/>
  <c r="AK76" i="10"/>
  <c r="AL76" i="10"/>
  <c r="AJ77" i="10"/>
  <c r="AK77" i="10"/>
  <c r="AL77" i="10"/>
  <c r="AL4" i="10"/>
  <c r="AK4" i="10"/>
  <c r="AA97" i="3"/>
  <c r="G94" i="3"/>
  <c r="AB94" i="3"/>
  <c r="AA94" i="3"/>
  <c r="N82" i="3" l="1"/>
  <c r="AA102" i="3" l="1"/>
  <c r="G95" i="3"/>
  <c r="AM69" i="10"/>
  <c r="AM70" i="10"/>
  <c r="AM73" i="10"/>
  <c r="AM72" i="10" l="1"/>
  <c r="AM76" i="10"/>
  <c r="AM71" i="10"/>
  <c r="AM77" i="10"/>
  <c r="AO95" i="3"/>
  <c r="AO94" i="3"/>
  <c r="AO93" i="3"/>
  <c r="AA101" i="3"/>
  <c r="AA100" i="3"/>
  <c r="AA99" i="3"/>
  <c r="AA98" i="3"/>
  <c r="G98" i="3"/>
  <c r="G96" i="3"/>
  <c r="G97" i="3"/>
  <c r="L90" i="3" l="1"/>
  <c r="N90" i="3" l="1"/>
  <c r="N89" i="3"/>
  <c r="L88" i="3"/>
  <c r="AQ87" i="3"/>
  <c r="AQ86" i="3"/>
  <c r="BL85" i="3"/>
  <c r="N85" i="3"/>
  <c r="BL84" i="3"/>
  <c r="AY84" i="3"/>
  <c r="AQ84" i="3"/>
  <c r="BL83" i="3"/>
  <c r="AY83" i="3"/>
  <c r="AQ83" i="3"/>
  <c r="N83" i="3"/>
  <c r="AQ82" i="3"/>
  <c r="AQ81" i="3"/>
  <c r="N81" i="3"/>
  <c r="AY80" i="3"/>
  <c r="N80" i="3"/>
  <c r="N88" i="3" l="1"/>
  <c r="AM74" i="10"/>
  <c r="AM75" i="10" l="1"/>
  <c r="AQ79" i="3" l="1"/>
  <c r="AQ78" i="3"/>
  <c r="AQ77" i="3"/>
  <c r="AQ76" i="3"/>
  <c r="AQ75" i="3"/>
  <c r="AQ74" i="3"/>
  <c r="AQ70" i="3"/>
  <c r="AQ69" i="3"/>
  <c r="AQ65" i="3"/>
  <c r="AQ63" i="3"/>
  <c r="AQ57" i="3"/>
  <c r="AQ56" i="3"/>
  <c r="AQ55" i="3"/>
  <c r="AQ52" i="3"/>
  <c r="AQ50" i="3"/>
  <c r="AQ49" i="3"/>
  <c r="AQ48" i="3"/>
  <c r="AQ45" i="3"/>
  <c r="AQ43" i="3"/>
  <c r="AQ42" i="3"/>
  <c r="AQ38" i="3"/>
  <c r="AQ37" i="3"/>
  <c r="AQ32" i="3"/>
  <c r="AQ31" i="3"/>
  <c r="AQ18" i="3"/>
  <c r="AR18" i="3" s="1"/>
  <c r="AQ17" i="3"/>
  <c r="AQ15" i="3"/>
  <c r="AQ9" i="3"/>
  <c r="AQ8" i="3"/>
  <c r="AQ7" i="3"/>
  <c r="BX79" i="3" l="1"/>
  <c r="BS79" i="3"/>
  <c r="BK79" i="3"/>
  <c r="BF79" i="3"/>
  <c r="AY79" i="3"/>
  <c r="AD79" i="3"/>
  <c r="N79" i="3"/>
  <c r="BN79" i="3" s="1"/>
  <c r="BL79" i="3" s="1"/>
  <c r="BX78" i="3"/>
  <c r="BS78" i="3"/>
  <c r="BK78" i="3"/>
  <c r="BF78" i="3"/>
  <c r="AY78" i="3"/>
  <c r="AD78" i="3"/>
  <c r="N78" i="3"/>
  <c r="BN78" i="3" s="1"/>
  <c r="BL78" i="3" s="1"/>
  <c r="BX77" i="3"/>
  <c r="BS77" i="3"/>
  <c r="BK77" i="3"/>
  <c r="BF77" i="3"/>
  <c r="AY77" i="3"/>
  <c r="AD77" i="3"/>
  <c r="N77" i="3"/>
  <c r="BN77" i="3" s="1"/>
  <c r="BL77" i="3" s="1"/>
  <c r="BX76" i="3"/>
  <c r="BS76" i="3"/>
  <c r="BK76" i="3"/>
  <c r="BF76" i="3"/>
  <c r="AY76" i="3"/>
  <c r="AD76" i="3"/>
  <c r="N76" i="3"/>
  <c r="BN76" i="3" s="1"/>
  <c r="BL76" i="3" s="1"/>
  <c r="BX75" i="3"/>
  <c r="BS75" i="3"/>
  <c r="BL75" i="3"/>
  <c r="BK75" i="3"/>
  <c r="BF75" i="3"/>
  <c r="AY75" i="3"/>
  <c r="AD75" i="3"/>
  <c r="N75" i="3"/>
  <c r="BX74" i="3"/>
  <c r="BS74" i="3"/>
  <c r="BL74" i="3"/>
  <c r="BK74" i="3"/>
  <c r="BF74" i="3"/>
  <c r="AD74" i="3"/>
  <c r="N74" i="3"/>
  <c r="BX73" i="3"/>
  <c r="BS73" i="3"/>
  <c r="BL73" i="3"/>
  <c r="BK73" i="3"/>
  <c r="BF73" i="3"/>
  <c r="AD73" i="3"/>
  <c r="N73" i="3"/>
  <c r="BX72" i="3"/>
  <c r="BS72" i="3"/>
  <c r="BL72" i="3"/>
  <c r="BK72" i="3"/>
  <c r="BF72" i="3"/>
  <c r="AR72" i="3"/>
  <c r="AD72" i="3"/>
  <c r="N72" i="3"/>
  <c r="BX71" i="3"/>
  <c r="BS71" i="3"/>
  <c r="BL71" i="3"/>
  <c r="BK71" i="3"/>
  <c r="BF71" i="3"/>
  <c r="AR71" i="3"/>
  <c r="AD71" i="3"/>
  <c r="N71" i="3"/>
  <c r="BX70" i="3"/>
  <c r="BS70" i="3"/>
  <c r="BL70" i="3"/>
  <c r="BK70" i="3"/>
  <c r="BF70" i="3"/>
  <c r="AD70" i="3"/>
  <c r="N70" i="3"/>
  <c r="BX69" i="3"/>
  <c r="BS69" i="3"/>
  <c r="BL69" i="3"/>
  <c r="BK69" i="3"/>
  <c r="BF69" i="3"/>
  <c r="AD69" i="3"/>
  <c r="N69" i="3"/>
  <c r="BX68" i="3"/>
  <c r="BS68" i="3"/>
  <c r="BL68" i="3"/>
  <c r="BK68" i="3"/>
  <c r="BF68" i="3"/>
  <c r="AD68" i="3"/>
  <c r="BX67" i="3"/>
  <c r="BS67" i="3"/>
  <c r="BL67" i="3"/>
  <c r="BK67" i="3"/>
  <c r="BF67" i="3"/>
  <c r="AY67" i="3"/>
  <c r="AD67" i="3"/>
  <c r="N67" i="3"/>
  <c r="BX66" i="3"/>
  <c r="BS66" i="3"/>
  <c r="BK66" i="3"/>
  <c r="BF66" i="3"/>
  <c r="AY66" i="3"/>
  <c r="AR66" i="3"/>
  <c r="AD66" i="3"/>
  <c r="N66" i="3"/>
  <c r="BX65" i="3"/>
  <c r="BS65" i="3"/>
  <c r="BL65" i="3"/>
  <c r="BK65" i="3"/>
  <c r="BF65" i="3"/>
  <c r="AY65" i="3"/>
  <c r="AD65" i="3"/>
  <c r="N65" i="3"/>
  <c r="BX64" i="3"/>
  <c r="BS64" i="3"/>
  <c r="BL64" i="3"/>
  <c r="BK64" i="3"/>
  <c r="BF64" i="3"/>
  <c r="AY64" i="3"/>
  <c r="AD64" i="3"/>
  <c r="N64" i="3"/>
  <c r="BX63" i="3"/>
  <c r="BS63" i="3"/>
  <c r="BL63" i="3"/>
  <c r="BK63" i="3"/>
  <c r="BF63" i="3"/>
  <c r="AR63" i="3"/>
  <c r="AD63" i="3"/>
  <c r="N63" i="3"/>
  <c r="BX62" i="3"/>
  <c r="BV62" i="3"/>
  <c r="BS62" i="3" s="1"/>
  <c r="BL62" i="3"/>
  <c r="BK62" i="3"/>
  <c r="BF62" i="3"/>
  <c r="AY62" i="3"/>
  <c r="AR62" i="3"/>
  <c r="AD62" i="3"/>
  <c r="N62" i="3"/>
  <c r="BX61" i="3"/>
  <c r="BS61" i="3"/>
  <c r="BL61" i="3"/>
  <c r="BK61" i="3"/>
  <c r="BF61" i="3"/>
  <c r="AY61" i="3"/>
  <c r="AD61" i="3"/>
  <c r="N61" i="3"/>
  <c r="BX60" i="3"/>
  <c r="BS60" i="3"/>
  <c r="BL60" i="3"/>
  <c r="BK60" i="3"/>
  <c r="BF60" i="3"/>
  <c r="AY60" i="3"/>
  <c r="AD60" i="3"/>
  <c r="N60" i="3"/>
  <c r="BX59" i="3"/>
  <c r="BS59" i="3"/>
  <c r="BL59" i="3"/>
  <c r="BK59" i="3"/>
  <c r="BF59" i="3"/>
  <c r="AY59" i="3"/>
  <c r="AD59" i="3"/>
  <c r="N59" i="3"/>
  <c r="BX58" i="3"/>
  <c r="BS58" i="3"/>
  <c r="BL58" i="3"/>
  <c r="BK58" i="3"/>
  <c r="BF58" i="3"/>
  <c r="AR58" i="3"/>
  <c r="AD58" i="3"/>
  <c r="N58" i="3"/>
  <c r="BX57" i="3"/>
  <c r="BS57" i="3"/>
  <c r="BL57" i="3"/>
  <c r="BK57" i="3"/>
  <c r="BF57" i="3"/>
  <c r="AD57" i="3"/>
  <c r="BX56" i="3"/>
  <c r="BS56" i="3"/>
  <c r="BL56" i="3"/>
  <c r="BK56" i="3"/>
  <c r="BF56" i="3"/>
  <c r="AD56" i="3"/>
  <c r="N56" i="3"/>
  <c r="BX55" i="3"/>
  <c r="BS55" i="3"/>
  <c r="BL55" i="3"/>
  <c r="BK55" i="3"/>
  <c r="BF55" i="3"/>
  <c r="BA55" i="3"/>
  <c r="AR55" i="3"/>
  <c r="AD55" i="3"/>
  <c r="N55" i="3"/>
  <c r="BX54" i="3"/>
  <c r="BS54" i="3"/>
  <c r="BL54" i="3"/>
  <c r="BK54" i="3"/>
  <c r="BF54" i="3"/>
  <c r="AC54" i="3"/>
  <c r="AD54" i="3" s="1"/>
  <c r="N54" i="3"/>
  <c r="BX53" i="3"/>
  <c r="BS53" i="3"/>
  <c r="BL53" i="3"/>
  <c r="BK53" i="3"/>
  <c r="BF53" i="3"/>
  <c r="AR53" i="3"/>
  <c r="AD53" i="3"/>
  <c r="N53" i="3"/>
  <c r="BX52" i="3"/>
  <c r="BS52" i="3"/>
  <c r="BL52" i="3"/>
  <c r="BK52" i="3"/>
  <c r="BF52" i="3"/>
  <c r="AD52" i="3"/>
  <c r="N52" i="3"/>
  <c r="BX51" i="3"/>
  <c r="BS51" i="3"/>
  <c r="BL51" i="3"/>
  <c r="BK51" i="3"/>
  <c r="BF51" i="3"/>
  <c r="AR51" i="3"/>
  <c r="AD51" i="3"/>
  <c r="N51" i="3"/>
  <c r="BX50" i="3"/>
  <c r="BL50" i="3"/>
  <c r="BK50" i="3"/>
  <c r="BF50" i="3"/>
  <c r="AD50" i="3"/>
  <c r="N50" i="3"/>
  <c r="BX49" i="3"/>
  <c r="BS49" i="3"/>
  <c r="BL49" i="3"/>
  <c r="BK49" i="3"/>
  <c r="BF49" i="3"/>
  <c r="AD49" i="3"/>
  <c r="N49" i="3"/>
  <c r="BX48" i="3"/>
  <c r="BS48" i="3"/>
  <c r="BK48" i="3"/>
  <c r="BF48" i="3"/>
  <c r="AT48" i="3"/>
  <c r="AR48" i="3"/>
  <c r="AD48" i="3"/>
  <c r="N48" i="3"/>
  <c r="BX47" i="3"/>
  <c r="BS47" i="3"/>
  <c r="BL47" i="3"/>
  <c r="BK47" i="3"/>
  <c r="BF47" i="3"/>
  <c r="AD47" i="3"/>
  <c r="N47" i="3"/>
  <c r="BX46" i="3"/>
  <c r="BS46" i="3"/>
  <c r="BL46" i="3"/>
  <c r="BK46" i="3"/>
  <c r="BF46" i="3"/>
  <c r="AD46" i="3"/>
  <c r="N46" i="3"/>
  <c r="BX45" i="3"/>
  <c r="BS45" i="3"/>
  <c r="BL45" i="3"/>
  <c r="BK45" i="3"/>
  <c r="BF45" i="3"/>
  <c r="AR45" i="3"/>
  <c r="AD45" i="3"/>
  <c r="N45" i="3"/>
  <c r="BX44" i="3"/>
  <c r="BS44" i="3"/>
  <c r="BL44" i="3"/>
  <c r="BK44" i="3"/>
  <c r="BF44" i="3"/>
  <c r="AD44" i="3"/>
  <c r="M44" i="3"/>
  <c r="BX43" i="3"/>
  <c r="BS43" i="3"/>
  <c r="BL43" i="3"/>
  <c r="BK43" i="3"/>
  <c r="AD43" i="3"/>
  <c r="N43" i="3"/>
  <c r="BX42" i="3"/>
  <c r="BS42" i="3"/>
  <c r="BN42" i="3"/>
  <c r="BL42" i="3" s="1"/>
  <c r="BK42" i="3"/>
  <c r="BF42" i="3"/>
  <c r="AY42" i="3"/>
  <c r="AR42" i="3"/>
  <c r="AD42" i="3"/>
  <c r="N42" i="3"/>
  <c r="BX41" i="3"/>
  <c r="BS41" i="3"/>
  <c r="BL41" i="3"/>
  <c r="BK41" i="3"/>
  <c r="BF41" i="3"/>
  <c r="AD41" i="3"/>
  <c r="N41" i="3"/>
  <c r="BX40" i="3"/>
  <c r="BS40" i="3"/>
  <c r="BL40" i="3"/>
  <c r="BK40" i="3"/>
  <c r="BF40" i="3"/>
  <c r="AR40" i="3"/>
  <c r="AD40" i="3"/>
  <c r="N40" i="3"/>
  <c r="BX39" i="3"/>
  <c r="BS39" i="3"/>
  <c r="BL39" i="3"/>
  <c r="BK39" i="3"/>
  <c r="BF39" i="3"/>
  <c r="AD39" i="3"/>
  <c r="N39" i="3"/>
  <c r="BX38" i="3"/>
  <c r="BS38" i="3"/>
  <c r="BL38" i="3"/>
  <c r="BK38" i="3"/>
  <c r="BF38" i="3"/>
  <c r="AD38" i="3"/>
  <c r="N38" i="3"/>
  <c r="BX37" i="3"/>
  <c r="BS37" i="3"/>
  <c r="BL37" i="3"/>
  <c r="BK37" i="3"/>
  <c r="BF37" i="3"/>
  <c r="AY37" i="3"/>
  <c r="AD37" i="3"/>
  <c r="BX36" i="3"/>
  <c r="BS36" i="3"/>
  <c r="BL36" i="3"/>
  <c r="BK36" i="3"/>
  <c r="BF36" i="3"/>
  <c r="AY36" i="3"/>
  <c r="AD36" i="3"/>
  <c r="BX35" i="3"/>
  <c r="BS35" i="3"/>
  <c r="BL35" i="3"/>
  <c r="BK35" i="3"/>
  <c r="BF35" i="3"/>
  <c r="AY35" i="3"/>
  <c r="AD35" i="3"/>
  <c r="BX34" i="3"/>
  <c r="BS34" i="3"/>
  <c r="BL34" i="3"/>
  <c r="BK34" i="3"/>
  <c r="BF34" i="3"/>
  <c r="AY34" i="3"/>
  <c r="AD34" i="3"/>
  <c r="BX33" i="3"/>
  <c r="BS33" i="3"/>
  <c r="BL33" i="3"/>
  <c r="BK33" i="3"/>
  <c r="BF33" i="3"/>
  <c r="AY33" i="3"/>
  <c r="AD33" i="3"/>
  <c r="M33" i="3"/>
  <c r="BX32" i="3"/>
  <c r="BS32" i="3"/>
  <c r="BL32" i="3"/>
  <c r="BK32" i="3"/>
  <c r="BF32" i="3"/>
  <c r="AR32" i="3"/>
  <c r="AD32" i="3"/>
  <c r="N32" i="3"/>
  <c r="BX31" i="3"/>
  <c r="BS31" i="3"/>
  <c r="BL31" i="3"/>
  <c r="BK31" i="3"/>
  <c r="BF31" i="3"/>
  <c r="AY31" i="3"/>
  <c r="AD31" i="3"/>
  <c r="BX30" i="3"/>
  <c r="BS30" i="3"/>
  <c r="BL30" i="3"/>
  <c r="BK30" i="3"/>
  <c r="BF30" i="3"/>
  <c r="AY30" i="3"/>
  <c r="AP30" i="3"/>
  <c r="AD30" i="3"/>
  <c r="N30" i="3"/>
  <c r="BX29" i="3"/>
  <c r="BS29" i="3"/>
  <c r="BL29" i="3"/>
  <c r="BK29" i="3"/>
  <c r="BF29" i="3"/>
  <c r="AY29" i="3"/>
  <c r="AD29" i="3"/>
  <c r="N29" i="3"/>
  <c r="BX28" i="3"/>
  <c r="BS28" i="3"/>
  <c r="BL28" i="3"/>
  <c r="BK28" i="3"/>
  <c r="BF28" i="3"/>
  <c r="AY28" i="3"/>
  <c r="AD28" i="3"/>
  <c r="N28" i="3"/>
  <c r="BX27" i="3"/>
  <c r="BS27" i="3"/>
  <c r="BL27" i="3"/>
  <c r="BK27" i="3"/>
  <c r="BF27" i="3"/>
  <c r="AD27" i="3"/>
  <c r="N27" i="3"/>
  <c r="BX26" i="3"/>
  <c r="BS26" i="3"/>
  <c r="BL26" i="3"/>
  <c r="BK26" i="3"/>
  <c r="BF26" i="3"/>
  <c r="AD26" i="3"/>
  <c r="N26" i="3"/>
  <c r="BX25" i="3"/>
  <c r="BS25" i="3"/>
  <c r="BL25" i="3"/>
  <c r="BK25" i="3"/>
  <c r="BF25" i="3"/>
  <c r="AD25" i="3"/>
  <c r="N25" i="3"/>
  <c r="BX24" i="3"/>
  <c r="BS24" i="3"/>
  <c r="BL24" i="3"/>
  <c r="BK24" i="3"/>
  <c r="BF24" i="3"/>
  <c r="AD24" i="3"/>
  <c r="N24" i="3"/>
  <c r="BX23" i="3"/>
  <c r="BS23" i="3"/>
  <c r="BL23" i="3"/>
  <c r="BK23" i="3"/>
  <c r="BF23" i="3"/>
  <c r="AD23" i="3"/>
  <c r="N23" i="3"/>
  <c r="BX22" i="3"/>
  <c r="BS22" i="3"/>
  <c r="BL22" i="3"/>
  <c r="BK22" i="3"/>
  <c r="BF22" i="3"/>
  <c r="AD22" i="3"/>
  <c r="N22" i="3"/>
  <c r="BX21" i="3"/>
  <c r="BS21" i="3"/>
  <c r="BM21" i="3"/>
  <c r="BL21" i="3" s="1"/>
  <c r="BK21" i="3"/>
  <c r="BF21" i="3"/>
  <c r="AR21" i="3"/>
  <c r="AD21" i="3"/>
  <c r="N21" i="3"/>
  <c r="BX20" i="3"/>
  <c r="BS20" i="3"/>
  <c r="BK20" i="3"/>
  <c r="BF20" i="3"/>
  <c r="AY20" i="3"/>
  <c r="AD20" i="3"/>
  <c r="N20" i="3"/>
  <c r="BX19" i="3"/>
  <c r="BS19" i="3"/>
  <c r="BL19" i="3"/>
  <c r="BK19" i="3"/>
  <c r="BF19" i="3"/>
  <c r="AD19" i="3"/>
  <c r="BX18" i="3"/>
  <c r="BS18" i="3"/>
  <c r="BL18" i="3"/>
  <c r="BK18" i="3"/>
  <c r="BF18" i="3"/>
  <c r="AY18" i="3"/>
  <c r="AD18" i="3"/>
  <c r="X18" i="3"/>
  <c r="W18" i="3"/>
  <c r="N18" i="3"/>
  <c r="BX17" i="3"/>
  <c r="BS17" i="3"/>
  <c r="BL17" i="3"/>
  <c r="BK17" i="3"/>
  <c r="BF17" i="3"/>
  <c r="AY17" i="3"/>
  <c r="AR17" i="3"/>
  <c r="AD17" i="3"/>
  <c r="X17" i="3"/>
  <c r="W17" i="3"/>
  <c r="N17" i="3"/>
  <c r="CS16" i="3"/>
  <c r="BX16" i="3"/>
  <c r="BS16" i="3"/>
  <c r="BL16" i="3"/>
  <c r="BK16" i="3"/>
  <c r="BF16" i="3"/>
  <c r="AD16" i="3"/>
  <c r="BX15" i="3"/>
  <c r="BS15" i="3"/>
  <c r="BL15" i="3"/>
  <c r="BK15" i="3"/>
  <c r="BF15" i="3"/>
  <c r="AY15" i="3"/>
  <c r="AR15" i="3"/>
  <c r="AD15" i="3"/>
  <c r="N15" i="3"/>
  <c r="BX14" i="3"/>
  <c r="BS14" i="3"/>
  <c r="BL14" i="3"/>
  <c r="BK14" i="3"/>
  <c r="BF14" i="3"/>
  <c r="AY14" i="3"/>
  <c r="AD14" i="3"/>
  <c r="N14" i="3"/>
  <c r="BX13" i="3"/>
  <c r="BL13" i="3"/>
  <c r="BK13" i="3"/>
  <c r="BF13" i="3"/>
  <c r="AR13" i="3"/>
  <c r="AD13" i="3"/>
  <c r="N13" i="3"/>
  <c r="BX12" i="3"/>
  <c r="BL12" i="3"/>
  <c r="BK12" i="3"/>
  <c r="BF12" i="3"/>
  <c r="AR12" i="3"/>
  <c r="AD12" i="3"/>
  <c r="N12" i="3"/>
  <c r="BX11" i="3"/>
  <c r="BL11" i="3"/>
  <c r="BK11" i="3"/>
  <c r="BF11" i="3"/>
  <c r="AR11" i="3"/>
  <c r="AD11" i="3"/>
  <c r="N11" i="3"/>
  <c r="BX10" i="3"/>
  <c r="BL10" i="3"/>
  <c r="BK10" i="3"/>
  <c r="BF10" i="3"/>
  <c r="AR10" i="3"/>
  <c r="AD10" i="3"/>
  <c r="N10" i="3"/>
  <c r="BX9" i="3"/>
  <c r="BS9" i="3"/>
  <c r="BK9" i="3"/>
  <c r="BF9" i="3"/>
  <c r="AD9" i="3"/>
  <c r="N9" i="3"/>
  <c r="BX8" i="3"/>
  <c r="BS8" i="3"/>
  <c r="BK8" i="3"/>
  <c r="BF8" i="3"/>
  <c r="AD8" i="3"/>
  <c r="N8" i="3"/>
  <c r="BX7" i="3"/>
  <c r="BS7" i="3"/>
  <c r="BL7" i="3"/>
  <c r="BK7" i="3"/>
  <c r="BF7" i="3"/>
  <c r="AD7" i="3"/>
  <c r="N7" i="3"/>
  <c r="BX6" i="3"/>
  <c r="BS6" i="3"/>
  <c r="BL6" i="3"/>
  <c r="BK6" i="3"/>
  <c r="BF6" i="3"/>
  <c r="AY6" i="3"/>
  <c r="AD6" i="3"/>
  <c r="N6" i="3"/>
  <c r="BX5" i="3"/>
  <c r="BS5" i="3"/>
  <c r="BN5" i="3"/>
  <c r="BL5" i="3" s="1"/>
  <c r="BK5" i="3"/>
  <c r="BF5" i="3"/>
  <c r="BA5" i="3"/>
  <c r="AY5" i="3" s="1"/>
  <c r="AD5" i="3"/>
  <c r="N5" i="3"/>
  <c r="BX4" i="3"/>
  <c r="BS4" i="3"/>
  <c r="BN4" i="3"/>
  <c r="BL4" i="3" s="1"/>
  <c r="BK4" i="3"/>
  <c r="BF4" i="3"/>
  <c r="BA4" i="3"/>
  <c r="AY4" i="3" s="1"/>
  <c r="AD4" i="3"/>
  <c r="N4" i="3"/>
  <c r="AR30" i="3" l="1"/>
  <c r="N33" i="3"/>
  <c r="AR44" i="3"/>
  <c r="N44" i="3"/>
  <c r="N94" i="3" l="1"/>
  <c r="AC94" i="3"/>
  <c r="AK90" i="10"/>
  <c r="AK88" i="10"/>
  <c r="AK89" i="10" s="1"/>
  <c r="AC95" i="3" l="1"/>
  <c r="AA95" i="3"/>
  <c r="AB95" i="3"/>
  <c r="AL88" i="10"/>
  <c r="AL89" i="10" s="1"/>
  <c r="AJ90" i="10"/>
  <c r="AJ89" i="10"/>
  <c r="AL90" i="10"/>
  <c r="AM65" i="10"/>
  <c r="AM68" i="10" l="1"/>
  <c r="AM67" i="10"/>
  <c r="AM66" i="10" l="1"/>
  <c r="AM64" i="10"/>
  <c r="AM49" i="10" l="1"/>
  <c r="AM44" i="10"/>
  <c r="AM47" i="10"/>
  <c r="AM59" i="10"/>
  <c r="AM48" i="10"/>
  <c r="AM61" i="10"/>
  <c r="AM51" i="10"/>
  <c r="AM62" i="10"/>
  <c r="AM55" i="10"/>
  <c r="AM50" i="10"/>
  <c r="AM46" i="10"/>
  <c r="AM54" i="10"/>
  <c r="AM60" i="10"/>
  <c r="AM56" i="10"/>
  <c r="AM58" i="10"/>
  <c r="AM57" i="10"/>
  <c r="AM63" i="10"/>
  <c r="AM52" i="10"/>
  <c r="AM53" i="10"/>
  <c r="AM43" i="10"/>
  <c r="AM45" i="10"/>
  <c r="AM42" i="10"/>
  <c r="AM26" i="10" l="1"/>
  <c r="AM41" i="10"/>
  <c r="AM32" i="10"/>
  <c r="AM22" i="10"/>
  <c r="AM15" i="10"/>
  <c r="AM21" i="10"/>
  <c r="AM18" i="10"/>
  <c r="AM25" i="10"/>
  <c r="AM30" i="10"/>
  <c r="AM8" i="10"/>
  <c r="AM20" i="10"/>
  <c r="AM19" i="10"/>
  <c r="AM16" i="10"/>
  <c r="AM13" i="10"/>
  <c r="AM10" i="10"/>
  <c r="AM11" i="10"/>
  <c r="AM9" i="10"/>
  <c r="AM6" i="10"/>
  <c r="AM36" i="10"/>
  <c r="AM29" i="10"/>
  <c r="AM27" i="10"/>
  <c r="AM12" i="10"/>
  <c r="AM5" i="10"/>
  <c r="AM7" i="10"/>
  <c r="AM14" i="10"/>
  <c r="AM23" i="10"/>
  <c r="AM39" i="10"/>
  <c r="AM38" i="10"/>
  <c r="AM31" i="10"/>
  <c r="AM33" i="10"/>
  <c r="AM40" i="10"/>
  <c r="AM34" i="10"/>
  <c r="AM24" i="10"/>
  <c r="AM17" i="10"/>
  <c r="AM37" i="10"/>
  <c r="AM28" i="10"/>
  <c r="AM35" i="10"/>
  <c r="AM88" i="10" l="1"/>
  <c r="AN86" i="10"/>
  <c r="AM90" i="10"/>
  <c r="AN90" i="10" s="1"/>
  <c r="AK92" i="10"/>
  <c r="AJ92" i="10"/>
  <c r="AL92" i="10"/>
  <c r="AM89" i="10" l="1"/>
  <c r="AM92" i="10" s="1"/>
  <c r="AN85" i="10"/>
  <c r="AN84" i="10"/>
  <c r="AN88" i="10"/>
  <c r="AN89" i="10" l="1"/>
  <c r="AN92"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Lukas Brümmer</author>
  </authors>
  <commentList>
    <comment ref="B3" authorId="0" shapeId="0" xr:uid="{6C23C346-2DB6-834B-B215-6316FCC5C8DF}">
      <text>
        <r>
          <rPr>
            <sz val="10"/>
            <color rgb="FF000000"/>
            <rFont val="Tahoma"/>
            <family val="34"/>
          </rPr>
          <t>Only use data from Zambia, based on following comment from study author: "In Lesotho, the self-testing was guided by a community health worker and therefore is not considered as self-testing under your definition."</t>
        </r>
      </text>
    </comment>
    <comment ref="A7" authorId="0" shapeId="0" xr:uid="{0F6D1428-9B4C-3743-8ACA-60AFF1828AEE}">
      <text>
        <r>
          <rPr>
            <sz val="10"/>
            <color rgb="FF000000"/>
            <rFont val="Calibri"/>
            <family val="2"/>
          </rPr>
          <t>"You &amp; Me Covid free" study</t>
        </r>
      </text>
    </comment>
    <comment ref="B9" authorId="0" shapeId="0" xr:uid="{3D2C6E7D-53C6-3F40-9362-AC4560D08CF5}">
      <text>
        <r>
          <rPr>
            <sz val="10"/>
            <color rgb="FF000000"/>
            <rFont val="Tahoma"/>
            <family val="34"/>
          </rPr>
          <t>Comment from study author: "I confirm that it was self-testing."</t>
        </r>
      </text>
    </comment>
    <comment ref="B14" authorId="0" shapeId="0" xr:uid="{6129C0FB-F94C-824A-9D35-C48923D82517}">
      <text>
        <r>
          <rPr>
            <sz val="10"/>
            <color rgb="FF000000"/>
            <rFont val="Tahoma"/>
            <family val="34"/>
          </rPr>
          <t>Exclude data on Ann Arbor and Ypsilanti, MI as this reported in Soni et al. 2022</t>
        </r>
      </text>
    </comment>
    <comment ref="A39" authorId="0" shapeId="0" xr:uid="{642A7292-5E7E-BD41-AB1C-A9F5B75228C0}">
      <text>
        <r>
          <rPr>
            <sz val="10"/>
            <color rgb="FF000000"/>
            <rFont val="Calibri"/>
            <family val="2"/>
          </rPr>
          <t>"Say Yes Covid Test" study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Lukas Brümmer</author>
  </authors>
  <commentList>
    <comment ref="D4" authorId="0" shapeId="0" xr:uid="{D2275B53-9D40-9643-B5B5-41690D8FE715}">
      <text>
        <r>
          <rPr>
            <sz val="10"/>
            <color rgb="FF000000"/>
            <rFont val="Tahoma"/>
            <family val="2"/>
          </rPr>
          <t>self-testing was conducted on people with unknown SARS-CoV-2 status</t>
        </r>
      </text>
    </comment>
    <comment ref="F4" authorId="0" shapeId="0" xr:uid="{6492C03E-525B-CD47-A917-CCDE877F657E}">
      <text>
        <r>
          <rPr>
            <sz val="10"/>
            <color rgb="FF000000"/>
            <rFont val="Tahoma"/>
            <family val="2"/>
          </rPr>
          <t>testing was voluntary</t>
        </r>
      </text>
    </comment>
    <comment ref="G4" authorId="0" shapeId="0" xr:uid="{07DFF17D-D68A-2D45-ACB5-2EEE24ED5391}">
      <text>
        <r>
          <rPr>
            <sz val="10"/>
            <color rgb="FF000000"/>
            <rFont val="Tahoma"/>
            <family val="2"/>
          </rPr>
          <t>before-after comparison</t>
        </r>
      </text>
    </comment>
    <comment ref="I4" authorId="0" shapeId="0" xr:uid="{B56F71AC-0D38-1E48-A86F-D20F0B3FF0F0}">
      <text>
        <r>
          <rPr>
            <sz val="10"/>
            <color rgb="FF000000"/>
            <rFont val="Tahoma"/>
            <family val="2"/>
          </rPr>
          <t>before-after comparison</t>
        </r>
      </text>
    </comment>
    <comment ref="J4" authorId="0" shapeId="0" xr:uid="{78F61F0B-06F8-B441-865F-2F94A00F8A7F}">
      <text>
        <r>
          <rPr>
            <sz val="10"/>
            <color rgb="FF000000"/>
            <rFont val="Tahoma"/>
            <family val="2"/>
          </rPr>
          <t>before-after comparison</t>
        </r>
      </text>
    </comment>
    <comment ref="L4" authorId="0" shapeId="0" xr:uid="{79881F39-ED5A-1840-BAC4-462E63A02215}">
      <text>
        <r>
          <rPr>
            <sz val="10"/>
            <color rgb="FF000000"/>
            <rFont val="Tahoma"/>
            <family val="2"/>
          </rPr>
          <t>before-after comparison</t>
        </r>
      </text>
    </comment>
    <comment ref="M4" authorId="0" shapeId="0" xr:uid="{2574B110-4172-0945-827E-5B628215DE63}">
      <text>
        <r>
          <rPr>
            <sz val="10"/>
            <color rgb="FF000000"/>
            <rFont val="Tahoma"/>
            <family val="2"/>
          </rPr>
          <t>before-after comparison</t>
        </r>
      </text>
    </comment>
    <comment ref="O4" authorId="0" shapeId="0" xr:uid="{F9BC628E-7095-D647-914B-ABA2B66F9AA5}">
      <text>
        <r>
          <rPr>
            <sz val="10"/>
            <color rgb="FF000000"/>
            <rFont val="Tahoma"/>
            <family val="2"/>
          </rPr>
          <t>before-after comparison</t>
        </r>
      </text>
    </comment>
    <comment ref="P4" authorId="0" shapeId="0" xr:uid="{82F2B5BC-A36D-3648-8F44-79FC03AFC6EE}">
      <text>
        <r>
          <rPr>
            <sz val="10"/>
            <color rgb="FF000000"/>
            <rFont val="Tahoma"/>
            <family val="2"/>
          </rPr>
          <t>testing only once</t>
        </r>
      </text>
    </comment>
    <comment ref="S4" authorId="0" shapeId="0" xr:uid="{31658012-191A-4849-894E-6F78117DDA10}">
      <text>
        <r>
          <rPr>
            <sz val="10"/>
            <color rgb="FF000000"/>
            <rFont val="Tahoma"/>
            <family val="2"/>
          </rPr>
          <t>total # of Ag-RDT results reported</t>
        </r>
      </text>
    </comment>
    <comment ref="V4" authorId="0" shapeId="0" xr:uid="{3B3981A0-66B3-1C47-94DF-78FE8542ACFF}">
      <text>
        <r>
          <rPr>
            <sz val="10"/>
            <color rgb="FF000000"/>
            <rFont val="Tahoma"/>
            <family val="2"/>
          </rPr>
          <t># of people eligible reported</t>
        </r>
      </text>
    </comment>
    <comment ref="W4" authorId="0" shapeId="0" xr:uid="{8FE8ECD5-C8E9-2C4F-A9CE-6791AA157C8C}">
      <text>
        <r>
          <rPr>
            <sz val="10"/>
            <color rgb="FF000000"/>
            <rFont val="Tahoma"/>
            <family val="2"/>
          </rPr>
          <t>maximum # of tests can be computed</t>
        </r>
      </text>
    </comment>
    <comment ref="X4" authorId="0" shapeId="0" xr:uid="{7DD7300E-F1CC-4C43-AF9A-8488DB7282DF}">
      <text>
        <r>
          <rPr>
            <sz val="10"/>
            <color rgb="FF000000"/>
            <rFont val="Tahoma"/>
            <family val="2"/>
          </rPr>
          <t>Same antigen test and sample type. Individuals were only tested once.</t>
        </r>
      </text>
    </comment>
    <comment ref="AA4" authorId="0" shapeId="0" xr:uid="{A4BFB0D7-32BA-1046-863E-80DCC9929A44}">
      <text>
        <r>
          <rPr>
            <sz val="10"/>
            <color rgb="FF000000"/>
            <rFont val="Tahoma"/>
            <family val="2"/>
          </rPr>
          <t>individuals had to upload a picture of the test result</t>
        </r>
      </text>
    </comment>
    <comment ref="AD4" authorId="0" shapeId="0" xr:uid="{6F445EC2-067D-E94E-922D-FE675A9F0A23}">
      <text>
        <r>
          <rPr>
            <sz val="10"/>
            <color rgb="FF000000"/>
            <rFont val="Tahoma"/>
            <family val="2"/>
          </rPr>
          <t>study participants requested tests from study personnel</t>
        </r>
      </text>
    </comment>
    <comment ref="AE4" authorId="0" shapeId="0" xr:uid="{2ACD79DF-D327-B946-BC91-9DD359B6B072}">
      <text>
        <r>
          <rPr>
            <sz val="10"/>
            <color rgb="FF000000"/>
            <rFont val="Tahoma"/>
            <family val="2"/>
          </rPr>
          <t>study participants were required to submit result together with a picture</t>
        </r>
      </text>
    </comment>
    <comment ref="AF4" authorId="0" shapeId="0" xr:uid="{5922405B-5410-E942-8D08-41DD9E8A2602}">
      <text>
        <r>
          <rPr>
            <sz val="10"/>
            <color rgb="FF000000"/>
            <rFont val="Tahoma"/>
            <family val="2"/>
          </rPr>
          <t>count-related</t>
        </r>
      </text>
    </comment>
    <comment ref="AH4" authorId="0" shapeId="0" xr:uid="{FFEF39B7-6632-1541-8258-F7B128803B6C}">
      <text>
        <r>
          <rPr>
            <sz val="10"/>
            <color rgb="FF000000"/>
            <rFont val="Tahoma"/>
            <family val="2"/>
          </rPr>
          <t>count-related</t>
        </r>
      </text>
    </comment>
    <comment ref="D5" authorId="0" shapeId="0" xr:uid="{55BC9CDE-6CD0-AD4D-A77B-CA5948B909F4}">
      <text>
        <r>
          <rPr>
            <sz val="10"/>
            <color rgb="FF000000"/>
            <rFont val="Tahoma"/>
            <family val="2"/>
          </rPr>
          <t>self-testing was conducted on people with unknown SARS-CoV-2 status</t>
        </r>
      </text>
    </comment>
    <comment ref="F5" authorId="0" shapeId="0" xr:uid="{1C3132DF-CF05-ED49-A395-B12ABB7C5642}">
      <text>
        <r>
          <rPr>
            <sz val="10"/>
            <color rgb="FF000000"/>
            <rFont val="Tahoma"/>
            <family val="2"/>
          </rPr>
          <t>testing was voluntary</t>
        </r>
      </text>
    </comment>
    <comment ref="G5" authorId="0" shapeId="0" xr:uid="{A97C5528-52FD-1B48-896D-79129BE67F66}">
      <text>
        <r>
          <rPr>
            <sz val="10"/>
            <color rgb="FF000000"/>
            <rFont val="Tahoma"/>
            <family val="2"/>
          </rPr>
          <t>before-after comparison</t>
        </r>
      </text>
    </comment>
    <comment ref="I5" authorId="0" shapeId="0" xr:uid="{0479F340-B44F-A444-AD28-459EE3C21C4D}">
      <text>
        <r>
          <rPr>
            <sz val="10"/>
            <color rgb="FF000000"/>
            <rFont val="Tahoma"/>
            <family val="2"/>
          </rPr>
          <t>before-after comparison</t>
        </r>
      </text>
    </comment>
    <comment ref="J5" authorId="0" shapeId="0" xr:uid="{D9812D60-4C1F-334E-BA49-1984D95335BD}">
      <text>
        <r>
          <rPr>
            <sz val="10"/>
            <color rgb="FF000000"/>
            <rFont val="Tahoma"/>
            <family val="2"/>
          </rPr>
          <t>before-after comparison</t>
        </r>
      </text>
    </comment>
    <comment ref="L5" authorId="0" shapeId="0" xr:uid="{7FD42C53-6B87-A544-96AF-40430840D114}">
      <text>
        <r>
          <rPr>
            <sz val="10"/>
            <color rgb="FF000000"/>
            <rFont val="Tahoma"/>
            <family val="2"/>
          </rPr>
          <t>before-after comparison</t>
        </r>
      </text>
    </comment>
    <comment ref="M5" authorId="0" shapeId="0" xr:uid="{BD53C584-3B5A-4148-9201-EA8491D3E24D}">
      <text>
        <r>
          <rPr>
            <sz val="10"/>
            <color rgb="FF000000"/>
            <rFont val="Tahoma"/>
            <family val="2"/>
          </rPr>
          <t>before-after comparison</t>
        </r>
      </text>
    </comment>
    <comment ref="O5" authorId="0" shapeId="0" xr:uid="{5F54B915-24CD-8046-BC16-C438892E8FAF}">
      <text>
        <r>
          <rPr>
            <sz val="10"/>
            <color rgb="FF000000"/>
            <rFont val="Tahoma"/>
            <family val="2"/>
          </rPr>
          <t>before-after comparison</t>
        </r>
      </text>
    </comment>
    <comment ref="P5" authorId="0" shapeId="0" xr:uid="{6F8B9099-37EA-D94E-9F14-B3D31E75CEC9}">
      <text>
        <r>
          <rPr>
            <sz val="10"/>
            <color rgb="FF000000"/>
            <rFont val="Tahoma"/>
            <family val="2"/>
          </rPr>
          <t>testing only once</t>
        </r>
      </text>
    </comment>
    <comment ref="S5" authorId="0" shapeId="0" xr:uid="{2B94E5BA-D7C5-3640-99DC-4AAB1C1E0F8D}">
      <text>
        <r>
          <rPr>
            <sz val="10"/>
            <color rgb="FF000000"/>
            <rFont val="Tahoma"/>
            <family val="2"/>
          </rPr>
          <t>total # of Ag-RDT results reported</t>
        </r>
      </text>
    </comment>
    <comment ref="V5" authorId="0" shapeId="0" xr:uid="{CBC3B320-23C2-F145-BBC5-CDEA4E376CAD}">
      <text>
        <r>
          <rPr>
            <sz val="10"/>
            <color rgb="FF000000"/>
            <rFont val="Tahoma"/>
            <family val="2"/>
          </rPr>
          <t># of people eligible reported</t>
        </r>
      </text>
    </comment>
    <comment ref="W5" authorId="0" shapeId="0" xr:uid="{D4219C2C-DD09-954D-9871-0DEE66A8D6E0}">
      <text>
        <r>
          <rPr>
            <sz val="10"/>
            <color rgb="FF000000"/>
            <rFont val="Tahoma"/>
            <family val="2"/>
          </rPr>
          <t>maximum # of tests can be computed</t>
        </r>
      </text>
    </comment>
    <comment ref="X5" authorId="0" shapeId="0" xr:uid="{4730F0D5-6D11-B943-B76D-D4FF8B81FB99}">
      <text>
        <r>
          <rPr>
            <sz val="10"/>
            <color rgb="FF000000"/>
            <rFont val="Tahoma"/>
            <family val="2"/>
          </rPr>
          <t>Same antigen test and sample type. Individuals were only tested once.</t>
        </r>
      </text>
    </comment>
    <comment ref="AA5" authorId="0" shapeId="0" xr:uid="{3B39ED80-AB4B-694F-ACB5-EE6C7089DEC2}">
      <text>
        <r>
          <rPr>
            <sz val="10"/>
            <color rgb="FF000000"/>
            <rFont val="Tahoma"/>
            <family val="2"/>
          </rPr>
          <t>individuals had to upload a picture of the test result</t>
        </r>
      </text>
    </comment>
    <comment ref="AD5" authorId="0" shapeId="0" xr:uid="{F85E60B8-034C-7F42-A014-5139B18E6ABB}">
      <text>
        <r>
          <rPr>
            <sz val="10"/>
            <color rgb="FF000000"/>
            <rFont val="Calibri"/>
            <family val="2"/>
          </rPr>
          <t>study participants requested tests from study personnel</t>
        </r>
      </text>
    </comment>
    <comment ref="AE5" authorId="0" shapeId="0" xr:uid="{231C693D-ECF5-E749-90DF-76957AF3982B}">
      <text>
        <r>
          <rPr>
            <sz val="10"/>
            <color rgb="FF000000"/>
            <rFont val="Tahoma"/>
            <family val="2"/>
          </rPr>
          <t>study participants were required to submit result together with a picture</t>
        </r>
      </text>
    </comment>
    <comment ref="AF5" authorId="0" shapeId="0" xr:uid="{933E8DE5-1C58-2341-892A-7AE580FE6FF5}">
      <text>
        <r>
          <rPr>
            <sz val="10"/>
            <color rgb="FF000000"/>
            <rFont val="Tahoma"/>
            <family val="2"/>
          </rPr>
          <t>count-related</t>
        </r>
      </text>
    </comment>
    <comment ref="AH5" authorId="0" shapeId="0" xr:uid="{3F24A42B-6462-5B49-A75E-9348E11F4CBE}">
      <text>
        <r>
          <rPr>
            <sz val="10"/>
            <color rgb="FF000000"/>
            <rFont val="Tahoma"/>
            <family val="2"/>
          </rPr>
          <t>count-related</t>
        </r>
      </text>
    </comment>
    <comment ref="D6" authorId="0" shapeId="0" xr:uid="{C3EDB1B5-2510-2C47-971D-58AEB8DEAEC9}">
      <text>
        <r>
          <rPr>
            <sz val="10"/>
            <color rgb="FF000000"/>
            <rFont val="Tahoma"/>
            <family val="2"/>
          </rPr>
          <t>self-testing was conducted on people with unknown SARS-CoV-2 status</t>
        </r>
      </text>
    </comment>
    <comment ref="G6" authorId="0" shapeId="0" xr:uid="{A7244350-0DAF-5C47-AAAE-8A4B4F0F2503}">
      <text>
        <r>
          <rPr>
            <sz val="10"/>
            <color rgb="FF000000"/>
            <rFont val="Tahoma"/>
            <family val="2"/>
          </rPr>
          <t>before-after comparison</t>
        </r>
      </text>
    </comment>
    <comment ref="J6" authorId="0" shapeId="0" xr:uid="{9DE485D2-254F-8040-B384-EA55D9EA65CE}">
      <text>
        <r>
          <rPr>
            <sz val="10"/>
            <color rgb="FF000000"/>
            <rFont val="Tahoma"/>
            <family val="2"/>
          </rPr>
          <t>before-after comparison</t>
        </r>
      </text>
    </comment>
    <comment ref="M6" authorId="0" shapeId="0" xr:uid="{D7F69A96-B7C9-0C4F-9B66-74157CCBA3C4}">
      <text>
        <r>
          <rPr>
            <sz val="10"/>
            <color rgb="FF000000"/>
            <rFont val="Tahoma"/>
            <family val="2"/>
          </rPr>
          <t>before-after comparison</t>
        </r>
      </text>
    </comment>
    <comment ref="P6" authorId="0" shapeId="0" xr:uid="{73D964B9-B71D-4A4E-B90D-3E0F74651599}">
      <text>
        <r>
          <rPr>
            <sz val="10"/>
            <color rgb="FF000000"/>
            <rFont val="Tahoma"/>
            <family val="2"/>
          </rPr>
          <t>testing only once</t>
        </r>
      </text>
    </comment>
    <comment ref="S6" authorId="0" shapeId="0" xr:uid="{28677777-A2D9-9F4C-B82D-44C2CAFF719E}">
      <text>
        <r>
          <rPr>
            <sz val="10"/>
            <color rgb="FF000000"/>
            <rFont val="Tahoma"/>
            <family val="2"/>
          </rPr>
          <t>total # of Ag-RDT results reported</t>
        </r>
      </text>
    </comment>
    <comment ref="X6" authorId="0" shapeId="0" xr:uid="{3FF07CF3-4D9B-2749-9B80-6DD5A8B8EF2E}">
      <text>
        <r>
          <rPr>
            <sz val="10"/>
            <color rgb="FF000000"/>
            <rFont val="Tahoma"/>
            <family val="2"/>
          </rPr>
          <t>Same test and sample type was used. Individuals were only test once.</t>
        </r>
      </text>
    </comment>
    <comment ref="AA6" authorId="0" shapeId="0" xr:uid="{663B9541-14E6-144B-862F-8DD29A8DDA76}">
      <text>
        <r>
          <rPr>
            <sz val="10"/>
            <color rgb="FF000000"/>
            <rFont val="Tahoma"/>
            <family val="2"/>
          </rPr>
          <t>study crew observer controlled result</t>
        </r>
      </text>
    </comment>
    <comment ref="AF6" authorId="0" shapeId="0" xr:uid="{50E59428-45E6-8D4B-9ABB-41FFC0A27A56}">
      <text>
        <r>
          <rPr>
            <sz val="10"/>
            <color rgb="FF000000"/>
            <rFont val="Tahoma"/>
            <family val="2"/>
          </rPr>
          <t>count-related</t>
        </r>
      </text>
    </comment>
    <comment ref="D7" authorId="0" shapeId="0" xr:uid="{DC550B3F-6F46-E349-9072-3AD379293083}">
      <text>
        <r>
          <rPr>
            <sz val="10"/>
            <color rgb="FF000000"/>
            <rFont val="Tahoma"/>
            <family val="2"/>
          </rPr>
          <t>self-testing was conducted on people with unknown SARS-CoV-2 status</t>
        </r>
      </text>
    </comment>
    <comment ref="F7" authorId="0" shapeId="0" xr:uid="{BAB0BA25-C451-1F47-8CCB-9A77076CE89D}">
      <text>
        <r>
          <rPr>
            <sz val="10"/>
            <color rgb="FF000000"/>
            <rFont val="Tahoma"/>
            <family val="2"/>
          </rPr>
          <t>testing was voluntary</t>
        </r>
      </text>
    </comment>
    <comment ref="G7" authorId="0" shapeId="0" xr:uid="{4BEE2CF3-B7EE-D542-B2E1-6B349E25617C}">
      <text>
        <r>
          <rPr>
            <sz val="10"/>
            <color rgb="FF000000"/>
            <rFont val="Tahoma"/>
            <family val="2"/>
          </rPr>
          <t>before-after comparison</t>
        </r>
      </text>
    </comment>
    <comment ref="I7" authorId="0" shapeId="0" xr:uid="{F5F41FAA-7658-974D-9211-CEB860D172DB}">
      <text>
        <r>
          <rPr>
            <sz val="10"/>
            <color rgb="FF000000"/>
            <rFont val="Tahoma"/>
            <family val="2"/>
          </rPr>
          <t>before-after comparison</t>
        </r>
      </text>
    </comment>
    <comment ref="J7" authorId="0" shapeId="0" xr:uid="{89F21264-82FD-D143-9C5C-F70D78AA9ABD}">
      <text>
        <r>
          <rPr>
            <sz val="10"/>
            <color rgb="FF000000"/>
            <rFont val="Tahoma"/>
            <family val="2"/>
          </rPr>
          <t>before-after comparison</t>
        </r>
      </text>
    </comment>
    <comment ref="L7" authorId="0" shapeId="0" xr:uid="{05EC0894-38AC-3F44-97A9-44E7F2E18F5C}">
      <text>
        <r>
          <rPr>
            <sz val="10"/>
            <color rgb="FF000000"/>
            <rFont val="Tahoma"/>
            <family val="2"/>
          </rPr>
          <t>before-after comparison</t>
        </r>
      </text>
    </comment>
    <comment ref="M7" authorId="0" shapeId="0" xr:uid="{F4C2C84D-E919-3546-8967-932EBD22F991}">
      <text>
        <r>
          <rPr>
            <sz val="10"/>
            <color rgb="FF000000"/>
            <rFont val="Tahoma"/>
            <family val="2"/>
          </rPr>
          <t>before-after comparison</t>
        </r>
      </text>
    </comment>
    <comment ref="O7" authorId="0" shapeId="0" xr:uid="{9028FDB3-99D9-6543-A524-BAC6E67B8E69}">
      <text>
        <r>
          <rPr>
            <sz val="10"/>
            <color rgb="FF000000"/>
            <rFont val="Tahoma"/>
            <family val="2"/>
          </rPr>
          <t>before-after comparison</t>
        </r>
      </text>
    </comment>
    <comment ref="P7" authorId="0" shapeId="0" xr:uid="{9E80E4CB-E976-3947-A12F-FD35F3E9559B}">
      <text>
        <r>
          <rPr>
            <sz val="10"/>
            <color rgb="FF000000"/>
            <rFont val="Tahoma"/>
            <family val="2"/>
          </rPr>
          <t>testing in case of symptoms, contact, or other events (e.g., attending large gatherings)</t>
        </r>
      </text>
    </comment>
    <comment ref="S7" authorId="0" shapeId="0" xr:uid="{4C54DEAE-2E0C-1D4D-9354-FEAFB93FCE66}">
      <text>
        <r>
          <rPr>
            <sz val="10"/>
            <color rgb="FF000000"/>
            <rFont val="Tahoma"/>
            <family val="2"/>
          </rPr>
          <t>total # of Ag-RDT results reported</t>
        </r>
      </text>
    </comment>
    <comment ref="V7" authorId="0" shapeId="0" xr:uid="{4A6C94C9-40C7-BD48-8B81-866A7A9F1CB0}">
      <text>
        <r>
          <rPr>
            <sz val="10"/>
            <color rgb="FF000000"/>
            <rFont val="Tahoma"/>
            <family val="2"/>
          </rPr>
          <t># of individuals eligible for self-testing specified</t>
        </r>
      </text>
    </comment>
    <comment ref="W7" authorId="0" shapeId="0" xr:uid="{F85CE97B-2756-FA44-8FCD-85AD2178178E}">
      <text>
        <r>
          <rPr>
            <sz val="10"/>
            <color rgb="FF000000"/>
            <rFont val="Tahoma"/>
            <family val="2"/>
          </rPr>
          <t>number of individuals reporting self-testing is specifically stated</t>
        </r>
      </text>
    </comment>
    <comment ref="X7" authorId="0" shapeId="0" xr:uid="{3A952AA6-FA5A-5640-B8D7-BC7EAC04DD73}">
      <text>
        <r>
          <rPr>
            <sz val="10"/>
            <color rgb="FF000000"/>
            <rFont val="Tahoma"/>
            <family val="2"/>
          </rPr>
          <t xml:space="preserve">different testing schemes were possible depending on </t>
        </r>
        <r>
          <rPr>
            <sz val="10"/>
            <color rgb="FF000000"/>
            <rFont val="Calibri"/>
            <family val="2"/>
          </rPr>
          <t>symptoms, contact, or other events (e.g., attending large gatherings)</t>
        </r>
      </text>
    </comment>
    <comment ref="AA7" authorId="0" shapeId="0" xr:uid="{91FC996E-7AFF-0343-BB71-676B3C121C79}">
      <text>
        <r>
          <rPr>
            <sz val="10"/>
            <color rgb="FF000000"/>
            <rFont val="Tahoma"/>
            <family val="2"/>
          </rPr>
          <t>results were reported through an online survey, no picture or similar proof required</t>
        </r>
      </text>
    </comment>
    <comment ref="AD7" authorId="0" shapeId="0" xr:uid="{ED38DC47-AB55-3C49-A849-D1A5599891B3}">
      <text>
        <r>
          <rPr>
            <sz val="10"/>
            <color rgb="FF000000"/>
            <rFont val="Tahoma"/>
            <family val="2"/>
          </rPr>
          <t>tests had to be picked-up from the study site</t>
        </r>
      </text>
    </comment>
    <comment ref="AE7" authorId="0" shapeId="0" xr:uid="{5A65F868-64F7-0C4C-8CF7-4DADBE189236}">
      <text>
        <r>
          <rPr>
            <sz val="10"/>
            <color rgb="FF000000"/>
            <rFont val="Tahoma"/>
            <family val="2"/>
          </rPr>
          <t>results were reported through an online survey, no picture or similar proof required</t>
        </r>
      </text>
    </comment>
    <comment ref="AF7" authorId="0" shapeId="0" xr:uid="{1D73DF46-7EB6-6E4E-B4AC-C58F1635F8FD}">
      <text>
        <r>
          <rPr>
            <sz val="10"/>
            <color rgb="FF000000"/>
            <rFont val="Tahoma"/>
            <family val="2"/>
          </rPr>
          <t>count-related</t>
        </r>
      </text>
    </comment>
    <comment ref="AH7" authorId="0" shapeId="0" xr:uid="{AD975FC5-14F0-6449-B642-D717A3C06AC8}">
      <text>
        <r>
          <rPr>
            <sz val="10"/>
            <color rgb="FF000000"/>
            <rFont val="Tahoma"/>
            <family val="2"/>
          </rPr>
          <t>count-related</t>
        </r>
      </text>
    </comment>
    <comment ref="D8" authorId="0" shapeId="0" xr:uid="{5E1AE757-AFD0-484E-9556-F0F0E76B7B00}">
      <text>
        <r>
          <rPr>
            <sz val="10"/>
            <color rgb="FF000000"/>
            <rFont val="Tahoma"/>
            <family val="2"/>
          </rPr>
          <t>self-testing was conducted on people with unknown SARS-CoV-2 status</t>
        </r>
      </text>
    </comment>
    <comment ref="G8" authorId="0" shapeId="0" xr:uid="{E4E8F3B0-E05C-3143-98BD-537524834753}">
      <text>
        <r>
          <rPr>
            <sz val="10"/>
            <color rgb="FF000000"/>
            <rFont val="Tahoma"/>
            <family val="2"/>
          </rPr>
          <t>before-after comparison</t>
        </r>
      </text>
    </comment>
    <comment ref="J8" authorId="0" shapeId="0" xr:uid="{FCC9A0D8-04B5-BD4C-AF49-669232530FEF}">
      <text>
        <r>
          <rPr>
            <sz val="10"/>
            <color rgb="FF000000"/>
            <rFont val="Tahoma"/>
            <family val="2"/>
          </rPr>
          <t>before-after comparison</t>
        </r>
      </text>
    </comment>
    <comment ref="M8" authorId="0" shapeId="0" xr:uid="{C8B44BA8-B3E5-1D4C-B7F3-59F6213E188A}">
      <text>
        <r>
          <rPr>
            <sz val="10"/>
            <color rgb="FF000000"/>
            <rFont val="Tahoma"/>
            <family val="2"/>
          </rPr>
          <t>before-after comparison</t>
        </r>
      </text>
    </comment>
    <comment ref="P8" authorId="0" shapeId="0" xr:uid="{6E53E5CD-AA80-1343-A2F8-E96E27C0CE19}">
      <text>
        <r>
          <rPr>
            <sz val="10"/>
            <color rgb="FF000000"/>
            <rFont val="Tahoma"/>
            <family val="2"/>
          </rPr>
          <t>test daily for one week</t>
        </r>
      </text>
    </comment>
    <comment ref="S8" authorId="0" shapeId="0" xr:uid="{22B48D9F-8133-8A44-9C35-18744A2C2872}">
      <text>
        <r>
          <rPr>
            <sz val="10"/>
            <color rgb="FF000000"/>
            <rFont val="Tahoma"/>
            <family val="34"/>
          </rPr>
          <t xml:space="preserve">Used data from Singapore's health risk warning (HRW) system </t>
        </r>
      </text>
    </comment>
    <comment ref="X8" authorId="0" shapeId="0" xr:uid="{3450F672-9C71-DB43-8F1C-C7DCBCF45F54}">
      <text>
        <r>
          <rPr>
            <sz val="10"/>
            <color rgb="FF000000"/>
            <rFont val="Tahoma"/>
            <family val="2"/>
          </rPr>
          <t>uncertain whether all individuals exactly followed the testing regime</t>
        </r>
      </text>
    </comment>
    <comment ref="AA8" authorId="0" shapeId="0" xr:uid="{69F67219-AF67-ED4C-B2DA-045B05AC6AFE}">
      <text>
        <r>
          <rPr>
            <sz val="10"/>
            <color rgb="FF000000"/>
            <rFont val="Calibri"/>
            <family val="2"/>
          </rPr>
          <t xml:space="preserve">data from NHS acute trusts, but no exact methods of data collection provided
</t>
        </r>
      </text>
    </comment>
    <comment ref="AF8" authorId="0" shapeId="0" xr:uid="{4FAD3A22-9AC4-0A4F-9483-A6423A5264CB}">
      <text>
        <r>
          <rPr>
            <sz val="10"/>
            <color rgb="FF000000"/>
            <rFont val="Tahoma"/>
            <family val="2"/>
          </rPr>
          <t>count-related</t>
        </r>
      </text>
    </comment>
    <comment ref="D9" authorId="0" shapeId="0" xr:uid="{AA7D6193-37AD-E947-8F09-8F0FA2BF2C50}">
      <text>
        <r>
          <rPr>
            <sz val="10"/>
            <color rgb="FF000000"/>
            <rFont val="Tahoma"/>
            <family val="2"/>
          </rPr>
          <t>self-testing was conducted on people with unknown SARS-CoV-2 status</t>
        </r>
      </text>
    </comment>
    <comment ref="G9" authorId="0" shapeId="0" xr:uid="{11D2BD2F-3D53-F343-8D63-9BD905CC8E2F}">
      <text>
        <r>
          <rPr>
            <sz val="10"/>
            <color rgb="FF000000"/>
            <rFont val="Tahoma"/>
            <family val="2"/>
          </rPr>
          <t>before-after comparison</t>
        </r>
      </text>
    </comment>
    <comment ref="J9" authorId="0" shapeId="0" xr:uid="{B7E94907-B13B-AD46-B36B-259D078273AC}">
      <text>
        <r>
          <rPr>
            <sz val="10"/>
            <color rgb="FF000000"/>
            <rFont val="Tahoma"/>
            <family val="2"/>
          </rPr>
          <t>before-after comparison</t>
        </r>
      </text>
    </comment>
    <comment ref="M9" authorId="0" shapeId="0" xr:uid="{12F96304-BCD3-B44E-98C4-A0FA8D0DCAB7}">
      <text>
        <r>
          <rPr>
            <sz val="10"/>
            <color rgb="FF000000"/>
            <rFont val="Tahoma"/>
            <family val="2"/>
          </rPr>
          <t>before-after comparison</t>
        </r>
      </text>
    </comment>
    <comment ref="P9" authorId="0" shapeId="0" xr:uid="{9FEA6F4B-007D-6D4D-8275-0623A401ADC9}">
      <text>
        <r>
          <rPr>
            <sz val="10"/>
            <color rgb="FF000000"/>
            <rFont val="Tahoma"/>
            <family val="2"/>
          </rPr>
          <t>test daily for six days</t>
        </r>
      </text>
    </comment>
    <comment ref="S9" authorId="0" shapeId="0" xr:uid="{5A3081FE-82B5-604A-A2CD-30DCE8071F4C}">
      <text>
        <r>
          <rPr>
            <sz val="10"/>
            <color rgb="FF000000"/>
            <rFont val="Tahoma"/>
            <family val="34"/>
          </rPr>
          <t xml:space="preserve">Used data from Singapore's health risk warning (HRW) system </t>
        </r>
      </text>
    </comment>
    <comment ref="X9" authorId="0" shapeId="0" xr:uid="{5BCB5677-F293-FB45-A0AB-E361B14ADAE7}">
      <text>
        <r>
          <rPr>
            <sz val="10"/>
            <color rgb="FF000000"/>
            <rFont val="Tahoma"/>
            <family val="2"/>
          </rPr>
          <t>uncertain whether all individuals exactly followed the testing regime</t>
        </r>
      </text>
    </comment>
    <comment ref="AA9" authorId="0" shapeId="0" xr:uid="{6C79EBDA-5BD2-514B-B99E-045660FBEE89}">
      <text>
        <r>
          <rPr>
            <sz val="10"/>
            <color rgb="FF000000"/>
            <rFont val="Calibri"/>
            <family val="2"/>
          </rPr>
          <t>data from NHS acute trusts, but no exact methods of data collection provided</t>
        </r>
      </text>
    </comment>
    <comment ref="AF9" authorId="0" shapeId="0" xr:uid="{52EDFFFE-3B19-624E-A7B7-2796B668DA97}">
      <text>
        <r>
          <rPr>
            <sz val="10"/>
            <color rgb="FF000000"/>
            <rFont val="Tahoma"/>
            <family val="2"/>
          </rPr>
          <t>count-related</t>
        </r>
      </text>
    </comment>
    <comment ref="D10" authorId="0" shapeId="0" xr:uid="{9C55EC4D-1651-2343-9CA0-C0102CCE49FE}">
      <text>
        <r>
          <rPr>
            <sz val="10"/>
            <color rgb="FF000000"/>
            <rFont val="Tahoma"/>
            <family val="2"/>
          </rPr>
          <t>self-testing was conducted on people with unknown SARS-CoV-2 status</t>
        </r>
      </text>
    </comment>
    <comment ref="G10" authorId="0" shapeId="0" xr:uid="{4697982F-6823-AD43-AC5C-5578B4E8D5BF}">
      <text>
        <r>
          <rPr>
            <sz val="10"/>
            <color rgb="FF000000"/>
            <rFont val="Tahoma"/>
            <family val="2"/>
          </rPr>
          <t>before-after comparison</t>
        </r>
      </text>
    </comment>
    <comment ref="J10" authorId="0" shapeId="0" xr:uid="{4088FDC7-9A9F-0C46-9061-A426DF67A7BA}">
      <text>
        <r>
          <rPr>
            <sz val="10"/>
            <color rgb="FF000000"/>
            <rFont val="Tahoma"/>
            <family val="2"/>
          </rPr>
          <t>before-after comparison</t>
        </r>
      </text>
    </comment>
    <comment ref="M10" authorId="0" shapeId="0" xr:uid="{FEFC6CF6-1057-1A45-ABEE-16D2D0638F54}">
      <text>
        <r>
          <rPr>
            <sz val="10"/>
            <color rgb="FF000000"/>
            <rFont val="Tahoma"/>
            <family val="2"/>
          </rPr>
          <t>before-after comparison</t>
        </r>
      </text>
    </comment>
    <comment ref="P10" authorId="0" shapeId="0" xr:uid="{67DB2227-1AD3-A54D-B8DF-27457A52F6BC}">
      <text>
        <r>
          <rPr>
            <sz val="10"/>
            <color rgb="FF000000"/>
            <rFont val="Tahoma"/>
            <family val="2"/>
          </rPr>
          <t>test daily for six days</t>
        </r>
      </text>
    </comment>
    <comment ref="S10" authorId="0" shapeId="0" xr:uid="{A7831921-40C8-7547-8EE0-59B1B574CC73}">
      <text>
        <r>
          <rPr>
            <sz val="10"/>
            <color rgb="FF000000"/>
            <rFont val="Tahoma"/>
            <family val="34"/>
          </rPr>
          <t xml:space="preserve">Used data from Singapore's health risk warning (HRW) system </t>
        </r>
      </text>
    </comment>
    <comment ref="X10" authorId="0" shapeId="0" xr:uid="{61AC10B3-B0B5-B14B-A20F-4B59BFFA8BC7}">
      <text>
        <r>
          <rPr>
            <sz val="10"/>
            <color rgb="FF000000"/>
            <rFont val="Tahoma"/>
            <family val="2"/>
          </rPr>
          <t>uncertain whether all individuals exactly followed the testing regime</t>
        </r>
      </text>
    </comment>
    <comment ref="AA10" authorId="0" shapeId="0" xr:uid="{BEAEDFDA-A0B3-0548-BA28-76BA75005416}">
      <text>
        <r>
          <rPr>
            <sz val="10"/>
            <color rgb="FF000000"/>
            <rFont val="Calibri"/>
            <family val="2"/>
          </rPr>
          <t>data from NHS acute trusts, but no exact methods of data collection provided</t>
        </r>
      </text>
    </comment>
    <comment ref="AF10" authorId="0" shapeId="0" xr:uid="{9637C2AC-B32F-6841-BF9E-5E6C499075A9}">
      <text>
        <r>
          <rPr>
            <sz val="10"/>
            <color rgb="FF000000"/>
            <rFont val="Tahoma"/>
            <family val="2"/>
          </rPr>
          <t>count-related</t>
        </r>
      </text>
    </comment>
    <comment ref="D11" authorId="0" shapeId="0" xr:uid="{4D7D93FD-BFB2-E746-ACB4-D1DFA474F139}">
      <text>
        <r>
          <rPr>
            <sz val="10"/>
            <color rgb="FF000000"/>
            <rFont val="Tahoma"/>
            <family val="2"/>
          </rPr>
          <t>self-testing was conducted on people with unknown SARS-CoV-2 status</t>
        </r>
      </text>
    </comment>
    <comment ref="G11" authorId="0" shapeId="0" xr:uid="{692B9FEA-2951-9747-B84F-19F87831E72F}">
      <text>
        <r>
          <rPr>
            <sz val="10"/>
            <color rgb="FF000000"/>
            <rFont val="Tahoma"/>
            <family val="2"/>
          </rPr>
          <t>before-after comparison</t>
        </r>
      </text>
    </comment>
    <comment ref="J11" authorId="0" shapeId="0" xr:uid="{4C16EE0E-7DBB-354A-8CE2-F1E36A7B1CFF}">
      <text>
        <r>
          <rPr>
            <sz val="10"/>
            <color rgb="FF000000"/>
            <rFont val="Tahoma"/>
            <family val="2"/>
          </rPr>
          <t>before-after comparison</t>
        </r>
      </text>
    </comment>
    <comment ref="M11" authorId="0" shapeId="0" xr:uid="{05E80779-35C7-A243-BBE0-8C21BE4B6C13}">
      <text>
        <r>
          <rPr>
            <sz val="10"/>
            <color rgb="FF000000"/>
            <rFont val="Tahoma"/>
            <family val="2"/>
          </rPr>
          <t>before-after comparison</t>
        </r>
      </text>
    </comment>
    <comment ref="P11" authorId="0" shapeId="0" xr:uid="{C57625DF-BCFA-644D-BF9A-8E70A8989775}">
      <text>
        <r>
          <rPr>
            <sz val="10"/>
            <color rgb="FF000000"/>
            <rFont val="Tahoma"/>
            <family val="2"/>
          </rPr>
          <t>test daily for six days</t>
        </r>
      </text>
    </comment>
    <comment ref="S11" authorId="0" shapeId="0" xr:uid="{D9ADCB87-9208-9948-9E98-58461236C4C8}">
      <text>
        <r>
          <rPr>
            <sz val="10"/>
            <color rgb="FF000000"/>
            <rFont val="Tahoma"/>
            <family val="34"/>
          </rPr>
          <t xml:space="preserve">Used data from Singapore's health risk warning (HRW) system </t>
        </r>
      </text>
    </comment>
    <comment ref="X11" authorId="0" shapeId="0" xr:uid="{A6928B8A-3901-E248-ABF8-0637171746A8}">
      <text>
        <r>
          <rPr>
            <sz val="10"/>
            <color rgb="FF000000"/>
            <rFont val="Tahoma"/>
            <family val="2"/>
          </rPr>
          <t>uncertain whether all individuals exactly followed the testing regime</t>
        </r>
      </text>
    </comment>
    <comment ref="AA11" authorId="0" shapeId="0" xr:uid="{8C0257CD-9C95-0A4D-9805-1C1E8F66A065}">
      <text>
        <r>
          <rPr>
            <sz val="10"/>
            <color rgb="FF000000"/>
            <rFont val="Calibri"/>
            <family val="2"/>
          </rPr>
          <t>no requirement of picture or similar mentioned</t>
        </r>
      </text>
    </comment>
    <comment ref="AF11" authorId="0" shapeId="0" xr:uid="{4D173A7C-3385-4840-8841-917CB1780DAC}">
      <text>
        <r>
          <rPr>
            <sz val="10"/>
            <color rgb="FF000000"/>
            <rFont val="Tahoma"/>
            <family val="2"/>
          </rPr>
          <t>count-related</t>
        </r>
      </text>
    </comment>
    <comment ref="D12" authorId="0" shapeId="0" xr:uid="{EFFB34E5-5A23-F94B-BC55-55F529F9C1DA}">
      <text>
        <r>
          <rPr>
            <sz val="10"/>
            <color rgb="FF000000"/>
            <rFont val="Tahoma"/>
            <family val="2"/>
          </rPr>
          <t>self-testing was conducted on people with unknown SARS-CoV-2 status</t>
        </r>
      </text>
    </comment>
    <comment ref="G12" authorId="0" shapeId="0" xr:uid="{44C3E914-D6AC-3049-8158-DED17F3A14B3}">
      <text>
        <r>
          <rPr>
            <sz val="10"/>
            <color rgb="FF000000"/>
            <rFont val="Tahoma"/>
            <family val="2"/>
          </rPr>
          <t>before-after comparison</t>
        </r>
      </text>
    </comment>
    <comment ref="J12" authorId="0" shapeId="0" xr:uid="{9D2C3C0A-C486-F244-A791-391E65C4A85C}">
      <text>
        <r>
          <rPr>
            <sz val="10"/>
            <color rgb="FF000000"/>
            <rFont val="Tahoma"/>
            <family val="2"/>
          </rPr>
          <t>before-after comparison</t>
        </r>
      </text>
    </comment>
    <comment ref="M12" authorId="0" shapeId="0" xr:uid="{645FC2FF-6EE0-394E-BB6C-6C3826E02CF8}">
      <text>
        <r>
          <rPr>
            <sz val="10"/>
            <color rgb="FF000000"/>
            <rFont val="Tahoma"/>
            <family val="2"/>
          </rPr>
          <t>before-after comparison</t>
        </r>
      </text>
    </comment>
    <comment ref="P12" authorId="0" shapeId="0" xr:uid="{69469CF3-E530-3D49-A513-006E04745DCC}">
      <text>
        <r>
          <rPr>
            <sz val="10"/>
            <color rgb="FF000000"/>
            <rFont val="Tahoma"/>
            <family val="2"/>
          </rPr>
          <t>participants could receive 10 tests per household, but unclear how often each individual tested</t>
        </r>
      </text>
    </comment>
    <comment ref="S12" authorId="0" shapeId="0" xr:uid="{ED259083-F036-0E4F-BDC4-C2A93798A48C}">
      <text>
        <r>
          <rPr>
            <sz val="10"/>
            <color rgb="FF000000"/>
            <rFont val="Tahoma"/>
            <family val="2"/>
          </rPr>
          <t>total # of Ag-RDT results reported</t>
        </r>
      </text>
    </comment>
    <comment ref="X12" authorId="0" shapeId="0" xr:uid="{B1981FB3-6D76-2E4A-8809-59466181B0B5}">
      <text>
        <r>
          <rPr>
            <sz val="10"/>
            <color rgb="FF000000"/>
            <rFont val="Tahoma"/>
            <family val="2"/>
          </rPr>
          <t>same test was used but adherence unclear</t>
        </r>
      </text>
    </comment>
    <comment ref="AA12" authorId="0" shapeId="0" xr:uid="{AABA36CF-49F7-C648-8837-596BFCCEF322}">
      <text>
        <r>
          <rPr>
            <sz val="10"/>
            <color rgb="FF000000"/>
            <rFont val="Tahoma"/>
            <family val="2"/>
          </rPr>
          <t>no details on manner of test result reporting</t>
        </r>
      </text>
    </comment>
    <comment ref="AF12" authorId="0" shapeId="0" xr:uid="{1C976DD6-8F6F-3D48-B9B7-0E782E60AD84}">
      <text>
        <r>
          <rPr>
            <sz val="10"/>
            <color rgb="FF000000"/>
            <rFont val="Tahoma"/>
            <family val="2"/>
          </rPr>
          <t>count-related</t>
        </r>
      </text>
    </comment>
    <comment ref="D13" authorId="0" shapeId="0" xr:uid="{501CEC85-5A1B-3E49-A679-732E2600AC22}">
      <text>
        <r>
          <rPr>
            <sz val="10"/>
            <color rgb="FF000000"/>
            <rFont val="Tahoma"/>
            <family val="2"/>
          </rPr>
          <t>self-testing was conducted on people with unknown SARS-CoV-2 status</t>
        </r>
      </text>
    </comment>
    <comment ref="F13" authorId="0" shapeId="0" xr:uid="{7040CAA9-DBDE-D14C-A0BC-C668C3E2B451}">
      <text>
        <r>
          <rPr>
            <sz val="10"/>
            <color rgb="FF000000"/>
            <rFont val="Tahoma"/>
            <family val="2"/>
          </rPr>
          <t>testing was voluntary</t>
        </r>
      </text>
    </comment>
    <comment ref="G13" authorId="0" shapeId="0" xr:uid="{4FE0EC9E-10D5-8140-B4E2-9ED587E81912}">
      <text>
        <r>
          <rPr>
            <sz val="10"/>
            <color rgb="FF000000"/>
            <rFont val="Tahoma"/>
            <family val="2"/>
          </rPr>
          <t>before-after comparison</t>
        </r>
      </text>
    </comment>
    <comment ref="I13" authorId="0" shapeId="0" xr:uid="{50B65FC8-CC19-1B4A-9488-42FB899A7FA7}">
      <text>
        <r>
          <rPr>
            <sz val="10"/>
            <color rgb="FF000000"/>
            <rFont val="Tahoma"/>
            <family val="2"/>
          </rPr>
          <t>before-after comparison</t>
        </r>
      </text>
    </comment>
    <comment ref="J13" authorId="0" shapeId="0" xr:uid="{F855D758-7BC2-DD45-A85E-CF12165F9A4C}">
      <text>
        <r>
          <rPr>
            <sz val="10"/>
            <color rgb="FF000000"/>
            <rFont val="Tahoma"/>
            <family val="2"/>
          </rPr>
          <t>before-after comparison</t>
        </r>
      </text>
    </comment>
    <comment ref="L13" authorId="0" shapeId="0" xr:uid="{C2286543-A490-FB41-9136-FBD06AC0EBDE}">
      <text>
        <r>
          <rPr>
            <sz val="10"/>
            <color rgb="FF000000"/>
            <rFont val="Tahoma"/>
            <family val="2"/>
          </rPr>
          <t>before-after comparison</t>
        </r>
      </text>
    </comment>
    <comment ref="M13" authorId="0" shapeId="0" xr:uid="{66D42F75-216D-5F45-BBBD-AA84BBEFF664}">
      <text>
        <r>
          <rPr>
            <sz val="10"/>
            <color rgb="FF000000"/>
            <rFont val="Tahoma"/>
            <family val="2"/>
          </rPr>
          <t>before-after comparison</t>
        </r>
      </text>
    </comment>
    <comment ref="O13" authorId="0" shapeId="0" xr:uid="{58B226BB-3E93-EE43-9734-8B05A42A4E9E}">
      <text>
        <r>
          <rPr>
            <sz val="10"/>
            <color rgb="FF000000"/>
            <rFont val="Tahoma"/>
            <family val="2"/>
          </rPr>
          <t>before-after comparison</t>
        </r>
      </text>
    </comment>
    <comment ref="P13" authorId="0" shapeId="0" xr:uid="{158CF112-32A6-534E-8B26-E2AEAAC3A436}">
      <text>
        <r>
          <rPr>
            <sz val="10"/>
            <color rgb="FF000000"/>
            <rFont val="Tahoma"/>
            <family val="2"/>
          </rPr>
          <t>testing twice weekly</t>
        </r>
      </text>
    </comment>
    <comment ref="S13" authorId="0" shapeId="0" xr:uid="{D1C5C0B5-5839-684F-BFBC-83B835A943FD}">
      <text>
        <r>
          <rPr>
            <sz val="10"/>
            <color rgb="FF000000"/>
            <rFont val="Tahoma"/>
            <family val="2"/>
          </rPr>
          <t>total # of Ag-RDT results reported</t>
        </r>
      </text>
    </comment>
    <comment ref="W13" authorId="0" shapeId="0" xr:uid="{08C04C43-1F03-3D40-8A1A-78432CD7CCC5}">
      <text>
        <r>
          <rPr>
            <sz val="10"/>
            <color rgb="FF000000"/>
            <rFont val="Tahoma"/>
            <family val="2"/>
          </rPr>
          <t>study reports # of test results reported from how many people, and max number of tests possible can be inferred</t>
        </r>
      </text>
    </comment>
    <comment ref="X13" authorId="0" shapeId="0" xr:uid="{1971A173-4C0A-B344-8D6D-C77D0E976C4F}">
      <text>
        <r>
          <rPr>
            <sz val="10"/>
            <color rgb="FF000000"/>
            <rFont val="Tahoma"/>
            <family val="2"/>
          </rPr>
          <t>not everyone adhered to the testing routine</t>
        </r>
      </text>
    </comment>
    <comment ref="AA13" authorId="0" shapeId="0" xr:uid="{95B7CD96-B514-AD43-BF98-3C31D9F8D156}">
      <text>
        <r>
          <rPr>
            <sz val="10"/>
            <color rgb="FF000000"/>
            <rFont val="Tahoma"/>
            <family val="2"/>
          </rPr>
          <t>upload test result via online form, but not specified whether this included a picture or not</t>
        </r>
      </text>
    </comment>
    <comment ref="AE13" authorId="0" shapeId="0" xr:uid="{F37564C1-58F1-1E4B-B702-F6D1143085F0}">
      <text>
        <r>
          <rPr>
            <sz val="10"/>
            <color rgb="FF000000"/>
            <rFont val="Tahoma"/>
            <family val="2"/>
          </rPr>
          <t>upload test result via online form and no mention of this having to include a picture or similar</t>
        </r>
      </text>
    </comment>
    <comment ref="AF13" authorId="0" shapeId="0" xr:uid="{30A8116B-7D66-5E4F-ACFC-8A22BB74F26C}">
      <text>
        <r>
          <rPr>
            <sz val="10"/>
            <color rgb="FF000000"/>
            <rFont val="Tahoma"/>
            <family val="2"/>
          </rPr>
          <t>count-related</t>
        </r>
      </text>
    </comment>
    <comment ref="AH13" authorId="0" shapeId="0" xr:uid="{400CD22A-69BD-EF43-B5F0-A2F001ACF947}">
      <text>
        <r>
          <rPr>
            <sz val="10"/>
            <color rgb="FF000000"/>
            <rFont val="Tahoma"/>
            <family val="2"/>
          </rPr>
          <t>count-related</t>
        </r>
      </text>
    </comment>
    <comment ref="D14" authorId="0" shapeId="0" xr:uid="{4C677A8D-B1EC-1C49-8DE2-8F0134952ACD}">
      <text>
        <r>
          <rPr>
            <sz val="10"/>
            <color rgb="FF000000"/>
            <rFont val="Tahoma"/>
            <family val="2"/>
          </rPr>
          <t>self-testing was conducted on people with unknown SARS-CoV-2 status</t>
        </r>
      </text>
    </comment>
    <comment ref="F14" authorId="0" shapeId="0" xr:uid="{4ABE6BB4-B7C6-1647-89FC-E30A2DD32C25}">
      <text>
        <r>
          <rPr>
            <sz val="10"/>
            <color rgb="FF000000"/>
            <rFont val="Tahoma"/>
            <family val="2"/>
          </rPr>
          <t>testing was voluntary</t>
        </r>
      </text>
    </comment>
    <comment ref="G14" authorId="0" shapeId="0" xr:uid="{D675FAF8-6B86-2F47-92BB-D9006CC124B4}">
      <text>
        <r>
          <rPr>
            <sz val="10"/>
            <color rgb="FF000000"/>
            <rFont val="Tahoma"/>
            <family val="2"/>
          </rPr>
          <t>before-after comparison</t>
        </r>
      </text>
    </comment>
    <comment ref="I14" authorId="0" shapeId="0" xr:uid="{A1685E2D-D6E1-6843-8DC1-BA06DEB6AD69}">
      <text>
        <r>
          <rPr>
            <sz val="10"/>
            <color rgb="FF000000"/>
            <rFont val="Tahoma"/>
            <family val="2"/>
          </rPr>
          <t>before-after comparison</t>
        </r>
      </text>
    </comment>
    <comment ref="J14" authorId="0" shapeId="0" xr:uid="{9DA9DD85-1607-3842-898D-021A4C5C692D}">
      <text>
        <r>
          <rPr>
            <sz val="10"/>
            <color rgb="FF000000"/>
            <rFont val="Tahoma"/>
            <family val="2"/>
          </rPr>
          <t>before-after comparison</t>
        </r>
      </text>
    </comment>
    <comment ref="L14" authorId="0" shapeId="0" xr:uid="{904331A5-F2A3-D845-8142-C71965BEA79F}">
      <text>
        <r>
          <rPr>
            <sz val="10"/>
            <color rgb="FF000000"/>
            <rFont val="Tahoma"/>
            <family val="2"/>
          </rPr>
          <t>before-after comparison</t>
        </r>
      </text>
    </comment>
    <comment ref="M14" authorId="0" shapeId="0" xr:uid="{E0116569-AE7E-734D-AED3-49BF53FB9584}">
      <text>
        <r>
          <rPr>
            <sz val="10"/>
            <color rgb="FF000000"/>
            <rFont val="Tahoma"/>
            <family val="2"/>
          </rPr>
          <t>before-after comparison</t>
        </r>
      </text>
    </comment>
    <comment ref="O14" authorId="0" shapeId="0" xr:uid="{208B110A-7C3D-4A4D-9924-7015B936FF50}">
      <text>
        <r>
          <rPr>
            <sz val="10"/>
            <color rgb="FF000000"/>
            <rFont val="Tahoma"/>
            <family val="2"/>
          </rPr>
          <t>before-after comparison</t>
        </r>
      </text>
    </comment>
    <comment ref="P14" authorId="0" shapeId="0" xr:uid="{B22CF510-2D99-EF4E-BCF4-7F11312B1A00}">
      <text>
        <r>
          <rPr>
            <sz val="10"/>
            <color rgb="FF000000"/>
            <rFont val="Tahoma"/>
            <family val="2"/>
          </rPr>
          <t>routine testing</t>
        </r>
      </text>
    </comment>
    <comment ref="S14" authorId="0" shapeId="0" xr:uid="{FD12FBF9-5CDA-D54C-BB70-20EABDD66DF9}">
      <text>
        <r>
          <rPr>
            <sz val="10"/>
            <color rgb="FF000000"/>
            <rFont val="Tahoma"/>
            <family val="2"/>
          </rPr>
          <t>total # of Ag-RDT results reported</t>
        </r>
      </text>
    </comment>
    <comment ref="V14" authorId="0" shapeId="0" xr:uid="{77FC8078-2773-AF4E-B975-272AC24BA6FE}">
      <text>
        <r>
          <rPr>
            <sz val="10"/>
            <color rgb="FF000000"/>
            <rFont val="Tahoma"/>
            <family val="2"/>
          </rPr>
          <t># of people eligible reported</t>
        </r>
      </text>
    </comment>
    <comment ref="W14" authorId="0" shapeId="0" xr:uid="{B49573A6-D7C6-5543-BD1E-D6485D466D13}">
      <text>
        <r>
          <rPr>
            <sz val="10"/>
            <color rgb="FF000000"/>
            <rFont val="Tahoma"/>
            <family val="2"/>
          </rPr>
          <t>maximum # of tests can be computed</t>
        </r>
      </text>
    </comment>
    <comment ref="X14" authorId="0" shapeId="0" xr:uid="{5C2A068F-D2C1-B449-A19C-677A396453FB}">
      <text>
        <r>
          <rPr>
            <sz val="10"/>
            <color rgb="FF000000"/>
            <rFont val="Tahoma"/>
            <family val="2"/>
          </rPr>
          <t>not everyone adhered to the testing routine</t>
        </r>
      </text>
    </comment>
    <comment ref="AA14" authorId="0" shapeId="0" xr:uid="{2DCDD6AE-9833-E64E-B897-1636706CAC37}">
      <text>
        <r>
          <rPr>
            <sz val="10"/>
            <color rgb="FF000000"/>
            <rFont val="Tahoma"/>
            <family val="2"/>
          </rPr>
          <t>no details on mode of test result recording</t>
        </r>
      </text>
    </comment>
    <comment ref="AD14" authorId="0" shapeId="0" xr:uid="{92A6DF04-6801-4D46-8961-30A4FA781E23}">
      <text>
        <r>
          <rPr>
            <sz val="10"/>
            <color rgb="FF000000"/>
            <rFont val="Tahoma"/>
            <family val="2"/>
          </rPr>
          <t>no details on the manner of test reporting</t>
        </r>
      </text>
    </comment>
    <comment ref="AE14" authorId="0" shapeId="0" xr:uid="{4CEDEF68-2C43-724F-8525-AD6A94F514BC}">
      <text>
        <r>
          <rPr>
            <sz val="10"/>
            <color rgb="FF000000"/>
            <rFont val="Tahoma"/>
            <family val="2"/>
          </rPr>
          <t>no details on mode of test result recording</t>
        </r>
      </text>
    </comment>
    <comment ref="AF14" authorId="0" shapeId="0" xr:uid="{A2077D75-EBE0-EB44-99A4-D9DE6ACD6708}">
      <text>
        <r>
          <rPr>
            <sz val="10"/>
            <color rgb="FF000000"/>
            <rFont val="Tahoma"/>
            <family val="2"/>
          </rPr>
          <t>count-related</t>
        </r>
      </text>
    </comment>
    <comment ref="AH14" authorId="0" shapeId="0" xr:uid="{E14151EE-6439-2E4E-847F-945C0E4E3A16}">
      <text>
        <r>
          <rPr>
            <sz val="10"/>
            <color rgb="FF000000"/>
            <rFont val="Tahoma"/>
            <family val="2"/>
          </rPr>
          <t>count-related</t>
        </r>
      </text>
    </comment>
    <comment ref="D15" authorId="0" shapeId="0" xr:uid="{8786BAA7-7827-E04B-9E0A-B753152C0040}">
      <text>
        <r>
          <rPr>
            <sz val="10"/>
            <color rgb="FF000000"/>
            <rFont val="Tahoma"/>
            <family val="2"/>
          </rPr>
          <t>self-testing was conducted on people with unknown SARS-CoV-2 status</t>
        </r>
      </text>
    </comment>
    <comment ref="F15" authorId="0" shapeId="0" xr:uid="{4EE37A3A-93D4-C644-A0B0-B9C47F41C27D}">
      <text>
        <r>
          <rPr>
            <sz val="10"/>
            <color rgb="FF000000"/>
            <rFont val="Tahoma"/>
            <family val="2"/>
          </rPr>
          <t>testing was voluntary</t>
        </r>
      </text>
    </comment>
    <comment ref="G15" authorId="0" shapeId="0" xr:uid="{A0DBC958-26FD-F346-BE01-169BFAA0A703}">
      <text>
        <r>
          <rPr>
            <sz val="10"/>
            <color rgb="FF000000"/>
            <rFont val="Tahoma"/>
            <family val="2"/>
          </rPr>
          <t>before-after comparison</t>
        </r>
      </text>
    </comment>
    <comment ref="I15" authorId="0" shapeId="0" xr:uid="{E0878BE8-2CE2-A944-BF9C-A5D121FB5993}">
      <text>
        <r>
          <rPr>
            <sz val="10"/>
            <color rgb="FF000000"/>
            <rFont val="Tahoma"/>
            <family val="2"/>
          </rPr>
          <t>before-after comparison</t>
        </r>
      </text>
    </comment>
    <comment ref="J15" authorId="0" shapeId="0" xr:uid="{AFA8DE0F-630A-3C42-8EF9-E43FC22A512B}">
      <text>
        <r>
          <rPr>
            <sz val="10"/>
            <color rgb="FF000000"/>
            <rFont val="Tahoma"/>
            <family val="2"/>
          </rPr>
          <t>before-after comparison</t>
        </r>
      </text>
    </comment>
    <comment ref="L15" authorId="0" shapeId="0" xr:uid="{280B45BF-9A24-1149-A4E3-9CF7633C8708}">
      <text>
        <r>
          <rPr>
            <sz val="10"/>
            <color rgb="FF000000"/>
            <rFont val="Tahoma"/>
            <family val="2"/>
          </rPr>
          <t>before-after comparison</t>
        </r>
      </text>
    </comment>
    <comment ref="M15" authorId="0" shapeId="0" xr:uid="{0A5E0A0B-3917-A14D-9CCC-125296BAE773}">
      <text>
        <r>
          <rPr>
            <sz val="10"/>
            <color rgb="FF000000"/>
            <rFont val="Tahoma"/>
            <family val="2"/>
          </rPr>
          <t>before-after comparison</t>
        </r>
      </text>
    </comment>
    <comment ref="O15" authorId="0" shapeId="0" xr:uid="{875AF0EB-4237-6A4E-8C53-9E64495B9028}">
      <text>
        <r>
          <rPr>
            <sz val="10"/>
            <color rgb="FF000000"/>
            <rFont val="Tahoma"/>
            <family val="2"/>
          </rPr>
          <t>before-after comparison</t>
        </r>
      </text>
    </comment>
    <comment ref="P15" authorId="0" shapeId="0" xr:uid="{F6197ED9-E740-394A-AE09-FB58ABB43B24}">
      <text>
        <r>
          <rPr>
            <sz val="10"/>
            <color rgb="FF000000"/>
            <rFont val="Tahoma"/>
            <family val="2"/>
          </rPr>
          <t>routine testing</t>
        </r>
      </text>
    </comment>
    <comment ref="S15" authorId="0" shapeId="0" xr:uid="{4A1CB3A9-205E-5446-83BB-2B5DB0397F16}">
      <text>
        <r>
          <rPr>
            <sz val="10"/>
            <color rgb="FF000000"/>
            <rFont val="Tahoma"/>
            <family val="2"/>
          </rPr>
          <t>total # of Ag-RDT results reported</t>
        </r>
      </text>
    </comment>
    <comment ref="V15" authorId="0" shapeId="0" xr:uid="{9947BA92-11CD-154C-9507-38C6F1BC89F7}">
      <text>
        <r>
          <rPr>
            <sz val="10"/>
            <color rgb="FF000000"/>
            <rFont val="Tahoma"/>
            <family val="2"/>
          </rPr>
          <t># of people eligible reported</t>
        </r>
      </text>
    </comment>
    <comment ref="W15" authorId="0" shapeId="0" xr:uid="{590699F1-8EE8-7344-B2AE-CBE7A2CB55E5}">
      <text>
        <r>
          <rPr>
            <sz val="10"/>
            <color rgb="FF000000"/>
            <rFont val="Tahoma"/>
            <family val="2"/>
          </rPr>
          <t>maximum # of tests can be computed</t>
        </r>
      </text>
    </comment>
    <comment ref="X15" authorId="0" shapeId="0" xr:uid="{EFA39B46-C9C5-0445-A590-940AFC322B8C}">
      <text>
        <r>
          <rPr>
            <sz val="10"/>
            <color rgb="FF000000"/>
            <rFont val="Tahoma"/>
            <family val="2"/>
          </rPr>
          <t>not everyone adhered to the testing routine</t>
        </r>
      </text>
    </comment>
    <comment ref="AA15" authorId="0" shapeId="0" xr:uid="{F5AA0336-206B-864C-B691-A852CCD8EBD7}">
      <text>
        <r>
          <rPr>
            <sz val="10"/>
            <color rgb="FF000000"/>
            <rFont val="Calibri"/>
            <family val="2"/>
          </rPr>
          <t>no details on mode of test result recording</t>
        </r>
      </text>
    </comment>
    <comment ref="AD15" authorId="0" shapeId="0" xr:uid="{6562FA35-515D-434B-85C3-0B1738B26D0E}">
      <text>
        <r>
          <rPr>
            <sz val="10"/>
            <color rgb="FF000000"/>
            <rFont val="Tahoma"/>
            <family val="2"/>
          </rPr>
          <t>no details on the manner of test reporting</t>
        </r>
      </text>
    </comment>
    <comment ref="AE15" authorId="0" shapeId="0" xr:uid="{7D67A868-5EF2-DD4E-849E-08975568493C}">
      <text>
        <r>
          <rPr>
            <sz val="10"/>
            <color rgb="FF000000"/>
            <rFont val="Calibri"/>
            <family val="2"/>
          </rPr>
          <t>no details on mode of test result recording</t>
        </r>
      </text>
    </comment>
    <comment ref="AF15" authorId="0" shapeId="0" xr:uid="{D5125DA0-A464-444C-9E4D-0B276908C9A5}">
      <text>
        <r>
          <rPr>
            <sz val="10"/>
            <color rgb="FF000000"/>
            <rFont val="Tahoma"/>
            <family val="2"/>
          </rPr>
          <t>count-related</t>
        </r>
      </text>
    </comment>
    <comment ref="AH15" authorId="0" shapeId="0" xr:uid="{CAE1052F-332B-304D-BBAF-0B773A0C13A6}">
      <text>
        <r>
          <rPr>
            <sz val="10"/>
            <color rgb="FF000000"/>
            <rFont val="Tahoma"/>
            <family val="2"/>
          </rPr>
          <t>count-related</t>
        </r>
      </text>
    </comment>
    <comment ref="D16" authorId="0" shapeId="0" xr:uid="{2C41608A-1FD7-CD4F-BA24-28B3BF4A590A}">
      <text>
        <r>
          <rPr>
            <sz val="10"/>
            <color rgb="FF000000"/>
            <rFont val="Tahoma"/>
            <family val="2"/>
          </rPr>
          <t>self-testing was conducted on people with unknown SARS-CoV-2 status</t>
        </r>
      </text>
    </comment>
    <comment ref="E16" authorId="0" shapeId="0" xr:uid="{C3457F82-D850-A346-A46C-51F312E68569}">
      <text>
        <r>
          <rPr>
            <sz val="10"/>
            <color rgb="FF000000"/>
            <rFont val="Tahoma"/>
            <family val="2"/>
          </rPr>
          <t>confirmatory testing for self-testing</t>
        </r>
      </text>
    </comment>
    <comment ref="G16" authorId="0" shapeId="0" xr:uid="{67B1B679-38F1-6542-BD61-1A776C660CDE}">
      <text>
        <r>
          <rPr>
            <sz val="10"/>
            <color rgb="FF000000"/>
            <rFont val="Tahoma"/>
            <family val="2"/>
          </rPr>
          <t>before-after comparison</t>
        </r>
      </text>
    </comment>
    <comment ref="H16" authorId="0" shapeId="0" xr:uid="{4645833F-BB68-CB4B-86AC-3D86EE31E701}">
      <text>
        <r>
          <rPr>
            <sz val="10"/>
            <color rgb="FF000000"/>
            <rFont val="Tahoma"/>
            <family val="2"/>
          </rPr>
          <t>before-after comparison</t>
        </r>
      </text>
    </comment>
    <comment ref="J16" authorId="0" shapeId="0" xr:uid="{2CC3E983-0E78-CE4B-ABD0-7DA3C4FBA0E4}">
      <text>
        <r>
          <rPr>
            <sz val="10"/>
            <color rgb="FF000000"/>
            <rFont val="Tahoma"/>
            <family val="2"/>
          </rPr>
          <t>before-after comparison</t>
        </r>
      </text>
    </comment>
    <comment ref="K16" authorId="0" shapeId="0" xr:uid="{55FADD76-5ED3-414A-8A5C-13A14F24AB18}">
      <text>
        <r>
          <rPr>
            <sz val="10"/>
            <color rgb="FF000000"/>
            <rFont val="Tahoma"/>
            <family val="2"/>
          </rPr>
          <t>before-after comparison</t>
        </r>
      </text>
    </comment>
    <comment ref="M16" authorId="0" shapeId="0" xr:uid="{98813EFD-E7D4-C143-A298-BD59BA5B2258}">
      <text>
        <r>
          <rPr>
            <sz val="10"/>
            <color rgb="FF000000"/>
            <rFont val="Tahoma"/>
            <family val="2"/>
          </rPr>
          <t>before-after comparison</t>
        </r>
      </text>
    </comment>
    <comment ref="N16" authorId="0" shapeId="0" xr:uid="{43A55665-14F2-C046-A11D-317AE7DDB0C5}">
      <text>
        <r>
          <rPr>
            <sz val="10"/>
            <color rgb="FF000000"/>
            <rFont val="Tahoma"/>
            <family val="2"/>
          </rPr>
          <t>before-after comparison</t>
        </r>
      </text>
    </comment>
    <comment ref="P16" authorId="0" shapeId="0" xr:uid="{93D07E37-F953-4841-92BD-B8EF1B9C3A1D}">
      <text>
        <r>
          <rPr>
            <sz val="10"/>
            <color rgb="FF000000"/>
            <rFont val="Tahoma"/>
            <family val="2"/>
          </rPr>
          <t>test twice weekly</t>
        </r>
      </text>
    </comment>
    <comment ref="S16" authorId="0" shapeId="0" xr:uid="{1D3BA365-1F6C-384E-BFEA-6B0BE1CC6740}">
      <text>
        <r>
          <rPr>
            <sz val="10"/>
            <color rgb="FF000000"/>
            <rFont val="Tahoma"/>
            <family val="2"/>
          </rPr>
          <t>total # of Ag-RDT results reported</t>
        </r>
      </text>
    </comment>
    <comment ref="T16" authorId="0" shapeId="0" xr:uid="{C9520A1A-0A4A-5A42-A075-3FC759320C70}">
      <text>
        <r>
          <rPr>
            <sz val="10"/>
            <color rgb="FF000000"/>
            <rFont val="Tahoma"/>
            <family val="2"/>
          </rPr>
          <t>all individuals included received confirmatory testing</t>
        </r>
      </text>
    </comment>
    <comment ref="U16" authorId="0" shapeId="0" xr:uid="{984EB109-8964-E344-B012-F618897CD07C}">
      <text>
        <r>
          <rPr>
            <sz val="10"/>
            <color rgb="FF000000"/>
            <rFont val="Tahoma"/>
            <family val="2"/>
          </rPr>
          <t>confirmatory testing for all C19ST</t>
        </r>
      </text>
    </comment>
    <comment ref="X16" authorId="0" shapeId="0" xr:uid="{8C8A27EA-B006-0041-9A38-DBDEFAFF3FEB}">
      <text>
        <r>
          <rPr>
            <sz val="10"/>
            <color rgb="FF000000"/>
            <rFont val="Tahoma"/>
            <family val="2"/>
          </rPr>
          <t>individuals could have tested at different frequencies</t>
        </r>
      </text>
    </comment>
    <comment ref="Y16" authorId="0" shapeId="0" xr:uid="{F524582B-3642-2648-839B-1B6A5D9FB821}">
      <text>
        <r>
          <rPr>
            <sz val="10"/>
            <color rgb="FF000000"/>
            <rFont val="Tahoma"/>
            <family val="2"/>
          </rPr>
          <t>all confirmatory testing was done using RT-PCR</t>
        </r>
      </text>
    </comment>
    <comment ref="AA16" authorId="0" shapeId="0" xr:uid="{9F647D4E-CD47-4344-B6F2-CA99208EB00F}">
      <text>
        <r>
          <rPr>
            <sz val="10"/>
            <color rgb="FF000000"/>
            <rFont val="Tahoma"/>
            <family val="2"/>
          </rPr>
          <t>no details on the manner of result reporting</t>
        </r>
      </text>
    </comment>
    <comment ref="AB16" authorId="0" shapeId="0" xr:uid="{D154D75B-55D1-B54E-BDF4-801B8878064E}">
      <text>
        <r>
          <rPr>
            <sz val="10"/>
            <color rgb="FF000000"/>
            <rFont val="Tahoma"/>
            <family val="2"/>
          </rPr>
          <t>confirmatory testing we conducted on all C19ST</t>
        </r>
      </text>
    </comment>
    <comment ref="AC16" authorId="0" shapeId="0" xr:uid="{D02D8ECE-5130-8548-A6AF-A20DF1F9D3D6}">
      <text>
        <r>
          <rPr>
            <sz val="10"/>
            <color rgb="FF000000"/>
            <rFont val="Tahoma"/>
            <family val="2"/>
          </rPr>
          <t>confirmatory testing we conducted on all C19ST</t>
        </r>
      </text>
    </comment>
    <comment ref="AF16" authorId="0" shapeId="0" xr:uid="{6FF3E5CC-F89A-5D44-AC34-D9C9847CE16C}">
      <text>
        <r>
          <rPr>
            <sz val="10"/>
            <color rgb="FF000000"/>
            <rFont val="Tahoma"/>
            <family val="2"/>
          </rPr>
          <t>count-related</t>
        </r>
      </text>
    </comment>
    <comment ref="AG16" authorId="0" shapeId="0" xr:uid="{B97643B6-96AE-E14E-B774-D57B0C2D16B8}">
      <text>
        <r>
          <rPr>
            <sz val="10"/>
            <color rgb="FF000000"/>
            <rFont val="Tahoma"/>
            <family val="2"/>
          </rPr>
          <t>all confirmatory testing was done using RT-PCR</t>
        </r>
      </text>
    </comment>
    <comment ref="D17" authorId="0" shapeId="0" xr:uid="{F1DFBB12-CDB3-9941-A85F-81C67F4A2958}">
      <text>
        <r>
          <rPr>
            <sz val="10"/>
            <color rgb="FF000000"/>
            <rFont val="Tahoma"/>
            <family val="2"/>
          </rPr>
          <t>self-testing was conducted on people with unknown SARS-CoV-2 status</t>
        </r>
      </text>
    </comment>
    <comment ref="F17" authorId="0" shapeId="0" xr:uid="{FF442C94-3A40-DC43-804A-0BCD66A7A03E}">
      <text>
        <r>
          <rPr>
            <sz val="10"/>
            <color rgb="FF000000"/>
            <rFont val="Tahoma"/>
            <family val="2"/>
          </rPr>
          <t>testing was voluntary</t>
        </r>
      </text>
    </comment>
    <comment ref="G17" authorId="0" shapeId="0" xr:uid="{D92BA725-7429-9B49-9A10-D1AB9E5F614B}">
      <text>
        <r>
          <rPr>
            <sz val="10"/>
            <color rgb="FF000000"/>
            <rFont val="Tahoma"/>
            <family val="2"/>
          </rPr>
          <t>before-after comparison</t>
        </r>
      </text>
    </comment>
    <comment ref="J17" authorId="0" shapeId="0" xr:uid="{4221E361-3CEC-214C-843A-CE00322DAEA4}">
      <text>
        <r>
          <rPr>
            <sz val="10"/>
            <color rgb="FF000000"/>
            <rFont val="Tahoma"/>
            <family val="2"/>
          </rPr>
          <t>before-after comparison</t>
        </r>
      </text>
    </comment>
    <comment ref="M17" authorId="0" shapeId="0" xr:uid="{EEAF91C6-098F-9542-A134-53E318F28C42}">
      <text>
        <r>
          <rPr>
            <sz val="10"/>
            <color rgb="FF000000"/>
            <rFont val="Tahoma"/>
            <family val="2"/>
          </rPr>
          <t>before-after comparison</t>
        </r>
      </text>
    </comment>
    <comment ref="P17" authorId="0" shapeId="0" xr:uid="{80CC6C71-F2A1-194A-8743-4D5F1F246E23}">
      <text>
        <r>
          <rPr>
            <sz val="10"/>
            <color rgb="FF000000"/>
            <rFont val="Tahoma"/>
            <family val="2"/>
          </rPr>
          <t>routine (twice weekly) testing</t>
        </r>
      </text>
    </comment>
    <comment ref="S17" authorId="0" shapeId="0" xr:uid="{E75E7F62-1A53-AA43-B47A-A15F8A423D76}">
      <text>
        <r>
          <rPr>
            <sz val="10"/>
            <color rgb="FF000000"/>
            <rFont val="Tahoma"/>
            <family val="2"/>
          </rPr>
          <t>total # of Ag-RDT results reported</t>
        </r>
      </text>
    </comment>
    <comment ref="V17" authorId="0" shapeId="0" xr:uid="{F1F27A19-5CFE-4D4A-9C29-38C98C08EF6A}">
      <text>
        <r>
          <rPr>
            <sz val="10"/>
            <color rgb="FF000000"/>
            <rFont val="Tahoma"/>
            <family val="2"/>
          </rPr>
          <t># of people eligible for self-testing not specified</t>
        </r>
      </text>
    </comment>
    <comment ref="W17" authorId="0" shapeId="0" xr:uid="{CCD9BD78-71B7-114A-A529-3AB4CCD5BBC1}">
      <text>
        <r>
          <rPr>
            <sz val="10"/>
            <color rgb="FF000000"/>
            <rFont val="Tahoma"/>
            <family val="2"/>
          </rPr>
          <t>possible to compute max # of self-tests</t>
        </r>
      </text>
    </comment>
    <comment ref="X17" authorId="0" shapeId="0" xr:uid="{548C1F1A-63BD-8945-BC8A-40DC84BF248F}">
      <text>
        <r>
          <rPr>
            <sz val="10"/>
            <color rgb="FF000000"/>
            <rFont val="Tahoma"/>
            <family val="2"/>
          </rPr>
          <t>not everyone adhered to the testing routine</t>
        </r>
      </text>
    </comment>
    <comment ref="AA17" authorId="0" shapeId="0" xr:uid="{644D6FAF-0F01-7748-976A-035BDF38DFFC}">
      <text>
        <r>
          <rPr>
            <sz val="10"/>
            <color rgb="FF000000"/>
            <rFont val="Tahoma"/>
            <family val="2"/>
          </rPr>
          <t>individuals had to provide a picture of the test result when reporting via online tool</t>
        </r>
      </text>
    </comment>
    <comment ref="AD17" authorId="0" shapeId="0" xr:uid="{71CA6043-8664-0345-B8E8-6B1AA02DF65A}">
      <text>
        <r>
          <rPr>
            <sz val="10"/>
            <color rgb="FF000000"/>
            <rFont val="Tahoma"/>
            <family val="2"/>
          </rPr>
          <t>test kits were shipped by study staff</t>
        </r>
      </text>
    </comment>
    <comment ref="AE17" authorId="0" shapeId="0" xr:uid="{1EDB96F2-6FBA-D14D-9897-FC8B358D4E58}">
      <text>
        <r>
          <rPr>
            <sz val="10"/>
            <color rgb="FF000000"/>
            <rFont val="Tahoma"/>
            <family val="2"/>
          </rPr>
          <t>individuals had to provide a picture of the test result when reporting via online tool</t>
        </r>
      </text>
    </comment>
    <comment ref="AF17" authorId="0" shapeId="0" xr:uid="{4F3690BC-2B5E-494A-89A2-01D765E5402F}">
      <text>
        <r>
          <rPr>
            <sz val="10"/>
            <color rgb="FF000000"/>
            <rFont val="Tahoma"/>
            <family val="2"/>
          </rPr>
          <t>count-related</t>
        </r>
      </text>
    </comment>
    <comment ref="AH17" authorId="0" shapeId="0" xr:uid="{8F12D762-432B-2948-BF42-8F0CF497A72E}">
      <text>
        <r>
          <rPr>
            <sz val="10"/>
            <color rgb="FF000000"/>
            <rFont val="Tahoma"/>
            <family val="2"/>
          </rPr>
          <t>count-related</t>
        </r>
      </text>
    </comment>
    <comment ref="F18" authorId="0" shapeId="0" xr:uid="{378E1EE0-3FD6-3143-8FC1-DCCE1038297E}">
      <text>
        <r>
          <rPr>
            <sz val="10"/>
            <color rgb="FF000000"/>
            <rFont val="Tahoma"/>
            <family val="2"/>
          </rPr>
          <t>testing was voluntary</t>
        </r>
      </text>
    </comment>
    <comment ref="I18" authorId="0" shapeId="0" xr:uid="{5B4AD78E-B408-D340-829F-CF47FC57DE56}">
      <text>
        <r>
          <rPr>
            <sz val="10"/>
            <color rgb="FF000000"/>
            <rFont val="Tahoma"/>
            <family val="2"/>
          </rPr>
          <t>before-after comparison</t>
        </r>
      </text>
    </comment>
    <comment ref="L18" authorId="0" shapeId="0" xr:uid="{33DBBB3A-5022-DF48-B05D-4C180E14CA7E}">
      <text>
        <r>
          <rPr>
            <sz val="10"/>
            <color rgb="FF000000"/>
            <rFont val="Tahoma"/>
            <family val="2"/>
          </rPr>
          <t>before-after comparison</t>
        </r>
      </text>
    </comment>
    <comment ref="O18" authorId="0" shapeId="0" xr:uid="{692ED843-9758-874A-9A4C-C5ADCDB92AFF}">
      <text>
        <r>
          <rPr>
            <sz val="10"/>
            <color rgb="FF000000"/>
            <rFont val="Tahoma"/>
            <family val="2"/>
          </rPr>
          <t>before-after comparison</t>
        </r>
      </text>
    </comment>
    <comment ref="W18" authorId="0" shapeId="0" xr:uid="{615A97EF-C489-E445-A3FA-1C9486F6E7E7}">
      <text>
        <r>
          <rPr>
            <sz val="10"/>
            <color rgb="FF000000"/>
            <rFont val="Tahoma"/>
            <family val="2"/>
          </rPr>
          <t>max # of tests reported</t>
        </r>
      </text>
    </comment>
    <comment ref="AE18" authorId="0" shapeId="0" xr:uid="{52CE10DD-1F94-B84B-834E-8EA55800C41B}">
      <text>
        <r>
          <rPr>
            <sz val="10"/>
            <color rgb="FF000000"/>
            <rFont val="Tahoma"/>
            <family val="2"/>
          </rPr>
          <t>report test result via app, but not specified whether this included a picture or ont</t>
        </r>
      </text>
    </comment>
    <comment ref="AH18" authorId="0" shapeId="0" xr:uid="{902A7C47-5426-2A4E-8549-C2B2043DD080}">
      <text>
        <r>
          <rPr>
            <sz val="10"/>
            <color rgb="FF000000"/>
            <rFont val="Tahoma"/>
            <family val="2"/>
          </rPr>
          <t>count-related</t>
        </r>
      </text>
    </comment>
    <comment ref="F19" authorId="0" shapeId="0" xr:uid="{22F9FE73-B06E-7E4A-B38E-059CDF2BBFF4}">
      <text>
        <r>
          <rPr>
            <sz val="10"/>
            <color rgb="FF000000"/>
            <rFont val="Tahoma"/>
            <family val="2"/>
          </rPr>
          <t>testing was voluntary</t>
        </r>
      </text>
    </comment>
    <comment ref="I19" authorId="0" shapeId="0" xr:uid="{6EB82FBA-C62E-E648-ACAF-F075D2A3FBC4}">
      <text>
        <r>
          <rPr>
            <sz val="10"/>
            <color rgb="FF000000"/>
            <rFont val="Tahoma"/>
            <family val="2"/>
          </rPr>
          <t>before-after comparison</t>
        </r>
      </text>
    </comment>
    <comment ref="L19" authorId="0" shapeId="0" xr:uid="{56B7867F-8E98-0F49-966F-97D5675D6FDA}">
      <text>
        <r>
          <rPr>
            <sz val="10"/>
            <color rgb="FF000000"/>
            <rFont val="Tahoma"/>
            <family val="2"/>
          </rPr>
          <t>before-after comparison</t>
        </r>
      </text>
    </comment>
    <comment ref="O19" authorId="0" shapeId="0" xr:uid="{69E93DD1-0073-844A-B67E-BB4D88630745}">
      <text>
        <r>
          <rPr>
            <sz val="10"/>
            <color rgb="FF000000"/>
            <rFont val="Tahoma"/>
            <family val="2"/>
          </rPr>
          <t>before-after comparison</t>
        </r>
      </text>
    </comment>
    <comment ref="W19" authorId="0" shapeId="0" xr:uid="{31D8FA54-C48C-704F-83B9-DAE2CD0DB792}">
      <text>
        <r>
          <rPr>
            <sz val="10"/>
            <color rgb="FF000000"/>
            <rFont val="Tahoma"/>
            <family val="2"/>
          </rPr>
          <t>max # of tests reported</t>
        </r>
      </text>
    </comment>
    <comment ref="AE19" authorId="0" shapeId="0" xr:uid="{DB7AB07B-255E-8F4A-8E48-37FDBED47C22}">
      <text>
        <r>
          <rPr>
            <sz val="10"/>
            <color rgb="FF000000"/>
            <rFont val="Tahoma"/>
            <family val="2"/>
          </rPr>
          <t>report test result via app, but not specified whether this included a picture or ont</t>
        </r>
      </text>
    </comment>
    <comment ref="AH19" authorId="0" shapeId="0" xr:uid="{E344F9AD-B171-FD49-9812-A72271E4DB23}">
      <text>
        <r>
          <rPr>
            <sz val="10"/>
            <color rgb="FF000000"/>
            <rFont val="Tahoma"/>
            <family val="2"/>
          </rPr>
          <t>count-related</t>
        </r>
      </text>
    </comment>
    <comment ref="F20" authorId="0" shapeId="0" xr:uid="{BCD3AF5B-F450-9F4C-9A2B-A4012F252BB6}">
      <text>
        <r>
          <rPr>
            <sz val="10"/>
            <color rgb="FF000000"/>
            <rFont val="Tahoma"/>
            <family val="2"/>
          </rPr>
          <t>testing was voluntary</t>
        </r>
      </text>
    </comment>
    <comment ref="I20" authorId="0" shapeId="0" xr:uid="{F1015B3B-308E-8849-B670-216927ED68A4}">
      <text>
        <r>
          <rPr>
            <sz val="10"/>
            <color rgb="FF000000"/>
            <rFont val="Tahoma"/>
            <family val="2"/>
          </rPr>
          <t>before-after comparison</t>
        </r>
      </text>
    </comment>
    <comment ref="L20" authorId="0" shapeId="0" xr:uid="{7D71C9B6-40C7-FD4E-8A72-0FE4327B535A}">
      <text>
        <r>
          <rPr>
            <sz val="10"/>
            <color rgb="FF000000"/>
            <rFont val="Tahoma"/>
            <family val="2"/>
          </rPr>
          <t>before-after comparison</t>
        </r>
      </text>
    </comment>
    <comment ref="O20" authorId="0" shapeId="0" xr:uid="{146C7AFA-95D4-5946-BF20-03E6A1714D17}">
      <text>
        <r>
          <rPr>
            <sz val="10"/>
            <color rgb="FF000000"/>
            <rFont val="Tahoma"/>
            <family val="2"/>
          </rPr>
          <t>before-after comparison</t>
        </r>
      </text>
    </comment>
    <comment ref="W20" authorId="0" shapeId="0" xr:uid="{91C8DE65-89C8-C146-BD32-FE006D64635E}">
      <text>
        <r>
          <rPr>
            <sz val="10"/>
            <color rgb="FF000000"/>
            <rFont val="Tahoma"/>
            <family val="2"/>
          </rPr>
          <t>max # of tests reported</t>
        </r>
      </text>
    </comment>
    <comment ref="AE20" authorId="0" shapeId="0" xr:uid="{68355B5E-9A3C-8748-AC24-7C074477C2A9}">
      <text>
        <r>
          <rPr>
            <sz val="10"/>
            <color rgb="FF000000"/>
            <rFont val="Tahoma"/>
            <family val="2"/>
          </rPr>
          <t>report test result via app, but not specified whether this included a picture or ont</t>
        </r>
      </text>
    </comment>
    <comment ref="AH20" authorId="0" shapeId="0" xr:uid="{55784747-FAD0-4B4F-8F30-3334AC4EC50D}">
      <text>
        <r>
          <rPr>
            <sz val="10"/>
            <color rgb="FF000000"/>
            <rFont val="Tahoma"/>
            <family val="2"/>
          </rPr>
          <t>count-related</t>
        </r>
      </text>
    </comment>
    <comment ref="F21" authorId="0" shapeId="0" xr:uid="{B0CFEECB-EE62-C340-980C-7518E611C419}">
      <text>
        <r>
          <rPr>
            <sz val="10"/>
            <color rgb="FF000000"/>
            <rFont val="Tahoma"/>
            <family val="2"/>
          </rPr>
          <t>testing was voluntary</t>
        </r>
      </text>
    </comment>
    <comment ref="I21" authorId="0" shapeId="0" xr:uid="{82B88104-CC95-D645-8B45-23AFD9601D3E}">
      <text>
        <r>
          <rPr>
            <sz val="10"/>
            <color rgb="FF000000"/>
            <rFont val="Tahoma"/>
            <family val="2"/>
          </rPr>
          <t>before-after comparison</t>
        </r>
      </text>
    </comment>
    <comment ref="L21" authorId="0" shapeId="0" xr:uid="{D709BBBC-BBAC-2C4B-9D03-768E50885831}">
      <text>
        <r>
          <rPr>
            <sz val="10"/>
            <color rgb="FF000000"/>
            <rFont val="Tahoma"/>
            <family val="2"/>
          </rPr>
          <t>before-after comparison</t>
        </r>
      </text>
    </comment>
    <comment ref="O21" authorId="0" shapeId="0" xr:uid="{C1856C3C-B805-2749-B605-51776FC306A0}">
      <text>
        <r>
          <rPr>
            <sz val="10"/>
            <color rgb="FF000000"/>
            <rFont val="Tahoma"/>
            <family val="2"/>
          </rPr>
          <t>before-after comparison</t>
        </r>
      </text>
    </comment>
    <comment ref="W21" authorId="0" shapeId="0" xr:uid="{6232B8B8-5519-B246-9CAB-6D44B0710071}">
      <text>
        <r>
          <rPr>
            <sz val="10"/>
            <color rgb="FF000000"/>
            <rFont val="Tahoma"/>
            <family val="2"/>
          </rPr>
          <t>max # of tests reported</t>
        </r>
      </text>
    </comment>
    <comment ref="AE21" authorId="0" shapeId="0" xr:uid="{4E4AC2B6-5CCB-F447-9861-05A3906C4B8C}">
      <text>
        <r>
          <rPr>
            <sz val="10"/>
            <color rgb="FF000000"/>
            <rFont val="Tahoma"/>
            <family val="2"/>
          </rPr>
          <t>report test result via app, but not specified whether this included a picture or ont</t>
        </r>
      </text>
    </comment>
    <comment ref="AH21" authorId="0" shapeId="0" xr:uid="{EA2FEF92-AFDB-2F4D-BD88-B7F6A067957C}">
      <text>
        <r>
          <rPr>
            <sz val="10"/>
            <color rgb="FF000000"/>
            <rFont val="Tahoma"/>
            <family val="2"/>
          </rPr>
          <t>count-related</t>
        </r>
      </text>
    </comment>
    <comment ref="F22" authorId="0" shapeId="0" xr:uid="{E9807B63-53DF-C741-9955-22190B7A1EB2}">
      <text>
        <r>
          <rPr>
            <sz val="10"/>
            <color rgb="FF000000"/>
            <rFont val="Tahoma"/>
            <family val="2"/>
          </rPr>
          <t>testing was voluntary</t>
        </r>
      </text>
    </comment>
    <comment ref="I22" authorId="0" shapeId="0" xr:uid="{D717766B-FDC1-F142-8953-D0861DB455B2}">
      <text>
        <r>
          <rPr>
            <sz val="10"/>
            <color rgb="FF000000"/>
            <rFont val="Tahoma"/>
            <family val="2"/>
          </rPr>
          <t>before-after comparison</t>
        </r>
      </text>
    </comment>
    <comment ref="L22" authorId="0" shapeId="0" xr:uid="{CBC9923B-0016-F445-A750-52E6DB695050}">
      <text>
        <r>
          <rPr>
            <sz val="10"/>
            <color rgb="FF000000"/>
            <rFont val="Tahoma"/>
            <family val="2"/>
          </rPr>
          <t>before-after comparison</t>
        </r>
      </text>
    </comment>
    <comment ref="O22" authorId="0" shapeId="0" xr:uid="{2B8CD401-296D-9A43-8CA9-D2FC33ECFF8D}">
      <text>
        <r>
          <rPr>
            <sz val="10"/>
            <color rgb="FF000000"/>
            <rFont val="Tahoma"/>
            <family val="2"/>
          </rPr>
          <t>before-after comparison</t>
        </r>
      </text>
    </comment>
    <comment ref="W22" authorId="0" shapeId="0" xr:uid="{A71D06C6-C3CD-3F4F-BDBF-0F6370CE61DB}">
      <text>
        <r>
          <rPr>
            <sz val="10"/>
            <color rgb="FF000000"/>
            <rFont val="Tahoma"/>
            <family val="2"/>
          </rPr>
          <t>max # of tests reported</t>
        </r>
      </text>
    </comment>
    <comment ref="AE22" authorId="0" shapeId="0" xr:uid="{DCA9BF9E-4B91-C045-AF5F-9AE63E509834}">
      <text>
        <r>
          <rPr>
            <sz val="10"/>
            <color rgb="FF000000"/>
            <rFont val="Tahoma"/>
            <family val="2"/>
          </rPr>
          <t>report test result via app, but not specified whether this included a picture or ont</t>
        </r>
      </text>
    </comment>
    <comment ref="AH22" authorId="0" shapeId="0" xr:uid="{FF41CA07-ABA2-2340-8471-E68EC0839D16}">
      <text>
        <r>
          <rPr>
            <sz val="10"/>
            <color rgb="FF000000"/>
            <rFont val="Tahoma"/>
            <family val="2"/>
          </rPr>
          <t>count-related</t>
        </r>
      </text>
    </comment>
    <comment ref="D23" authorId="0" shapeId="0" xr:uid="{74EEDB59-F4F1-1844-A26E-BB3DE9E0180D}">
      <text>
        <r>
          <rPr>
            <sz val="10"/>
            <color rgb="FF000000"/>
            <rFont val="Tahoma"/>
            <family val="2"/>
          </rPr>
          <t>self-testing was conducted on people with unknown SARS-CoV-2 status</t>
        </r>
      </text>
    </comment>
    <comment ref="F23" authorId="0" shapeId="0" xr:uid="{96236E38-AE65-5344-8CC5-615546ABE9AB}">
      <text>
        <r>
          <rPr>
            <sz val="10"/>
            <color rgb="FF000000"/>
            <rFont val="Tahoma"/>
            <family val="2"/>
          </rPr>
          <t>testing was voluntary</t>
        </r>
      </text>
    </comment>
    <comment ref="G23" authorId="0" shapeId="0" xr:uid="{0AA0F045-5F36-D247-85F5-3930E2837AFE}">
      <text>
        <r>
          <rPr>
            <sz val="10"/>
            <color rgb="FF000000"/>
            <rFont val="Tahoma"/>
            <family val="2"/>
          </rPr>
          <t>before-after comparison</t>
        </r>
      </text>
    </comment>
    <comment ref="I23" authorId="0" shapeId="0" xr:uid="{EFA28EA1-3936-1E47-8628-42A1E5017691}">
      <text>
        <r>
          <rPr>
            <sz val="10"/>
            <color rgb="FF000000"/>
            <rFont val="Tahoma"/>
            <family val="2"/>
          </rPr>
          <t>before-after comparison</t>
        </r>
      </text>
    </comment>
    <comment ref="J23" authorId="0" shapeId="0" xr:uid="{59563F77-44DB-F642-9412-AF77E573F740}">
      <text>
        <r>
          <rPr>
            <sz val="10"/>
            <color rgb="FF000000"/>
            <rFont val="Tahoma"/>
            <family val="2"/>
          </rPr>
          <t>before-after comparison</t>
        </r>
      </text>
    </comment>
    <comment ref="L23" authorId="0" shapeId="0" xr:uid="{B71081A0-0969-CA45-AAD6-0F4D480AF38E}">
      <text>
        <r>
          <rPr>
            <sz val="10"/>
            <color rgb="FF000000"/>
            <rFont val="Tahoma"/>
            <family val="2"/>
          </rPr>
          <t>before-after comparison</t>
        </r>
      </text>
    </comment>
    <comment ref="M23" authorId="0" shapeId="0" xr:uid="{0BA21735-0EBC-6943-B6E1-5AC071360449}">
      <text>
        <r>
          <rPr>
            <sz val="10"/>
            <color rgb="FF000000"/>
            <rFont val="Tahoma"/>
            <family val="2"/>
          </rPr>
          <t>before-after comparison</t>
        </r>
      </text>
    </comment>
    <comment ref="O23" authorId="0" shapeId="0" xr:uid="{08944875-9DC2-FA4E-9563-09B0F2C937F9}">
      <text>
        <r>
          <rPr>
            <sz val="10"/>
            <color rgb="FF000000"/>
            <rFont val="Tahoma"/>
            <family val="2"/>
          </rPr>
          <t>before-after comparison</t>
        </r>
      </text>
    </comment>
    <comment ref="P23" authorId="0" shapeId="0" xr:uid="{DCAAFE3F-0F05-E24D-8C28-AE769CD4F1D6}">
      <text>
        <r>
          <rPr>
            <sz val="10"/>
            <color rgb="FF000000"/>
            <rFont val="Tahoma"/>
            <family val="2"/>
          </rPr>
          <t>routine testing but unclear testing regime</t>
        </r>
      </text>
    </comment>
    <comment ref="S23" authorId="0" shapeId="0" xr:uid="{0840BEE2-5C9E-324C-BD11-D26A86BE7A9D}">
      <text>
        <r>
          <rPr>
            <sz val="10"/>
            <color rgb="FF000000"/>
            <rFont val="Tahoma"/>
            <family val="2"/>
          </rPr>
          <t>total # of Ag-RDT results reported</t>
        </r>
      </text>
    </comment>
    <comment ref="V23" authorId="0" shapeId="0" xr:uid="{8C3424B1-3912-A147-8734-805898B5E6C9}">
      <text>
        <r>
          <rPr>
            <sz val="10"/>
            <color rgb="FF000000"/>
            <rFont val="Tahoma"/>
            <family val="2"/>
          </rPr>
          <t>2915 students and staff eligible for testing</t>
        </r>
      </text>
    </comment>
    <comment ref="W23" authorId="0" shapeId="0" xr:uid="{2A08B404-CB65-1E4C-AD08-A65E1F699F13}">
      <text>
        <r>
          <rPr>
            <sz val="10"/>
            <color rgb="FF000000"/>
            <rFont val="Tahoma"/>
            <family val="2"/>
          </rPr>
          <t>study reports number of people that reported C19ST result</t>
        </r>
      </text>
    </comment>
    <comment ref="X23" authorId="0" shapeId="0" xr:uid="{DCE3D6B4-B6F3-4B4D-B606-05622E40536B}">
      <text>
        <r>
          <rPr>
            <sz val="10"/>
            <color rgb="FF000000"/>
            <rFont val="Tahoma"/>
            <family val="2"/>
          </rPr>
          <t>individuals tested at different testing frequencies</t>
        </r>
      </text>
    </comment>
    <comment ref="AA23" authorId="0" shapeId="0" xr:uid="{AF55F4AC-E61F-5043-9D8A-1186F051FD83}">
      <text>
        <r>
          <rPr>
            <sz val="10"/>
            <color rgb="FF000000"/>
            <rFont val="Tahoma"/>
            <family val="2"/>
          </rPr>
          <t>photographs had to be submitted</t>
        </r>
      </text>
    </comment>
    <comment ref="AD23" authorId="0" shapeId="0" xr:uid="{4DF9DA0B-C314-6D45-8EE4-F4EC429A2A10}">
      <text>
        <r>
          <rPr>
            <sz val="10"/>
            <color rgb="FF000000"/>
            <rFont val="Calibri"/>
            <family val="2"/>
          </rPr>
          <t>participants received test kits from study personnel</t>
        </r>
      </text>
    </comment>
    <comment ref="AE23" authorId="0" shapeId="0" xr:uid="{EDBCEBC0-2D2D-8441-A705-784C82AC795E}">
      <text>
        <r>
          <rPr>
            <sz val="10"/>
            <color rgb="FF000000"/>
            <rFont val="Tahoma"/>
            <family val="2"/>
          </rPr>
          <t>photographs had to be submitted</t>
        </r>
      </text>
    </comment>
    <comment ref="AF23" authorId="0" shapeId="0" xr:uid="{35D793CD-583E-7C4A-AA15-5548334135D9}">
      <text>
        <r>
          <rPr>
            <sz val="10"/>
            <color rgb="FF000000"/>
            <rFont val="Tahoma"/>
            <family val="2"/>
          </rPr>
          <t>count-related</t>
        </r>
      </text>
    </comment>
    <comment ref="AH23" authorId="0" shapeId="0" xr:uid="{188B52F3-0C0B-5844-9D22-AC96481000E2}">
      <text>
        <r>
          <rPr>
            <sz val="10"/>
            <color rgb="FF000000"/>
            <rFont val="Tahoma"/>
            <family val="2"/>
          </rPr>
          <t>count-related</t>
        </r>
      </text>
    </comment>
    <comment ref="D24" authorId="0" shapeId="0" xr:uid="{43708951-98E8-944B-BF5C-7EB88F7656DA}">
      <text>
        <r>
          <rPr>
            <sz val="10"/>
            <color rgb="FF000000"/>
            <rFont val="Tahoma"/>
            <family val="2"/>
          </rPr>
          <t>self-testing was conducted on people with unknown SARS-CoV-2 status</t>
        </r>
      </text>
    </comment>
    <comment ref="G24" authorId="0" shapeId="0" xr:uid="{724CF15F-CD24-1541-9337-54FAED0DD104}">
      <text>
        <r>
          <rPr>
            <sz val="10"/>
            <color rgb="FF000000"/>
            <rFont val="Tahoma"/>
            <family val="2"/>
          </rPr>
          <t>before-after comparison</t>
        </r>
      </text>
    </comment>
    <comment ref="J24" authorId="0" shapeId="0" xr:uid="{E519F795-6E48-6048-A5B5-FC84C14F56F8}">
      <text>
        <r>
          <rPr>
            <sz val="10"/>
            <color rgb="FF000000"/>
            <rFont val="Tahoma"/>
            <family val="2"/>
          </rPr>
          <t>before-after comparison</t>
        </r>
      </text>
    </comment>
    <comment ref="M24" authorId="0" shapeId="0" xr:uid="{05665131-BDCE-474C-B90A-90E6E8B9A498}">
      <text>
        <r>
          <rPr>
            <sz val="10"/>
            <color rgb="FF000000"/>
            <rFont val="Tahoma"/>
            <family val="2"/>
          </rPr>
          <t>before-after comparison</t>
        </r>
      </text>
    </comment>
    <comment ref="P24" authorId="0" shapeId="0" xr:uid="{A22D544F-E592-5C43-A71D-31B71B706450}">
      <text>
        <r>
          <rPr>
            <sz val="10"/>
            <color rgb="FF000000"/>
            <rFont val="Tahoma"/>
            <family val="2"/>
          </rPr>
          <t>routine testing but unclear testing regime</t>
        </r>
      </text>
    </comment>
    <comment ref="S24" authorId="0" shapeId="0" xr:uid="{FBDCFB99-CA1F-D34C-A918-39073B47173A}">
      <text>
        <r>
          <rPr>
            <sz val="10"/>
            <color rgb="FF000000"/>
            <rFont val="Tahoma"/>
            <family val="2"/>
          </rPr>
          <t>total # of Ag-RDT results reported</t>
        </r>
      </text>
    </comment>
    <comment ref="X24" authorId="0" shapeId="0" xr:uid="{358714E3-1E9E-6547-8C9E-C485749CD6B1}">
      <text>
        <r>
          <rPr>
            <sz val="10"/>
            <color rgb="FF000000"/>
            <rFont val="Tahoma"/>
            <family val="2"/>
          </rPr>
          <t>individuals tested at different testing frequencies</t>
        </r>
      </text>
    </comment>
    <comment ref="AA24" authorId="0" shapeId="0" xr:uid="{B0A8CE68-88AF-094D-8DAC-7D977AE5E9B5}">
      <text>
        <r>
          <rPr>
            <sz val="10"/>
            <color rgb="FF000000"/>
            <rFont val="Calibri"/>
            <family val="2"/>
          </rPr>
          <t>photographs had to be submitted</t>
        </r>
      </text>
    </comment>
    <comment ref="AF24" authorId="0" shapeId="0" xr:uid="{D89DE148-BF99-AC47-A6DC-0AE3AE479926}">
      <text>
        <r>
          <rPr>
            <sz val="10"/>
            <color rgb="FF000000"/>
            <rFont val="Tahoma"/>
            <family val="2"/>
          </rPr>
          <t>count-related</t>
        </r>
      </text>
    </comment>
    <comment ref="D25" authorId="0" shapeId="0" xr:uid="{E308EB6F-FB5F-E149-9FBD-70B586BD8829}">
      <text>
        <r>
          <rPr>
            <sz val="10"/>
            <color rgb="FF000000"/>
            <rFont val="Tahoma"/>
            <family val="2"/>
          </rPr>
          <t>self-testing was conducted on people with unknown SARS-CoV-2 status</t>
        </r>
      </text>
    </comment>
    <comment ref="F25" authorId="0" shapeId="0" xr:uid="{43DD926A-C828-8342-99A2-451BC26092E0}">
      <text>
        <r>
          <rPr>
            <sz val="10"/>
            <color rgb="FF000000"/>
            <rFont val="Tahoma"/>
            <family val="2"/>
          </rPr>
          <t>testing was voluntary</t>
        </r>
      </text>
    </comment>
    <comment ref="G25" authorId="0" shapeId="0" xr:uid="{CB74B27B-ABE2-264B-9B42-CAFD8E11FD84}">
      <text>
        <r>
          <rPr>
            <sz val="10"/>
            <color rgb="FF000000"/>
            <rFont val="Tahoma"/>
            <family val="2"/>
          </rPr>
          <t>before-after comparison</t>
        </r>
      </text>
    </comment>
    <comment ref="I25" authorId="0" shapeId="0" xr:uid="{9F95762A-1A5A-1142-8EE5-1647A16A5855}">
      <text>
        <r>
          <rPr>
            <sz val="10"/>
            <color rgb="FF000000"/>
            <rFont val="Tahoma"/>
            <family val="2"/>
          </rPr>
          <t>before-after comparison</t>
        </r>
      </text>
    </comment>
    <comment ref="J25" authorId="0" shapeId="0" xr:uid="{22A3E658-0322-9C48-8938-B983B0CFF5B5}">
      <text>
        <r>
          <rPr>
            <sz val="10"/>
            <color rgb="FF000000"/>
            <rFont val="Tahoma"/>
            <family val="2"/>
          </rPr>
          <t>before-after comparison</t>
        </r>
      </text>
    </comment>
    <comment ref="L25" authorId="0" shapeId="0" xr:uid="{3B320BA7-5BE5-0C42-B563-5416450D6E37}">
      <text>
        <r>
          <rPr>
            <sz val="10"/>
            <color rgb="FF000000"/>
            <rFont val="Tahoma"/>
            <family val="2"/>
          </rPr>
          <t>before-after comparison</t>
        </r>
      </text>
    </comment>
    <comment ref="M25" authorId="0" shapeId="0" xr:uid="{9AA318D3-90EB-8D46-BFEF-4F06558F2047}">
      <text>
        <r>
          <rPr>
            <sz val="10"/>
            <color rgb="FF000000"/>
            <rFont val="Tahoma"/>
            <family val="2"/>
          </rPr>
          <t>before-after comparison</t>
        </r>
      </text>
    </comment>
    <comment ref="O25" authorId="0" shapeId="0" xr:uid="{C7DCD738-4544-ED4B-859A-FECE6DBBEF8A}">
      <text>
        <r>
          <rPr>
            <sz val="10"/>
            <color rgb="FF000000"/>
            <rFont val="Tahoma"/>
            <family val="2"/>
          </rPr>
          <t>before-after comparison</t>
        </r>
      </text>
    </comment>
    <comment ref="P25" authorId="0" shapeId="0" xr:uid="{CC5769F9-29C3-D64A-9D91-958BAB1DD1FF}">
      <text>
        <r>
          <rPr>
            <sz val="10"/>
            <color rgb="FF000000"/>
            <rFont val="Tahoma"/>
            <family val="2"/>
          </rPr>
          <t>testing three times weekly (every 48 hours)</t>
        </r>
      </text>
    </comment>
    <comment ref="S25" authorId="0" shapeId="0" xr:uid="{1AD0F342-00BF-6444-829E-B6DAE420C6D3}">
      <text>
        <r>
          <rPr>
            <sz val="10"/>
            <color rgb="FF000000"/>
            <rFont val="Tahoma"/>
            <family val="2"/>
          </rPr>
          <t>total # of Ag-RDT results reported</t>
        </r>
      </text>
    </comment>
    <comment ref="W25" authorId="0" shapeId="0" xr:uid="{95179199-23AB-394B-8579-F95815F43B87}">
      <text>
        <r>
          <rPr>
            <sz val="10"/>
            <color rgb="FF000000"/>
            <rFont val="Tahoma"/>
            <family val="2"/>
          </rPr>
          <t>study reports # of tests results reported from how many people, and max number of tests possible can be inferred</t>
        </r>
      </text>
    </comment>
    <comment ref="X25" authorId="0" shapeId="0" xr:uid="{DEA4BF71-92CF-074D-B1F1-AF26C5C87F4C}">
      <text>
        <r>
          <rPr>
            <sz val="10"/>
            <color rgb="FF000000"/>
            <rFont val="Tahoma"/>
            <family val="2"/>
          </rPr>
          <t>not everyone adhered to the testing routine</t>
        </r>
      </text>
    </comment>
    <comment ref="AA25" authorId="0" shapeId="0" xr:uid="{25C06640-A690-014F-864F-4E1C5B97FC19}">
      <text>
        <r>
          <rPr>
            <sz val="10"/>
            <color rgb="FF000000"/>
            <rFont val="Tahoma"/>
            <family val="2"/>
          </rPr>
          <t>only relied on participant reporting</t>
        </r>
      </text>
    </comment>
    <comment ref="AE25" authorId="0" shapeId="0" xr:uid="{2B035E27-17FE-F043-A2F7-143957632E38}">
      <text>
        <r>
          <rPr>
            <sz val="10"/>
            <color rgb="FF000000"/>
            <rFont val="Tahoma"/>
            <family val="2"/>
          </rPr>
          <t>only relied on participant reporting</t>
        </r>
      </text>
    </comment>
    <comment ref="AF25" authorId="0" shapeId="0" xr:uid="{F1F6C90E-1E64-A447-8608-7C9B4635D99D}">
      <text>
        <r>
          <rPr>
            <sz val="10"/>
            <color rgb="FF000000"/>
            <rFont val="Tahoma"/>
            <family val="2"/>
          </rPr>
          <t>count-related</t>
        </r>
      </text>
    </comment>
    <comment ref="AH25" authorId="0" shapeId="0" xr:uid="{78A55F3D-DC2E-3A4B-84FB-D4102CA44B32}">
      <text>
        <r>
          <rPr>
            <sz val="10"/>
            <color rgb="FF000000"/>
            <rFont val="Tahoma"/>
            <family val="2"/>
          </rPr>
          <t>count-related</t>
        </r>
      </text>
    </comment>
    <comment ref="D26" authorId="0" shapeId="0" xr:uid="{481F8BF9-91E5-4744-8C0D-870B5EBAB530}">
      <text>
        <r>
          <rPr>
            <sz val="10"/>
            <color rgb="FF000000"/>
            <rFont val="Tahoma"/>
            <family val="2"/>
          </rPr>
          <t>self-testing was conducted on people with unknown SARS-CoV-2 status</t>
        </r>
      </text>
    </comment>
    <comment ref="E26" authorId="0" shapeId="0" xr:uid="{026C4508-013F-3C48-9ADE-0810BA963E3D}">
      <text>
        <r>
          <rPr>
            <sz val="10"/>
            <color rgb="FF000000"/>
            <rFont val="Tahoma"/>
            <family val="2"/>
          </rPr>
          <t>confirmatory testing for self-testing</t>
        </r>
      </text>
    </comment>
    <comment ref="G26" authorId="0" shapeId="0" xr:uid="{AC124A35-960E-D241-9076-1921E3505F3A}">
      <text>
        <r>
          <rPr>
            <sz val="10"/>
            <color rgb="FF000000"/>
            <rFont val="Tahoma"/>
            <family val="2"/>
          </rPr>
          <t>before-after comparison</t>
        </r>
      </text>
    </comment>
    <comment ref="H26" authorId="0" shapeId="0" xr:uid="{F27BA14D-ED6C-E140-92F9-A7BBE4E678B6}">
      <text>
        <r>
          <rPr>
            <sz val="10"/>
            <color rgb="FF000000"/>
            <rFont val="Tahoma"/>
            <family val="2"/>
          </rPr>
          <t>before-after comparison</t>
        </r>
      </text>
    </comment>
    <comment ref="J26" authorId="0" shapeId="0" xr:uid="{E323B531-6F1C-3749-859E-742F62D14903}">
      <text>
        <r>
          <rPr>
            <sz val="10"/>
            <color rgb="FF000000"/>
            <rFont val="Tahoma"/>
            <family val="2"/>
          </rPr>
          <t>before-after comparison</t>
        </r>
      </text>
    </comment>
    <comment ref="K26" authorId="0" shapeId="0" xr:uid="{6A145F9D-2726-3443-AD6E-EE2079DC5280}">
      <text>
        <r>
          <rPr>
            <sz val="10"/>
            <color rgb="FF000000"/>
            <rFont val="Tahoma"/>
            <family val="2"/>
          </rPr>
          <t>before-after comparison</t>
        </r>
      </text>
    </comment>
    <comment ref="M26" authorId="0" shapeId="0" xr:uid="{73409A33-0A78-2A4E-9E22-968C8D98277D}">
      <text>
        <r>
          <rPr>
            <sz val="10"/>
            <color rgb="FF000000"/>
            <rFont val="Tahoma"/>
            <family val="2"/>
          </rPr>
          <t>before-after comparison</t>
        </r>
      </text>
    </comment>
    <comment ref="N26" authorId="0" shapeId="0" xr:uid="{4D9A2207-FA5F-A44B-BD0E-CC5CEDDB367C}">
      <text>
        <r>
          <rPr>
            <sz val="10"/>
            <color rgb="FF000000"/>
            <rFont val="Tahoma"/>
            <family val="2"/>
          </rPr>
          <t>before-after comparison</t>
        </r>
      </text>
    </comment>
    <comment ref="P26" authorId="0" shapeId="0" xr:uid="{F1FA6B1E-6C48-4B49-9D60-430CC1DE35FE}">
      <text>
        <r>
          <rPr>
            <sz val="10"/>
            <color rgb="FF000000"/>
            <rFont val="Tahoma"/>
            <family val="2"/>
          </rPr>
          <t>testing weekly ore more often if needed</t>
        </r>
      </text>
    </comment>
    <comment ref="S26" authorId="0" shapeId="0" xr:uid="{0D2E36E9-2E87-894F-8184-7DDF580D1BC4}">
      <text>
        <r>
          <rPr>
            <sz val="10"/>
            <color rgb="FF000000"/>
            <rFont val="Tahoma"/>
            <family val="2"/>
          </rPr>
          <t>public health data base (</t>
        </r>
        <r>
          <rPr>
            <sz val="10"/>
            <color rgb="FF000000"/>
            <rFont val="Calibri"/>
            <family val="2"/>
          </rPr>
          <t>UK Government Lateral Flow Testing Portal)</t>
        </r>
      </text>
    </comment>
    <comment ref="U26" authorId="0" shapeId="0" xr:uid="{D0682EC2-311B-934A-894A-0928A4436771}">
      <text>
        <r>
          <rPr>
            <sz val="10"/>
            <color rgb="FF000000"/>
            <rFont val="Tahoma"/>
            <family val="2"/>
          </rPr>
          <t>confirmatory testing for all C19ST</t>
        </r>
      </text>
    </comment>
    <comment ref="X26" authorId="0" shapeId="0" xr:uid="{8CD8F1E7-AECC-E545-8974-BB3657C11C03}">
      <text>
        <r>
          <rPr>
            <sz val="10"/>
            <color rgb="FF000000"/>
            <rFont val="Tahoma"/>
            <family val="2"/>
          </rPr>
          <t>same antigen test and sample type, but unclear testing frequency and adherence</t>
        </r>
      </text>
    </comment>
    <comment ref="Y26" authorId="0" shapeId="0" xr:uid="{1ABB11D4-1F0B-BC45-82A0-104888C59014}">
      <text>
        <r>
          <rPr>
            <sz val="10"/>
            <color rgb="FF000000"/>
            <rFont val="Tahoma"/>
            <family val="2"/>
          </rPr>
          <t>all confirmatory testing was done using RT-PCR</t>
        </r>
      </text>
    </comment>
    <comment ref="AA26" authorId="0" shapeId="0" xr:uid="{22A43066-94C3-B84F-AC95-6B30E35E9A49}">
      <text>
        <r>
          <rPr>
            <sz val="10"/>
            <color rgb="FF000000"/>
            <rFont val="Tahoma"/>
            <family val="2"/>
          </rPr>
          <t>Results reporting via a national website, no requirement of test result picture or alike reported</t>
        </r>
      </text>
    </comment>
    <comment ref="AB26" authorId="0" shapeId="0" xr:uid="{B68E2B0A-4D86-6146-BBE1-37BE6E0D7806}">
      <text>
        <r>
          <rPr>
            <sz val="10"/>
            <color rgb="FF000000"/>
            <rFont val="Tahoma"/>
            <family val="2"/>
          </rPr>
          <t>confirmatory testing for all C19ST</t>
        </r>
      </text>
    </comment>
    <comment ref="AC26" authorId="0" shapeId="0" xr:uid="{0CD4E12F-2B99-2B4F-BF62-B6EC867C1244}">
      <text>
        <r>
          <rPr>
            <sz val="10"/>
            <color rgb="FF000000"/>
            <rFont val="Tahoma"/>
            <family val="2"/>
          </rPr>
          <t>confirmatory testing for all C19ST</t>
        </r>
      </text>
    </comment>
    <comment ref="AF26" authorId="0" shapeId="0" xr:uid="{DBA00CB3-D5D2-F340-8B0B-DDDFDD2BB622}">
      <text>
        <r>
          <rPr>
            <sz val="10"/>
            <color rgb="FF000000"/>
            <rFont val="Tahoma"/>
            <family val="2"/>
          </rPr>
          <t>count-related</t>
        </r>
      </text>
    </comment>
    <comment ref="AG26" authorId="0" shapeId="0" xr:uid="{874CFD31-8BFA-FF42-88B9-A14BA83A80C1}">
      <text>
        <r>
          <rPr>
            <sz val="10"/>
            <color rgb="FF000000"/>
            <rFont val="Tahoma"/>
            <family val="2"/>
          </rPr>
          <t>all confirmatory testing was done using RT-PCR</t>
        </r>
      </text>
    </comment>
    <comment ref="D27" authorId="0" shapeId="0" xr:uid="{B25786A9-9344-124D-928A-8317D18CC0EE}">
      <text>
        <r>
          <rPr>
            <sz val="10"/>
            <color rgb="FF000000"/>
            <rFont val="Tahoma"/>
            <family val="2"/>
          </rPr>
          <t>self-testing was conducted on people with unknown SARS-CoV-2 status</t>
        </r>
      </text>
    </comment>
    <comment ref="E27" authorId="0" shapeId="0" xr:uid="{06EC698A-AFEF-5544-9703-8B729E4C93C0}">
      <text>
        <r>
          <rPr>
            <sz val="10"/>
            <color rgb="FF000000"/>
            <rFont val="Tahoma"/>
            <family val="2"/>
          </rPr>
          <t>confirmatory testing for self-testing</t>
        </r>
      </text>
    </comment>
    <comment ref="F27" authorId="0" shapeId="0" xr:uid="{CC9A9250-21CB-D04D-A98F-2D96704C329D}">
      <text>
        <r>
          <rPr>
            <sz val="10"/>
            <color rgb="FF000000"/>
            <rFont val="Tahoma"/>
            <family val="2"/>
          </rPr>
          <t xml:space="preserve">testing was mandatory for all </t>
        </r>
        <r>
          <rPr>
            <sz val="10"/>
            <color rgb="FF000000"/>
            <rFont val="Calibri"/>
            <family val="2"/>
          </rPr>
          <t>residents of the Chongqing Medical University campus</t>
        </r>
      </text>
    </comment>
    <comment ref="G27" authorId="0" shapeId="0" xr:uid="{8391C567-0A87-AE44-8A2B-804DE24898BB}">
      <text>
        <r>
          <rPr>
            <sz val="10"/>
            <color rgb="FF000000"/>
            <rFont val="Tahoma"/>
            <family val="2"/>
          </rPr>
          <t>before-after comparison</t>
        </r>
      </text>
    </comment>
    <comment ref="H27" authorId="0" shapeId="0" xr:uid="{6BA8FB25-A6FA-8D43-9C42-425597198426}">
      <text>
        <r>
          <rPr>
            <sz val="10"/>
            <color rgb="FF000000"/>
            <rFont val="Tahoma"/>
            <family val="2"/>
          </rPr>
          <t>before-after comparison</t>
        </r>
      </text>
    </comment>
    <comment ref="I27" authorId="0" shapeId="0" xr:uid="{32B1DD1E-99A8-FF49-82A1-C7403B6D8684}">
      <text>
        <r>
          <rPr>
            <sz val="10"/>
            <color rgb="FF000000"/>
            <rFont val="Tahoma"/>
            <family val="2"/>
          </rPr>
          <t>before-after comparison</t>
        </r>
      </text>
    </comment>
    <comment ref="J27" authorId="0" shapeId="0" xr:uid="{80C35336-72A7-564B-BF89-9DF6DAEF4168}">
      <text>
        <r>
          <rPr>
            <sz val="10"/>
            <color rgb="FF000000"/>
            <rFont val="Tahoma"/>
            <family val="2"/>
          </rPr>
          <t>before-after comparison</t>
        </r>
      </text>
    </comment>
    <comment ref="K27" authorId="0" shapeId="0" xr:uid="{6CA24F9B-41EC-604E-B9A9-00C3122EFE35}">
      <text>
        <r>
          <rPr>
            <sz val="10"/>
            <color rgb="FF000000"/>
            <rFont val="Tahoma"/>
            <family val="2"/>
          </rPr>
          <t>before-after comparison</t>
        </r>
      </text>
    </comment>
    <comment ref="L27" authorId="0" shapeId="0" xr:uid="{74CEDFA0-7521-BE42-B2A7-3102A298FBDF}">
      <text>
        <r>
          <rPr>
            <sz val="10"/>
            <color rgb="FF000000"/>
            <rFont val="Tahoma"/>
            <family val="2"/>
          </rPr>
          <t>before-after comparison</t>
        </r>
      </text>
    </comment>
    <comment ref="M27" authorId="0" shapeId="0" xr:uid="{7502424A-40D5-BD42-BACC-2041AE63969A}">
      <text>
        <r>
          <rPr>
            <sz val="10"/>
            <color rgb="FF000000"/>
            <rFont val="Tahoma"/>
            <family val="2"/>
          </rPr>
          <t>before-after comparison</t>
        </r>
      </text>
    </comment>
    <comment ref="N27" authorId="0" shapeId="0" xr:uid="{9645947B-8A6D-6A45-BFB4-F697801E551C}">
      <text>
        <r>
          <rPr>
            <sz val="10"/>
            <color rgb="FF000000"/>
            <rFont val="Tahoma"/>
            <family val="2"/>
          </rPr>
          <t>before-after comparison</t>
        </r>
      </text>
    </comment>
    <comment ref="O27" authorId="0" shapeId="0" xr:uid="{7E0ADC6E-6494-0B4E-9336-1BFDC4D1FE4E}">
      <text>
        <r>
          <rPr>
            <sz val="10"/>
            <color rgb="FF000000"/>
            <rFont val="Tahoma"/>
            <family val="2"/>
          </rPr>
          <t>before-after comparison</t>
        </r>
      </text>
    </comment>
    <comment ref="P27" authorId="0" shapeId="0" xr:uid="{71FF8FD6-4AAF-A448-AF58-51CD0DB409ED}">
      <text>
        <r>
          <rPr>
            <sz val="10"/>
            <color rgb="FF000000"/>
            <rFont val="Tahoma"/>
            <family val="2"/>
          </rPr>
          <t>tested 21 times per week</t>
        </r>
      </text>
    </comment>
    <comment ref="S27" authorId="0" shapeId="0" xr:uid="{6DD09104-2BC0-FA46-A81A-BEF0F350AB22}">
      <text>
        <r>
          <rPr>
            <sz val="10"/>
            <color rgb="FF000000"/>
            <rFont val="Tahoma"/>
            <family val="2"/>
          </rPr>
          <t>total number of individuals that performed testing were reported</t>
        </r>
      </text>
    </comment>
    <comment ref="T27" authorId="0" shapeId="0" xr:uid="{E7502F3B-53F8-FC49-92DA-BA708BA615B6}">
      <text>
        <r>
          <rPr>
            <sz val="10"/>
            <color rgb="FF000000"/>
            <rFont val="Tahoma"/>
            <family val="2"/>
          </rPr>
          <t>every individual who self-tested also received a confirmatory test</t>
        </r>
      </text>
    </comment>
    <comment ref="V27" authorId="0" shapeId="0" xr:uid="{A86917CD-3682-6245-B4E2-197768823739}">
      <text>
        <r>
          <rPr>
            <sz val="10"/>
            <color rgb="FF000000"/>
            <rFont val="Tahoma"/>
            <family val="2"/>
          </rPr>
          <t># of individuals eligible for self-testing specified</t>
        </r>
      </text>
    </comment>
    <comment ref="W27" authorId="0" shapeId="0" xr:uid="{98003C32-5DEE-8A44-97AD-44A7EF7D5386}">
      <text>
        <r>
          <rPr>
            <sz val="10"/>
            <color rgb="FF000000"/>
            <rFont val="Tahoma"/>
            <family val="2"/>
          </rPr>
          <t>number of individuals reporting test result were based on assumption that testing was mandatory</t>
        </r>
      </text>
    </comment>
    <comment ref="X27" authorId="0" shapeId="0" xr:uid="{CB19CB13-081E-2445-BB10-26CF56DDFE06}">
      <text>
        <r>
          <rPr>
            <sz val="10"/>
            <color rgb="FF000000"/>
            <rFont val="Tahoma"/>
            <family val="2"/>
          </rPr>
          <t>type of sample not specified</t>
        </r>
      </text>
    </comment>
    <comment ref="Y27" authorId="0" shapeId="0" xr:uid="{44B21942-0DC1-1649-AC8B-2C98C9E4A920}">
      <text>
        <r>
          <rPr>
            <sz val="10"/>
            <color rgb="FF000000"/>
            <rFont val="Tahoma"/>
            <family val="2"/>
          </rPr>
          <t>all confirmatory testing was done using RT-PCR</t>
        </r>
      </text>
    </comment>
    <comment ref="AA27" authorId="0" shapeId="0" xr:uid="{1FD46208-AECF-4845-BD62-AAF0739B87C4}">
      <text>
        <r>
          <rPr>
            <sz val="10"/>
            <color rgb="FF000000"/>
            <rFont val="Tahoma"/>
            <family val="2"/>
          </rPr>
          <t>methods of test reporting are not defined</t>
        </r>
      </text>
    </comment>
    <comment ref="AB27" authorId="0" shapeId="0" xr:uid="{067FB6EB-996A-FB4E-A8F2-DE62721154B3}">
      <text>
        <r>
          <rPr>
            <sz val="10"/>
            <color rgb="FF000000"/>
            <rFont val="Tahoma"/>
            <family val="2"/>
          </rPr>
          <t>every individual who self-tested also received a confirmatory test</t>
        </r>
      </text>
    </comment>
    <comment ref="AC27" authorId="0" shapeId="0" xr:uid="{5570FDC8-5C59-3B40-AD1B-4EDA61E67BD5}">
      <text>
        <r>
          <rPr>
            <sz val="10"/>
            <color rgb="FF000000"/>
            <rFont val="Tahoma"/>
            <family val="2"/>
          </rPr>
          <t>every individual who self-tested also received a confirmatory test</t>
        </r>
      </text>
    </comment>
    <comment ref="AD27" authorId="0" shapeId="0" xr:uid="{7BD3C4F6-44F0-1341-A452-0E48AF965F4F}">
      <text>
        <r>
          <rPr>
            <sz val="10"/>
            <color rgb="FF000000"/>
            <rFont val="Tahoma"/>
            <family val="2"/>
          </rPr>
          <t>method of test collection not specified</t>
        </r>
      </text>
    </comment>
    <comment ref="AE27" authorId="0" shapeId="0" xr:uid="{DB858ECB-6E71-7441-9E9C-6D8CB1AF8180}">
      <text>
        <r>
          <rPr>
            <sz val="10"/>
            <color rgb="FF000000"/>
            <rFont val="Tahoma"/>
            <family val="2"/>
          </rPr>
          <t>methods of test reporting are not defined</t>
        </r>
      </text>
    </comment>
    <comment ref="AF27" authorId="0" shapeId="0" xr:uid="{A367C3AE-4698-F64B-BF1F-E895F597579F}">
      <text>
        <r>
          <rPr>
            <sz val="10"/>
            <color rgb="FF000000"/>
            <rFont val="Tahoma"/>
            <family val="2"/>
          </rPr>
          <t>count-related</t>
        </r>
      </text>
    </comment>
    <comment ref="AG27" authorId="0" shapeId="0" xr:uid="{B59C25BF-F11B-0346-96FD-A334955CB54A}">
      <text>
        <r>
          <rPr>
            <sz val="10"/>
            <color rgb="FF000000"/>
            <rFont val="Tahoma"/>
            <family val="2"/>
          </rPr>
          <t>all confirmatory testing was done using RT-PCR</t>
        </r>
      </text>
    </comment>
    <comment ref="AH27" authorId="0" shapeId="0" xr:uid="{521D95ED-D3DB-B14E-95D5-F6E5F6A4E062}">
      <text>
        <r>
          <rPr>
            <sz val="10"/>
            <color rgb="FF000000"/>
            <rFont val="Tahoma"/>
            <family val="2"/>
          </rPr>
          <t>count-related</t>
        </r>
      </text>
    </comment>
    <comment ref="D28" authorId="0" shapeId="0" xr:uid="{4BEE5714-8B66-5542-A837-344264BB08CF}">
      <text>
        <r>
          <rPr>
            <sz val="10"/>
            <color rgb="FF000000"/>
            <rFont val="Tahoma"/>
            <family val="2"/>
          </rPr>
          <t>self-testing was conducted on people with unknown SARS-CoV-2 status</t>
        </r>
      </text>
    </comment>
    <comment ref="E28" authorId="0" shapeId="0" xr:uid="{E7BADF38-03DF-CD4D-AF61-2E6904A5218A}">
      <text>
        <r>
          <rPr>
            <sz val="10"/>
            <color rgb="FF000000"/>
            <rFont val="Tahoma"/>
            <family val="2"/>
          </rPr>
          <t>confirmatory testing for self-testing</t>
        </r>
      </text>
    </comment>
    <comment ref="F28" authorId="0" shapeId="0" xr:uid="{6B9A1337-C174-F24A-8D95-70B9299006A2}">
      <text>
        <r>
          <rPr>
            <sz val="10"/>
            <color rgb="FF000000"/>
            <rFont val="Tahoma"/>
            <family val="2"/>
          </rPr>
          <t>testing was voluntary</t>
        </r>
      </text>
    </comment>
    <comment ref="G28" authorId="0" shapeId="0" xr:uid="{F35332ED-E3FE-3948-A2D6-B38987E8A4B0}">
      <text>
        <r>
          <rPr>
            <sz val="10"/>
            <color rgb="FF000000"/>
            <rFont val="Tahoma"/>
            <family val="2"/>
          </rPr>
          <t>before-after comparison</t>
        </r>
      </text>
    </comment>
    <comment ref="H28" authorId="0" shapeId="0" xr:uid="{4BD7391E-5EF8-A94D-83C0-16CB3F3C9896}">
      <text>
        <r>
          <rPr>
            <sz val="10"/>
            <color rgb="FF000000"/>
            <rFont val="Tahoma"/>
            <family val="2"/>
          </rPr>
          <t>before-after comparison</t>
        </r>
      </text>
    </comment>
    <comment ref="I28" authorId="0" shapeId="0" xr:uid="{404219E4-4BF5-8F49-8880-755D3285E2D4}">
      <text>
        <r>
          <rPr>
            <sz val="10"/>
            <color rgb="FF000000"/>
            <rFont val="Tahoma"/>
            <family val="2"/>
          </rPr>
          <t>before-after comparison</t>
        </r>
      </text>
    </comment>
    <comment ref="J28" authorId="0" shapeId="0" xr:uid="{5FD1ADA5-0A3A-1149-BFC4-5BEFAF89EA41}">
      <text>
        <r>
          <rPr>
            <sz val="10"/>
            <color rgb="FF000000"/>
            <rFont val="Tahoma"/>
            <family val="2"/>
          </rPr>
          <t>before-after comparison</t>
        </r>
      </text>
    </comment>
    <comment ref="K28" authorId="0" shapeId="0" xr:uid="{A4D10900-B69F-454D-9A71-F0AF98061040}">
      <text>
        <r>
          <rPr>
            <sz val="10"/>
            <color rgb="FF000000"/>
            <rFont val="Tahoma"/>
            <family val="2"/>
          </rPr>
          <t>before-after comparison</t>
        </r>
      </text>
    </comment>
    <comment ref="L28" authorId="0" shapeId="0" xr:uid="{B84C287E-3CD4-3C4A-919F-075086C82944}">
      <text>
        <r>
          <rPr>
            <sz val="10"/>
            <color rgb="FF000000"/>
            <rFont val="Tahoma"/>
            <family val="2"/>
          </rPr>
          <t>before-after comparison</t>
        </r>
      </text>
    </comment>
    <comment ref="M28" authorId="0" shapeId="0" xr:uid="{C4D6A294-4A71-624F-A474-2282E1AFF488}">
      <text>
        <r>
          <rPr>
            <sz val="10"/>
            <color rgb="FF000000"/>
            <rFont val="Tahoma"/>
            <family val="2"/>
          </rPr>
          <t>before-after comparison</t>
        </r>
      </text>
    </comment>
    <comment ref="N28" authorId="0" shapeId="0" xr:uid="{11A72A0E-BA04-F045-BFFE-8799756C33FD}">
      <text>
        <r>
          <rPr>
            <sz val="10"/>
            <color rgb="FF000000"/>
            <rFont val="Tahoma"/>
            <family val="2"/>
          </rPr>
          <t>before-after comparison</t>
        </r>
      </text>
    </comment>
    <comment ref="O28" authorId="0" shapeId="0" xr:uid="{6BAAB426-ADA5-6841-84F8-33E13B36AD23}">
      <text>
        <r>
          <rPr>
            <sz val="10"/>
            <color rgb="FF000000"/>
            <rFont val="Tahoma"/>
            <family val="2"/>
          </rPr>
          <t>before-after comparison</t>
        </r>
      </text>
    </comment>
    <comment ref="P28" authorId="0" shapeId="0" xr:uid="{FB4C8908-CF2F-D543-A3B8-881760E70529}">
      <text>
        <r>
          <rPr>
            <sz val="10"/>
            <color rgb="FF000000"/>
            <rFont val="Tahoma"/>
            <family val="2"/>
          </rPr>
          <t>testing only once</t>
        </r>
      </text>
    </comment>
    <comment ref="S28" authorId="0" shapeId="0" xr:uid="{912EE475-F1B2-284B-86BD-851EACB248A7}">
      <text>
        <r>
          <rPr>
            <sz val="10"/>
            <color rgb="FF000000"/>
            <rFont val="Tahoma"/>
            <family val="2"/>
          </rPr>
          <t>total # of Ag-RDT results reported</t>
        </r>
      </text>
    </comment>
    <comment ref="U28" authorId="0" shapeId="0" xr:uid="{4A5F4BAD-03FB-B645-8BAE-81757F065E69}">
      <text>
        <r>
          <rPr>
            <sz val="10"/>
            <color rgb="FF000000"/>
            <rFont val="Tahoma"/>
            <family val="2"/>
          </rPr>
          <t>confirmatory testing for all C19ST</t>
        </r>
      </text>
    </comment>
    <comment ref="V28" authorId="0" shapeId="0" xr:uid="{C6383671-8BBC-E445-B900-DF09AF4F2B2D}">
      <text>
        <r>
          <rPr>
            <sz val="10"/>
            <color rgb="FF000000"/>
            <rFont val="Tahoma"/>
            <family val="2"/>
          </rPr>
          <t># of people eligible for self-testing not specified</t>
        </r>
      </text>
    </comment>
    <comment ref="W28" authorId="0" shapeId="0" xr:uid="{503F654B-9706-2348-8F15-BAFA1A873BF1}">
      <text>
        <r>
          <rPr>
            <sz val="10"/>
            <color rgb="FF000000"/>
            <rFont val="Tahoma"/>
            <family val="2"/>
          </rPr>
          <t>testing only once</t>
        </r>
      </text>
    </comment>
    <comment ref="X28" authorId="0" shapeId="0" xr:uid="{7C13DBF2-9A5D-3345-A181-F8BA61BB44BE}">
      <text>
        <r>
          <rPr>
            <sz val="10"/>
            <color rgb="FF000000"/>
            <rFont val="Tahoma"/>
            <family val="2"/>
          </rPr>
          <t>Same test and sample type. Individuals were only tested once.</t>
        </r>
      </text>
    </comment>
    <comment ref="Y28" authorId="0" shapeId="0" xr:uid="{D4027707-8676-F94F-972A-860A99B28F7C}">
      <text>
        <r>
          <rPr>
            <sz val="10"/>
            <color rgb="FF000000"/>
            <rFont val="Tahoma"/>
            <family val="2"/>
          </rPr>
          <t>all confirmatory testing through RT-PCR</t>
        </r>
      </text>
    </comment>
    <comment ref="AA28" authorId="0" shapeId="0" xr:uid="{760BC717-213A-F84E-B946-CF87CBA0F467}">
      <text>
        <r>
          <rPr>
            <sz val="10"/>
            <color rgb="FF000000"/>
            <rFont val="Tahoma"/>
            <family val="2"/>
          </rPr>
          <t>participants had to include a picture when reporting the test result via email</t>
        </r>
      </text>
    </comment>
    <comment ref="AB28" authorId="0" shapeId="0" xr:uid="{25F2F4A4-38AD-F848-BD58-00E46C7218C2}">
      <text>
        <r>
          <rPr>
            <sz val="10"/>
            <color rgb="FF000000"/>
            <rFont val="Tahoma"/>
            <family val="2"/>
          </rPr>
          <t>confirmatory testing for all C19ST</t>
        </r>
      </text>
    </comment>
    <comment ref="AC28" authorId="0" shapeId="0" xr:uid="{ADF6CFB7-7C61-0743-8A14-4CB38C570E98}">
      <text>
        <r>
          <rPr>
            <sz val="10"/>
            <color rgb="FF000000"/>
            <rFont val="Tahoma"/>
            <family val="2"/>
          </rPr>
          <t>confirmatory testing for all C19ST</t>
        </r>
      </text>
    </comment>
    <comment ref="AD28" authorId="0" shapeId="0" xr:uid="{DE0788FF-5D77-B743-9892-B0FC3FE6D378}">
      <text>
        <r>
          <rPr>
            <sz val="10"/>
            <color rgb="FF000000"/>
            <rFont val="Tahoma"/>
            <family val="2"/>
          </rPr>
          <t>no details on the mode of test distribution</t>
        </r>
      </text>
    </comment>
    <comment ref="AE28" authorId="0" shapeId="0" xr:uid="{7618C367-640E-754D-B0B1-795135252C27}">
      <text>
        <r>
          <rPr>
            <sz val="10"/>
            <color rgb="FF000000"/>
            <rFont val="Tahoma"/>
            <family val="2"/>
          </rPr>
          <t>participants had to include a picture when reporting the test result via email</t>
        </r>
      </text>
    </comment>
    <comment ref="AF28" authorId="0" shapeId="0" xr:uid="{7402A89C-22F0-7740-97E9-AC3D4813FC47}">
      <text>
        <r>
          <rPr>
            <sz val="10"/>
            <color rgb="FF000000"/>
            <rFont val="Tahoma"/>
            <family val="2"/>
          </rPr>
          <t>count-related</t>
        </r>
      </text>
    </comment>
    <comment ref="AG28" authorId="0" shapeId="0" xr:uid="{E022CCCB-20EA-EA4D-9024-378CDD6F63EE}">
      <text>
        <r>
          <rPr>
            <sz val="10"/>
            <color rgb="FF000000"/>
            <rFont val="Tahoma"/>
            <family val="2"/>
          </rPr>
          <t>all confirmatory testing was done using RT-PCR</t>
        </r>
      </text>
    </comment>
    <comment ref="AH28" authorId="0" shapeId="0" xr:uid="{092B2F0E-1D60-E945-AE38-46E9AFB8D1B3}">
      <text>
        <r>
          <rPr>
            <sz val="10"/>
            <color rgb="FF000000"/>
            <rFont val="Tahoma"/>
            <family val="2"/>
          </rPr>
          <t>count-related</t>
        </r>
      </text>
    </comment>
    <comment ref="D29" authorId="0" shapeId="0" xr:uid="{8A9EFC84-3E50-0746-BA4B-EE8BD65FDEC6}">
      <text>
        <r>
          <rPr>
            <sz val="10"/>
            <color rgb="FF000000"/>
            <rFont val="Tahoma"/>
            <family val="2"/>
          </rPr>
          <t>self-testing was conducted on people with unknown SARS-CoV-2 status</t>
        </r>
      </text>
    </comment>
    <comment ref="E29" authorId="0" shapeId="0" xr:uid="{BE94152F-49A6-B544-B82D-B4682259EEAC}">
      <text>
        <r>
          <rPr>
            <sz val="10"/>
            <color rgb="FF000000"/>
            <rFont val="Tahoma"/>
            <family val="2"/>
          </rPr>
          <t>confirmatory testing for self-testing</t>
        </r>
      </text>
    </comment>
    <comment ref="F29" authorId="0" shapeId="0" xr:uid="{68848401-3168-4846-B6B6-D76B0CDBA1EC}">
      <text>
        <r>
          <rPr>
            <sz val="10"/>
            <color rgb="FF000000"/>
            <rFont val="Tahoma"/>
            <family val="2"/>
          </rPr>
          <t>testing was voluntary</t>
        </r>
      </text>
    </comment>
    <comment ref="G29" authorId="0" shapeId="0" xr:uid="{49CA3193-EA58-5F43-9627-7D8C41ED40CF}">
      <text>
        <r>
          <rPr>
            <sz val="10"/>
            <color rgb="FF000000"/>
            <rFont val="Tahoma"/>
            <family val="2"/>
          </rPr>
          <t>before-after comparison</t>
        </r>
      </text>
    </comment>
    <comment ref="H29" authorId="0" shapeId="0" xr:uid="{34D8B39D-F048-534B-A25F-43576EF52480}">
      <text>
        <r>
          <rPr>
            <sz val="10"/>
            <color rgb="FF000000"/>
            <rFont val="Tahoma"/>
            <family val="2"/>
          </rPr>
          <t>before-after comparison</t>
        </r>
      </text>
    </comment>
    <comment ref="I29" authorId="0" shapeId="0" xr:uid="{C84DB93A-62F4-1749-9415-6EA083308000}">
      <text>
        <r>
          <rPr>
            <sz val="10"/>
            <color rgb="FF000000"/>
            <rFont val="Tahoma"/>
            <family val="2"/>
          </rPr>
          <t>before-after comparison</t>
        </r>
      </text>
    </comment>
    <comment ref="J29" authorId="0" shapeId="0" xr:uid="{A9861941-80E3-B246-B7D8-A8C5EB41325B}">
      <text>
        <r>
          <rPr>
            <sz val="10"/>
            <color rgb="FF000000"/>
            <rFont val="Tahoma"/>
            <family val="2"/>
          </rPr>
          <t>before-after comparison</t>
        </r>
      </text>
    </comment>
    <comment ref="K29" authorId="0" shapeId="0" xr:uid="{F99AA428-9441-6A46-9484-F939ACC6CEC2}">
      <text>
        <r>
          <rPr>
            <sz val="10"/>
            <color rgb="FF000000"/>
            <rFont val="Tahoma"/>
            <family val="2"/>
          </rPr>
          <t>before-after comparison</t>
        </r>
      </text>
    </comment>
    <comment ref="L29" authorId="0" shapeId="0" xr:uid="{ED84DA5F-E455-9A44-A27C-11DD909D87AF}">
      <text>
        <r>
          <rPr>
            <sz val="10"/>
            <color rgb="FF000000"/>
            <rFont val="Tahoma"/>
            <family val="2"/>
          </rPr>
          <t>before-after comparison</t>
        </r>
      </text>
    </comment>
    <comment ref="M29" authorId="0" shapeId="0" xr:uid="{65024D3B-6BDC-6842-99D2-4BB61F311459}">
      <text>
        <r>
          <rPr>
            <sz val="10"/>
            <color rgb="FF000000"/>
            <rFont val="Tahoma"/>
            <family val="2"/>
          </rPr>
          <t>before-after comparison</t>
        </r>
      </text>
    </comment>
    <comment ref="N29" authorId="0" shapeId="0" xr:uid="{91558354-8A54-6E42-AFBB-0B03C9794103}">
      <text>
        <r>
          <rPr>
            <sz val="10"/>
            <color rgb="FF000000"/>
            <rFont val="Tahoma"/>
            <family val="2"/>
          </rPr>
          <t>before-after comparison</t>
        </r>
      </text>
    </comment>
    <comment ref="O29" authorId="0" shapeId="0" xr:uid="{896A1B0B-17B9-8A42-969A-5097EFB2616A}">
      <text>
        <r>
          <rPr>
            <sz val="10"/>
            <color rgb="FF000000"/>
            <rFont val="Tahoma"/>
            <family val="2"/>
          </rPr>
          <t>before-after comparison</t>
        </r>
      </text>
    </comment>
    <comment ref="P29" authorId="0" shapeId="0" xr:uid="{F53B0C7B-F50F-D849-87C9-3684DA43D2E2}">
      <text>
        <r>
          <rPr>
            <sz val="10"/>
            <color rgb="FF000000"/>
            <rFont val="Tahoma"/>
            <family val="2"/>
          </rPr>
          <t>testing only once</t>
        </r>
      </text>
    </comment>
    <comment ref="S29" authorId="0" shapeId="0" xr:uid="{3C02BC1E-1C7A-E046-85AD-7437C3424DD9}">
      <text>
        <r>
          <rPr>
            <sz val="10"/>
            <color rgb="FF000000"/>
            <rFont val="Tahoma"/>
            <family val="2"/>
          </rPr>
          <t>total # of Ag-RDT results reported</t>
        </r>
      </text>
    </comment>
    <comment ref="U29" authorId="0" shapeId="0" xr:uid="{D496CD38-F49C-3846-A21E-91E12B592C1A}">
      <text>
        <r>
          <rPr>
            <sz val="10"/>
            <color rgb="FF000000"/>
            <rFont val="Tahoma"/>
            <family val="2"/>
          </rPr>
          <t>confirmatory testing for all C19ST</t>
        </r>
      </text>
    </comment>
    <comment ref="V29" authorId="0" shapeId="0" xr:uid="{FC2750DB-6E0F-4146-A3F3-CCB6731383E2}">
      <text>
        <r>
          <rPr>
            <sz val="10"/>
            <color rgb="FF000000"/>
            <rFont val="Tahoma"/>
            <family val="2"/>
          </rPr>
          <t># of people eligible for self-testing not specified</t>
        </r>
      </text>
    </comment>
    <comment ref="W29" authorId="0" shapeId="0" xr:uid="{C3AC84A6-BEF1-CA4F-92A7-625BE84D1DAB}">
      <text>
        <r>
          <rPr>
            <sz val="10"/>
            <color rgb="FF000000"/>
            <rFont val="Tahoma"/>
            <family val="2"/>
          </rPr>
          <t>testing only once</t>
        </r>
      </text>
    </comment>
    <comment ref="X29" authorId="0" shapeId="0" xr:uid="{490CB2C2-C690-9749-B002-DAC77F34FDA2}">
      <text>
        <r>
          <rPr>
            <sz val="10"/>
            <color rgb="FF000000"/>
            <rFont val="Tahoma"/>
            <family val="2"/>
          </rPr>
          <t>Same test and sample type. Individuals were only tested once.</t>
        </r>
      </text>
    </comment>
    <comment ref="Y29" authorId="0" shapeId="0" xr:uid="{F87AC094-EEE1-5742-AA8A-9663B7841066}">
      <text>
        <r>
          <rPr>
            <sz val="10"/>
            <color rgb="FF000000"/>
            <rFont val="Tahoma"/>
            <family val="2"/>
          </rPr>
          <t>all confirmatory testing through RT-PCR</t>
        </r>
      </text>
    </comment>
    <comment ref="AA29" authorId="0" shapeId="0" xr:uid="{505E51A3-096C-3B48-8234-D6C371BF9464}">
      <text>
        <r>
          <rPr>
            <sz val="10"/>
            <color rgb="FF000000"/>
            <rFont val="Tahoma"/>
            <family val="2"/>
          </rPr>
          <t>participants had to include a picture when reporting the test result via email</t>
        </r>
      </text>
    </comment>
    <comment ref="AB29" authorId="0" shapeId="0" xr:uid="{27C6979C-AE75-BC48-9CA0-1CA387F2D419}">
      <text>
        <r>
          <rPr>
            <sz val="10"/>
            <color rgb="FF000000"/>
            <rFont val="Tahoma"/>
            <family val="2"/>
          </rPr>
          <t>confirmatory testing for all C19ST</t>
        </r>
      </text>
    </comment>
    <comment ref="AC29" authorId="0" shapeId="0" xr:uid="{173A86FD-0D15-FA43-B78B-E9A72CB7F1AF}">
      <text>
        <r>
          <rPr>
            <sz val="10"/>
            <color rgb="FF000000"/>
            <rFont val="Tahoma"/>
            <family val="2"/>
          </rPr>
          <t>confirmatory testing for all C19ST</t>
        </r>
      </text>
    </comment>
    <comment ref="AD29" authorId="0" shapeId="0" xr:uid="{A85FD12F-44F6-B547-9175-F235B2529928}">
      <text>
        <r>
          <rPr>
            <sz val="10"/>
            <color rgb="FF000000"/>
            <rFont val="Tahoma"/>
            <family val="2"/>
          </rPr>
          <t>no details on the mode of test distribution</t>
        </r>
      </text>
    </comment>
    <comment ref="AE29" authorId="0" shapeId="0" xr:uid="{07BC98DC-E49E-A74B-9FB5-2FA33785C2E3}">
      <text>
        <r>
          <rPr>
            <sz val="10"/>
            <color rgb="FF000000"/>
            <rFont val="Tahoma"/>
            <family val="2"/>
          </rPr>
          <t>participants had to include a picture when reporting the test result via email</t>
        </r>
      </text>
    </comment>
    <comment ref="AF29" authorId="0" shapeId="0" xr:uid="{6B57A52D-2E73-E04A-A890-56E8FE8F5338}">
      <text>
        <r>
          <rPr>
            <sz val="10"/>
            <color rgb="FF000000"/>
            <rFont val="Tahoma"/>
            <family val="2"/>
          </rPr>
          <t>count-related</t>
        </r>
      </text>
    </comment>
    <comment ref="AG29" authorId="0" shapeId="0" xr:uid="{87D36178-CBAB-1E41-8FD7-525015A89D2A}">
      <text>
        <r>
          <rPr>
            <sz val="10"/>
            <color rgb="FF000000"/>
            <rFont val="Tahoma"/>
            <family val="2"/>
          </rPr>
          <t>all confirmatory testing was done using RT-PCR</t>
        </r>
      </text>
    </comment>
    <comment ref="AH29" authorId="0" shapeId="0" xr:uid="{F763A99E-4F4D-8C47-8F63-9F2A0678DBE0}">
      <text>
        <r>
          <rPr>
            <sz val="10"/>
            <color rgb="FF000000"/>
            <rFont val="Tahoma"/>
            <family val="2"/>
          </rPr>
          <t>count-related</t>
        </r>
      </text>
    </comment>
    <comment ref="D30" authorId="0" shapeId="0" xr:uid="{2EAA8F20-2C5A-BE4B-962C-1E4D9458EC1F}">
      <text>
        <r>
          <rPr>
            <sz val="10"/>
            <color rgb="FF000000"/>
            <rFont val="Tahoma"/>
            <family val="2"/>
          </rPr>
          <t>self-testing was conducted on people with unknown SARS-CoV-2 status</t>
        </r>
      </text>
    </comment>
    <comment ref="E30" authorId="0" shapeId="0" xr:uid="{72B6CCAB-BB61-394F-86D4-427295419DB4}">
      <text>
        <r>
          <rPr>
            <sz val="10"/>
            <color rgb="FF000000"/>
            <rFont val="Tahoma"/>
            <family val="2"/>
          </rPr>
          <t>confirmatory testing for self-testing</t>
        </r>
      </text>
    </comment>
    <comment ref="F30" authorId="0" shapeId="0" xr:uid="{600C99F1-D33E-824D-8CDE-8A3BADD49D82}">
      <text>
        <r>
          <rPr>
            <sz val="10"/>
            <color rgb="FF000000"/>
            <rFont val="Tahoma"/>
            <family val="2"/>
          </rPr>
          <t>testing was voluntary</t>
        </r>
      </text>
    </comment>
    <comment ref="G30" authorId="0" shapeId="0" xr:uid="{8DE15C34-648D-8648-A95C-8A343C66F557}">
      <text>
        <r>
          <rPr>
            <sz val="10"/>
            <color rgb="FF000000"/>
            <rFont val="Tahoma"/>
            <family val="2"/>
          </rPr>
          <t>before-after comparison</t>
        </r>
      </text>
    </comment>
    <comment ref="H30" authorId="0" shapeId="0" xr:uid="{D8432ADC-4496-FA48-9F5E-5CA43058165B}">
      <text>
        <r>
          <rPr>
            <sz val="10"/>
            <color rgb="FF000000"/>
            <rFont val="Tahoma"/>
            <family val="2"/>
          </rPr>
          <t>before-after comparison</t>
        </r>
      </text>
    </comment>
    <comment ref="I30" authorId="0" shapeId="0" xr:uid="{CF874209-B1B9-2F42-AFC3-6EC9492536F3}">
      <text>
        <r>
          <rPr>
            <sz val="10"/>
            <color rgb="FF000000"/>
            <rFont val="Tahoma"/>
            <family val="2"/>
          </rPr>
          <t>before-after comparison</t>
        </r>
      </text>
    </comment>
    <comment ref="J30" authorId="0" shapeId="0" xr:uid="{BFE078BA-AEAD-534F-A358-A02A38502B3B}">
      <text>
        <r>
          <rPr>
            <sz val="10"/>
            <color rgb="FF000000"/>
            <rFont val="Tahoma"/>
            <family val="2"/>
          </rPr>
          <t>before-after comparison</t>
        </r>
      </text>
    </comment>
    <comment ref="K30" authorId="0" shapeId="0" xr:uid="{570088D0-F861-1E47-B6B5-6C63508D18F8}">
      <text>
        <r>
          <rPr>
            <sz val="10"/>
            <color rgb="FF000000"/>
            <rFont val="Tahoma"/>
            <family val="2"/>
          </rPr>
          <t>before-after comparison</t>
        </r>
      </text>
    </comment>
    <comment ref="L30" authorId="0" shapeId="0" xr:uid="{5F4DD721-740C-F148-9183-ABD2D9EF2ACE}">
      <text>
        <r>
          <rPr>
            <sz val="10"/>
            <color rgb="FF000000"/>
            <rFont val="Tahoma"/>
            <family val="2"/>
          </rPr>
          <t>before-after comparison</t>
        </r>
      </text>
    </comment>
    <comment ref="M30" authorId="0" shapeId="0" xr:uid="{6FEC32C1-FE26-8041-8A10-06CF35B0B362}">
      <text>
        <r>
          <rPr>
            <sz val="10"/>
            <color rgb="FF000000"/>
            <rFont val="Tahoma"/>
            <family val="2"/>
          </rPr>
          <t>before-after comparison</t>
        </r>
      </text>
    </comment>
    <comment ref="N30" authorId="0" shapeId="0" xr:uid="{07D2A58D-EA2C-5E4C-AC22-76632157EB4A}">
      <text>
        <r>
          <rPr>
            <sz val="10"/>
            <color rgb="FF000000"/>
            <rFont val="Tahoma"/>
            <family val="2"/>
          </rPr>
          <t>before-after comparison</t>
        </r>
      </text>
    </comment>
    <comment ref="O30" authorId="0" shapeId="0" xr:uid="{AC9B9874-3126-8D43-A37C-012C6B24A5A9}">
      <text>
        <r>
          <rPr>
            <sz val="10"/>
            <color rgb="FF000000"/>
            <rFont val="Tahoma"/>
            <family val="2"/>
          </rPr>
          <t>before-after comparison</t>
        </r>
      </text>
    </comment>
    <comment ref="P30" authorId="0" shapeId="0" xr:uid="{7280E2F7-350E-1548-857D-A86C74C9BDFB}">
      <text>
        <r>
          <rPr>
            <sz val="10"/>
            <color rgb="FF000000"/>
            <rFont val="Tahoma"/>
            <family val="2"/>
          </rPr>
          <t>testing only once</t>
        </r>
      </text>
    </comment>
    <comment ref="S30" authorId="0" shapeId="0" xr:uid="{A482858C-05FD-E241-BF5C-F8ABA11B6823}">
      <text>
        <r>
          <rPr>
            <sz val="10"/>
            <color rgb="FF000000"/>
            <rFont val="Tahoma"/>
            <family val="2"/>
          </rPr>
          <t>total # of Ag-RDT results reported</t>
        </r>
      </text>
    </comment>
    <comment ref="U30" authorId="0" shapeId="0" xr:uid="{35E29AE5-B19D-A641-AB02-3A60F522323F}">
      <text>
        <r>
          <rPr>
            <sz val="10"/>
            <color rgb="FF000000"/>
            <rFont val="Tahoma"/>
            <family val="2"/>
          </rPr>
          <t>confirmatory testing for all C19ST</t>
        </r>
      </text>
    </comment>
    <comment ref="V30" authorId="0" shapeId="0" xr:uid="{07772F33-77C4-8B47-B006-EF6ED26490B8}">
      <text>
        <r>
          <rPr>
            <sz val="10"/>
            <color rgb="FF000000"/>
            <rFont val="Tahoma"/>
            <family val="2"/>
          </rPr>
          <t># of people eligible for self-testing not specified</t>
        </r>
      </text>
    </comment>
    <comment ref="W30" authorId="0" shapeId="0" xr:uid="{C9A1B1E8-9127-0743-B909-0E1F4BCFD397}">
      <text>
        <r>
          <rPr>
            <sz val="10"/>
            <color rgb="FF000000"/>
            <rFont val="Tahoma"/>
            <family val="2"/>
          </rPr>
          <t>testing only once</t>
        </r>
      </text>
    </comment>
    <comment ref="X30" authorId="0" shapeId="0" xr:uid="{3464F27A-E0FD-9542-A178-10B718E44EAE}">
      <text>
        <r>
          <rPr>
            <sz val="10"/>
            <color rgb="FF000000"/>
            <rFont val="Tahoma"/>
            <family val="2"/>
          </rPr>
          <t>Same test and sample type. Individuals were only tested once.</t>
        </r>
      </text>
    </comment>
    <comment ref="Y30" authorId="0" shapeId="0" xr:uid="{BF7E3B7D-B9B9-E54D-BD99-8E497261A05C}">
      <text>
        <r>
          <rPr>
            <sz val="10"/>
            <color rgb="FF000000"/>
            <rFont val="Tahoma"/>
            <family val="2"/>
          </rPr>
          <t>all confirmatory testing through RT-PCR</t>
        </r>
      </text>
    </comment>
    <comment ref="AA30" authorId="0" shapeId="0" xr:uid="{276A4036-3318-B04F-B615-3702F43174B3}">
      <text>
        <r>
          <rPr>
            <sz val="10"/>
            <color rgb="FF000000"/>
            <rFont val="Tahoma"/>
            <family val="2"/>
          </rPr>
          <t>participants had to include a picture when reporting the test result via email</t>
        </r>
      </text>
    </comment>
    <comment ref="AB30" authorId="0" shapeId="0" xr:uid="{325631C6-D2CC-8846-BB94-8636B1332845}">
      <text>
        <r>
          <rPr>
            <sz val="10"/>
            <color rgb="FF000000"/>
            <rFont val="Tahoma"/>
            <family val="2"/>
          </rPr>
          <t>confirmatory testing for all C19ST</t>
        </r>
      </text>
    </comment>
    <comment ref="AC30" authorId="0" shapeId="0" xr:uid="{2844D6FC-568F-744C-B350-22EEBD4B23EC}">
      <text>
        <r>
          <rPr>
            <sz val="10"/>
            <color rgb="FF000000"/>
            <rFont val="Tahoma"/>
            <family val="2"/>
          </rPr>
          <t>confirmatory testing for all C19ST</t>
        </r>
      </text>
    </comment>
    <comment ref="AD30" authorId="0" shapeId="0" xr:uid="{F61158B4-0F57-1241-B51E-FF83D107F000}">
      <text>
        <r>
          <rPr>
            <sz val="10"/>
            <color rgb="FF000000"/>
            <rFont val="Tahoma"/>
            <family val="2"/>
          </rPr>
          <t>no details on the mode of test distribution</t>
        </r>
      </text>
    </comment>
    <comment ref="AE30" authorId="0" shapeId="0" xr:uid="{354596AE-59DD-C846-8F88-5C1D9DD168AC}">
      <text>
        <r>
          <rPr>
            <sz val="10"/>
            <color rgb="FF000000"/>
            <rFont val="Tahoma"/>
            <family val="2"/>
          </rPr>
          <t>participants had to include a picture when reporting the test result via email</t>
        </r>
      </text>
    </comment>
    <comment ref="AF30" authorId="0" shapeId="0" xr:uid="{851FCDCE-A13C-F64A-98E7-D99A11470EBD}">
      <text>
        <r>
          <rPr>
            <sz val="10"/>
            <color rgb="FF000000"/>
            <rFont val="Tahoma"/>
            <family val="2"/>
          </rPr>
          <t>count-related</t>
        </r>
      </text>
    </comment>
    <comment ref="AG30" authorId="0" shapeId="0" xr:uid="{4C33425C-5276-2D4D-A39C-7BF69C6C6C6B}">
      <text>
        <r>
          <rPr>
            <sz val="10"/>
            <color rgb="FF000000"/>
            <rFont val="Tahoma"/>
            <family val="2"/>
          </rPr>
          <t>all confirmatory testing was done using RT-PCR</t>
        </r>
      </text>
    </comment>
    <comment ref="AH30" authorId="0" shapeId="0" xr:uid="{17A5857B-2C0D-3242-B507-16CE5A4F4C06}">
      <text>
        <r>
          <rPr>
            <sz val="10"/>
            <color rgb="FF000000"/>
            <rFont val="Tahoma"/>
            <family val="2"/>
          </rPr>
          <t>count-related</t>
        </r>
      </text>
    </comment>
    <comment ref="D31" authorId="0" shapeId="0" xr:uid="{0677A2EB-41B6-1348-BFEA-0BD0DF591443}">
      <text>
        <r>
          <rPr>
            <sz val="10"/>
            <color rgb="FF000000"/>
            <rFont val="Tahoma"/>
            <family val="2"/>
          </rPr>
          <t>self-testing was conducted on people with unknown SARS-CoV-2 status</t>
        </r>
      </text>
    </comment>
    <comment ref="E31" authorId="0" shapeId="0" xr:uid="{F8B59A0C-A0DA-6F41-9E07-D13257CED353}">
      <text>
        <r>
          <rPr>
            <sz val="10"/>
            <color rgb="FF000000"/>
            <rFont val="Tahoma"/>
            <family val="2"/>
          </rPr>
          <t>confirmatory testing for self-testing</t>
        </r>
      </text>
    </comment>
    <comment ref="F31" authorId="0" shapeId="0" xr:uid="{170B7959-50DD-9143-82B3-68391BFB5B4D}">
      <text>
        <r>
          <rPr>
            <sz val="10"/>
            <color rgb="FF000000"/>
            <rFont val="Tahoma"/>
            <family val="2"/>
          </rPr>
          <t>testing was voluntary</t>
        </r>
      </text>
    </comment>
    <comment ref="G31" authorId="0" shapeId="0" xr:uid="{A5C00684-FA5D-4D45-B3E0-269CBA9EBCB6}">
      <text>
        <r>
          <rPr>
            <sz val="10"/>
            <color rgb="FF000000"/>
            <rFont val="Tahoma"/>
            <family val="2"/>
          </rPr>
          <t>before-after comparison</t>
        </r>
      </text>
    </comment>
    <comment ref="H31" authorId="0" shapeId="0" xr:uid="{086743A9-0830-A24F-AB23-57E9A6743F80}">
      <text>
        <r>
          <rPr>
            <sz val="10"/>
            <color rgb="FF000000"/>
            <rFont val="Tahoma"/>
            <family val="2"/>
          </rPr>
          <t>before-after comparison</t>
        </r>
      </text>
    </comment>
    <comment ref="I31" authorId="0" shapeId="0" xr:uid="{5B1BBB99-4384-0A41-86DA-64F1141ADE3D}">
      <text>
        <r>
          <rPr>
            <sz val="10"/>
            <color rgb="FF000000"/>
            <rFont val="Tahoma"/>
            <family val="2"/>
          </rPr>
          <t>before-after comparison</t>
        </r>
      </text>
    </comment>
    <comment ref="J31" authorId="0" shapeId="0" xr:uid="{AF35D66A-206E-9F48-B5EF-FA71836510E9}">
      <text>
        <r>
          <rPr>
            <sz val="10"/>
            <color rgb="FF000000"/>
            <rFont val="Tahoma"/>
            <family val="2"/>
          </rPr>
          <t>before-after comparison</t>
        </r>
      </text>
    </comment>
    <comment ref="K31" authorId="0" shapeId="0" xr:uid="{5C90B5EF-15CD-924C-B465-49714D969B5A}">
      <text>
        <r>
          <rPr>
            <sz val="10"/>
            <color rgb="FF000000"/>
            <rFont val="Tahoma"/>
            <family val="2"/>
          </rPr>
          <t>before-after comparison</t>
        </r>
      </text>
    </comment>
    <comment ref="L31" authorId="0" shapeId="0" xr:uid="{34BA6E32-2F3F-624D-8479-8531BCE3FBDD}">
      <text>
        <r>
          <rPr>
            <sz val="10"/>
            <color rgb="FF000000"/>
            <rFont val="Tahoma"/>
            <family val="2"/>
          </rPr>
          <t>before-after comparison</t>
        </r>
      </text>
    </comment>
    <comment ref="M31" authorId="0" shapeId="0" xr:uid="{E859A00C-470D-5A45-9202-4B9396EB4888}">
      <text>
        <r>
          <rPr>
            <sz val="10"/>
            <color rgb="FF000000"/>
            <rFont val="Tahoma"/>
            <family val="2"/>
          </rPr>
          <t>before-after comparison</t>
        </r>
      </text>
    </comment>
    <comment ref="N31" authorId="0" shapeId="0" xr:uid="{3902E14C-784B-534E-AABE-FB624C4219DD}">
      <text>
        <r>
          <rPr>
            <sz val="10"/>
            <color rgb="FF000000"/>
            <rFont val="Tahoma"/>
            <family val="2"/>
          </rPr>
          <t>before-after comparison</t>
        </r>
      </text>
    </comment>
    <comment ref="O31" authorId="0" shapeId="0" xr:uid="{7C08ADA5-97CE-C54D-9C50-D8C3E940C495}">
      <text>
        <r>
          <rPr>
            <sz val="10"/>
            <color rgb="FF000000"/>
            <rFont val="Tahoma"/>
            <family val="2"/>
          </rPr>
          <t>before-after comparison</t>
        </r>
      </text>
    </comment>
    <comment ref="P31" authorId="0" shapeId="0" xr:uid="{9771275B-EA04-FA4E-99FE-E2A7FABF799D}">
      <text>
        <r>
          <rPr>
            <sz val="10"/>
            <color rgb="FF000000"/>
            <rFont val="Tahoma"/>
            <family val="2"/>
          </rPr>
          <t>testing only once</t>
        </r>
      </text>
    </comment>
    <comment ref="S31" authorId="0" shapeId="0" xr:uid="{AD0D81D2-F80A-F941-93D1-1991061D933D}">
      <text>
        <r>
          <rPr>
            <sz val="10"/>
            <color rgb="FF000000"/>
            <rFont val="Tahoma"/>
            <family val="2"/>
          </rPr>
          <t>total # of Ag-RDT results reported</t>
        </r>
      </text>
    </comment>
    <comment ref="U31" authorId="0" shapeId="0" xr:uid="{4EADC0FF-46E3-2344-B926-E1781FA3DF0D}">
      <text>
        <r>
          <rPr>
            <sz val="10"/>
            <color rgb="FF000000"/>
            <rFont val="Tahoma"/>
            <family val="2"/>
          </rPr>
          <t>confirmatory testing for all C19ST</t>
        </r>
      </text>
    </comment>
    <comment ref="V31" authorId="0" shapeId="0" xr:uid="{DFA6789F-547E-4E4B-BCA2-9FD323E1A267}">
      <text>
        <r>
          <rPr>
            <sz val="10"/>
            <color rgb="FF000000"/>
            <rFont val="Tahoma"/>
            <family val="2"/>
          </rPr>
          <t># of people eligible for self-testing not specified</t>
        </r>
      </text>
    </comment>
    <comment ref="W31" authorId="0" shapeId="0" xr:uid="{D26CCD23-A3D8-0647-819E-DBB7DC762121}">
      <text>
        <r>
          <rPr>
            <sz val="10"/>
            <color rgb="FF000000"/>
            <rFont val="Tahoma"/>
            <family val="2"/>
          </rPr>
          <t>testing only once</t>
        </r>
      </text>
    </comment>
    <comment ref="X31" authorId="0" shapeId="0" xr:uid="{FBF8DD93-BACB-7F48-A283-D52D7B9111B0}">
      <text>
        <r>
          <rPr>
            <sz val="10"/>
            <color rgb="FF000000"/>
            <rFont val="Tahoma"/>
            <family val="2"/>
          </rPr>
          <t>Same test and sample type. Individuals were only tested once.</t>
        </r>
      </text>
    </comment>
    <comment ref="Y31" authorId="0" shapeId="0" xr:uid="{9640FCD9-8526-9D4F-8361-DA90E16FAC1B}">
      <text>
        <r>
          <rPr>
            <sz val="10"/>
            <color rgb="FF000000"/>
            <rFont val="Tahoma"/>
            <family val="2"/>
          </rPr>
          <t>all confirmatory testing through RT-PCR</t>
        </r>
      </text>
    </comment>
    <comment ref="AA31" authorId="0" shapeId="0" xr:uid="{78CC3278-38A9-C54D-A615-FAFF3E35E21F}">
      <text>
        <r>
          <rPr>
            <sz val="10"/>
            <color rgb="FF000000"/>
            <rFont val="Tahoma"/>
            <family val="2"/>
          </rPr>
          <t>participants had to include a picture when reporting the test result via email</t>
        </r>
      </text>
    </comment>
    <comment ref="AB31" authorId="0" shapeId="0" xr:uid="{C25F75F2-A14E-CB49-864F-17F5AF84DB5A}">
      <text>
        <r>
          <rPr>
            <sz val="10"/>
            <color rgb="FF000000"/>
            <rFont val="Tahoma"/>
            <family val="2"/>
          </rPr>
          <t>confirmatory testing for all C19ST</t>
        </r>
      </text>
    </comment>
    <comment ref="AC31" authorId="0" shapeId="0" xr:uid="{678F5A8D-EB88-454E-8ACC-5EEF899A7D93}">
      <text>
        <r>
          <rPr>
            <sz val="10"/>
            <color rgb="FF000000"/>
            <rFont val="Tahoma"/>
            <family val="2"/>
          </rPr>
          <t>confirmatory testing for all C19ST</t>
        </r>
      </text>
    </comment>
    <comment ref="AD31" authorId="0" shapeId="0" xr:uid="{2F6169C7-60A9-8142-B681-A9A6135E79A6}">
      <text>
        <r>
          <rPr>
            <sz val="10"/>
            <color rgb="FF000000"/>
            <rFont val="Tahoma"/>
            <family val="2"/>
          </rPr>
          <t>no details on the mode of test distribution</t>
        </r>
      </text>
    </comment>
    <comment ref="AE31" authorId="0" shapeId="0" xr:uid="{B4D67236-CF29-7743-8B5C-2A29530E55E5}">
      <text>
        <r>
          <rPr>
            <sz val="10"/>
            <color rgb="FF000000"/>
            <rFont val="Tahoma"/>
            <family val="2"/>
          </rPr>
          <t>participants had to include a picture when reporting the test result via email</t>
        </r>
      </text>
    </comment>
    <comment ref="AF31" authorId="0" shapeId="0" xr:uid="{486D42D0-1856-544A-B7F6-F3AD2DB6173A}">
      <text>
        <r>
          <rPr>
            <sz val="10"/>
            <color rgb="FF000000"/>
            <rFont val="Tahoma"/>
            <family val="2"/>
          </rPr>
          <t>count-related</t>
        </r>
      </text>
    </comment>
    <comment ref="AG31" authorId="0" shapeId="0" xr:uid="{6FC147F0-A1D5-3648-B989-35C070451F9E}">
      <text>
        <r>
          <rPr>
            <sz val="10"/>
            <color rgb="FF000000"/>
            <rFont val="Tahoma"/>
            <family val="2"/>
          </rPr>
          <t>all confirmatory testing was done using RT-PCR</t>
        </r>
      </text>
    </comment>
    <comment ref="AH31" authorId="0" shapeId="0" xr:uid="{C467B4E7-DBC6-6641-B942-DF8B8E5C3EE8}">
      <text>
        <r>
          <rPr>
            <sz val="10"/>
            <color rgb="FF000000"/>
            <rFont val="Tahoma"/>
            <family val="2"/>
          </rPr>
          <t>count-related</t>
        </r>
      </text>
    </comment>
    <comment ref="F32" authorId="0" shapeId="0" xr:uid="{C62ADE97-29F0-A847-8219-E84360E2D0D1}">
      <text>
        <r>
          <rPr>
            <sz val="10"/>
            <color rgb="FF000000"/>
            <rFont val="Tahoma"/>
            <family val="2"/>
          </rPr>
          <t>testing was voluntary</t>
        </r>
      </text>
    </comment>
    <comment ref="I32" authorId="0" shapeId="0" xr:uid="{4CF725A2-1DED-A040-831E-E1CCEA46833E}">
      <text>
        <r>
          <rPr>
            <sz val="10"/>
            <color rgb="FF000000"/>
            <rFont val="Tahoma"/>
            <family val="2"/>
          </rPr>
          <t>before-after comparison</t>
        </r>
      </text>
    </comment>
    <comment ref="L32" authorId="0" shapeId="0" xr:uid="{F5F59248-31F4-6648-9879-958B38273F7C}">
      <text>
        <r>
          <rPr>
            <sz val="10"/>
            <color rgb="FF000000"/>
            <rFont val="Tahoma"/>
            <family val="2"/>
          </rPr>
          <t>before-after comparison</t>
        </r>
      </text>
    </comment>
    <comment ref="O32" authorId="0" shapeId="0" xr:uid="{A6B07D82-3FE4-0D4B-AB99-288E1E54FAB3}">
      <text>
        <r>
          <rPr>
            <sz val="10"/>
            <color rgb="FF000000"/>
            <rFont val="Tahoma"/>
            <family val="2"/>
          </rPr>
          <t>before-after comparison</t>
        </r>
      </text>
    </comment>
    <comment ref="V32" authorId="0" shapeId="0" xr:uid="{14AD4E1B-FD74-924D-806D-82976973BD39}">
      <text>
        <r>
          <rPr>
            <sz val="10"/>
            <color rgb="FF000000"/>
            <rFont val="Tahoma"/>
            <family val="2"/>
          </rPr>
          <t># of individuals eligible for self-testing specified</t>
        </r>
      </text>
    </comment>
    <comment ref="W32" authorId="0" shapeId="0" xr:uid="{DAD25C80-3FD4-A747-B3B6-77A47D35F44A}">
      <text>
        <r>
          <rPr>
            <sz val="10"/>
            <color rgb="FF000000"/>
            <rFont val="Tahoma"/>
            <family val="2"/>
          </rPr>
          <t>study reports the number of individuals that reported and those that did not report their test results</t>
        </r>
      </text>
    </comment>
    <comment ref="AD32" authorId="0" shapeId="0" xr:uid="{8A3B102D-9130-3B42-ACB9-F30F38819D8E}">
      <text>
        <r>
          <rPr>
            <sz val="10"/>
            <color rgb="FF000000"/>
            <rFont val="Tahoma"/>
            <family val="2"/>
          </rPr>
          <t>self-tests had to be picked up from the study team</t>
        </r>
      </text>
    </comment>
    <comment ref="AE32" authorId="0" shapeId="0" xr:uid="{FE284556-1DEE-5247-AF77-9391B0816162}">
      <text>
        <r>
          <rPr>
            <sz val="10"/>
            <color rgb="FF000000"/>
            <rFont val="Tahoma"/>
            <family val="2"/>
          </rPr>
          <t>results were reported via online portal. picture or alike not mentioned</t>
        </r>
      </text>
    </comment>
    <comment ref="AH32" authorId="0" shapeId="0" xr:uid="{4F065598-7E90-8B4E-8811-E0C3D9851FE3}">
      <text>
        <r>
          <rPr>
            <sz val="10"/>
            <color rgb="FF000000"/>
            <rFont val="Tahoma"/>
            <family val="2"/>
          </rPr>
          <t>count-related</t>
        </r>
      </text>
    </comment>
    <comment ref="D33" authorId="0" shapeId="0" xr:uid="{1545AF29-FFAC-1F4C-9145-7E5DC50ADF95}">
      <text>
        <r>
          <rPr>
            <sz val="10"/>
            <color rgb="FF000000"/>
            <rFont val="Tahoma"/>
            <family val="2"/>
          </rPr>
          <t>Individuals conducted self-testing after RT-PCR testing, but were included in the study irrespective of their RT-PCR result</t>
        </r>
      </text>
    </comment>
    <comment ref="G33" authorId="0" shapeId="0" xr:uid="{5A5936F3-DED5-E749-A6FA-4F078257CDEB}">
      <text>
        <r>
          <rPr>
            <sz val="10"/>
            <color rgb="FF000000"/>
            <rFont val="Tahoma"/>
            <family val="2"/>
          </rPr>
          <t>before-after comparison</t>
        </r>
      </text>
    </comment>
    <comment ref="J33" authorId="0" shapeId="0" xr:uid="{CC5448D8-68AA-624B-A85D-03A00C576F41}">
      <text>
        <r>
          <rPr>
            <sz val="10"/>
            <color rgb="FF000000"/>
            <rFont val="Tahoma"/>
            <family val="2"/>
          </rPr>
          <t>before-after comparison</t>
        </r>
      </text>
    </comment>
    <comment ref="M33" authorId="0" shapeId="0" xr:uid="{4270827F-3253-E44E-B22E-BB775ED50210}">
      <text>
        <r>
          <rPr>
            <sz val="10"/>
            <color rgb="FF000000"/>
            <rFont val="Tahoma"/>
            <family val="2"/>
          </rPr>
          <t>before-after comparison</t>
        </r>
      </text>
    </comment>
    <comment ref="P33" authorId="0" shapeId="0" xr:uid="{2FD187C7-C24D-4D43-9286-9FC177E94B2B}">
      <text>
        <r>
          <rPr>
            <sz val="10"/>
            <color rgb="FF000000"/>
            <rFont val="Tahoma"/>
            <family val="2"/>
          </rPr>
          <t>individuals could test at any-time feasible for them</t>
        </r>
      </text>
    </comment>
    <comment ref="S33" authorId="0" shapeId="0" xr:uid="{DB2BCD59-13A9-C646-A8DE-8813757514FB}">
      <text>
        <r>
          <rPr>
            <sz val="10"/>
            <color rgb="FF000000"/>
            <rFont val="Tahoma"/>
            <family val="2"/>
          </rPr>
          <t>total # of Ag-RDT results reported</t>
        </r>
      </text>
    </comment>
    <comment ref="X33" authorId="0" shapeId="0" xr:uid="{6EFD63B1-6948-A241-8FEB-00665968F07E}">
      <text>
        <r>
          <rPr>
            <sz val="10"/>
            <color rgb="FF000000"/>
            <rFont val="Tahoma"/>
            <family val="2"/>
          </rPr>
          <t>individuals could have tested at different frequencies</t>
        </r>
      </text>
    </comment>
    <comment ref="AA33" authorId="0" shapeId="0" xr:uid="{6EEEA17E-7DE1-764D-9625-1976A98EBE16}">
      <text>
        <r>
          <rPr>
            <sz val="10"/>
            <color rgb="FF000000"/>
            <rFont val="Tahoma"/>
            <family val="2"/>
          </rPr>
          <t>results were collected through online survey, no mention of picture or similar</t>
        </r>
      </text>
    </comment>
    <comment ref="AF33" authorId="0" shapeId="0" xr:uid="{CC10B03F-5519-2A47-AEB5-E1FD2F22C8F4}">
      <text>
        <r>
          <rPr>
            <sz val="10"/>
            <color rgb="FF000000"/>
            <rFont val="Tahoma"/>
            <family val="2"/>
          </rPr>
          <t>count-related</t>
        </r>
      </text>
    </comment>
    <comment ref="D34" authorId="0" shapeId="0" xr:uid="{2E488B78-297E-224B-98D3-810CB43FE9E2}">
      <text>
        <r>
          <rPr>
            <sz val="10"/>
            <color rgb="FF000000"/>
            <rFont val="Tahoma"/>
            <family val="2"/>
          </rPr>
          <t>self-testing was conducted on people with unknown SARS-CoV-2 status</t>
        </r>
      </text>
    </comment>
    <comment ref="F34" authorId="0" shapeId="0" xr:uid="{783877C7-003C-2045-BC77-A7BA569D13CE}">
      <text>
        <r>
          <rPr>
            <sz val="10"/>
            <color rgb="FF000000"/>
            <rFont val="Tahoma"/>
            <family val="2"/>
          </rPr>
          <t>individuals were only allowed to enter the school if they had tested</t>
        </r>
      </text>
    </comment>
    <comment ref="G34" authorId="0" shapeId="0" xr:uid="{27811106-220A-594F-938E-4A2FC8EDE3EB}">
      <text>
        <r>
          <rPr>
            <sz val="10"/>
            <color rgb="FF000000"/>
            <rFont val="Tahoma"/>
            <family val="2"/>
          </rPr>
          <t>before-after comparison</t>
        </r>
      </text>
    </comment>
    <comment ref="I34" authorId="0" shapeId="0" xr:uid="{2B19E481-A547-BD4D-B750-EB7AA6142A37}">
      <text>
        <r>
          <rPr>
            <sz val="10"/>
            <color rgb="FF000000"/>
            <rFont val="Tahoma"/>
            <family val="2"/>
          </rPr>
          <t>before-after comparison</t>
        </r>
      </text>
    </comment>
    <comment ref="J34" authorId="0" shapeId="0" xr:uid="{91943719-A812-CB46-B40E-A80261479D74}">
      <text>
        <r>
          <rPr>
            <sz val="10"/>
            <color rgb="FF000000"/>
            <rFont val="Tahoma"/>
            <family val="2"/>
          </rPr>
          <t>before-after comparison</t>
        </r>
      </text>
    </comment>
    <comment ref="L34" authorId="0" shapeId="0" xr:uid="{E98693DE-410B-1B4B-9C3D-92211260EFEF}">
      <text>
        <r>
          <rPr>
            <sz val="10"/>
            <color rgb="FF000000"/>
            <rFont val="Tahoma"/>
            <family val="2"/>
          </rPr>
          <t>before-after comparison</t>
        </r>
      </text>
    </comment>
    <comment ref="M34" authorId="0" shapeId="0" xr:uid="{F2EE6018-2DD1-2048-A516-DD1E55DCD8CF}">
      <text>
        <r>
          <rPr>
            <sz val="10"/>
            <color rgb="FF000000"/>
            <rFont val="Tahoma"/>
            <family val="2"/>
          </rPr>
          <t>before-after comparison</t>
        </r>
      </text>
    </comment>
    <comment ref="O34" authorId="0" shapeId="0" xr:uid="{5E876BBF-6A7E-1F43-A4D3-3E5B088A3440}">
      <text>
        <r>
          <rPr>
            <sz val="10"/>
            <color rgb="FF000000"/>
            <rFont val="Tahoma"/>
            <family val="2"/>
          </rPr>
          <t>before-after comparison</t>
        </r>
      </text>
    </comment>
    <comment ref="P34" authorId="0" shapeId="0" xr:uid="{D6AE22AC-B50F-AA45-9ECF-B8F7305F3420}">
      <text>
        <r>
          <rPr>
            <sz val="10"/>
            <color rgb="FF000000"/>
            <rFont val="Tahoma"/>
            <family val="2"/>
          </rPr>
          <t>test daily for one week</t>
        </r>
      </text>
    </comment>
    <comment ref="S34" authorId="0" shapeId="0" xr:uid="{585A11EE-246D-D84F-8889-5ECF8D930F07}">
      <text>
        <r>
          <rPr>
            <sz val="10"/>
            <color rgb="FF000000"/>
            <rFont val="Tahoma"/>
            <family val="2"/>
          </rPr>
          <t>data extracted from the "NSW public health database"</t>
        </r>
      </text>
    </comment>
    <comment ref="W34" authorId="0" shapeId="0" xr:uid="{0739E0E2-3F57-054B-8E7A-8D287780F2BD}">
      <text>
        <r>
          <rPr>
            <sz val="10"/>
            <color rgb="FF000000"/>
            <rFont val="Tahoma"/>
            <family val="2"/>
          </rPr>
          <t>possible to compute max # of self-tests performed</t>
        </r>
      </text>
    </comment>
    <comment ref="X34" authorId="0" shapeId="0" xr:uid="{CB4CE070-0F49-9749-A25C-19098480C883}">
      <text>
        <r>
          <rPr>
            <sz val="10"/>
            <color rgb="FF000000"/>
            <rFont val="Tahoma"/>
            <family val="2"/>
          </rPr>
          <t>not all individuals followed the testing regime</t>
        </r>
      </text>
    </comment>
    <comment ref="AA34" authorId="0" shapeId="0" xr:uid="{9358CDB1-7DA8-7743-9117-D59DE8F9C8EB}">
      <text>
        <r>
          <rPr>
            <sz val="10"/>
            <color rgb="FF000000"/>
            <rFont val="Tahoma"/>
            <family val="2"/>
          </rPr>
          <t>Test results had to be logged into the "NSW DoE online database", but requirement of test result picture or similar was not mentioned</t>
        </r>
      </text>
    </comment>
    <comment ref="AE34" authorId="0" shapeId="0" xr:uid="{67F3CD08-D007-5843-928D-FF6F13E44E7A}">
      <text>
        <r>
          <rPr>
            <sz val="10"/>
            <color rgb="FF000000"/>
            <rFont val="Tahoma"/>
            <family val="2"/>
          </rPr>
          <t>Test results had to be logged into the "NSW DoE online database", but requirement of test result picture or similar was not mentioned</t>
        </r>
      </text>
    </comment>
    <comment ref="AF34" authorId="0" shapeId="0" xr:uid="{FEC73821-74CF-4E4F-9099-355A5ABA91D3}">
      <text>
        <r>
          <rPr>
            <sz val="10"/>
            <color rgb="FF000000"/>
            <rFont val="Tahoma"/>
            <family val="2"/>
          </rPr>
          <t>count-related</t>
        </r>
      </text>
    </comment>
    <comment ref="AH34" authorId="0" shapeId="0" xr:uid="{D4D0D237-86B0-684B-8DE3-D520306E0ABC}">
      <text>
        <r>
          <rPr>
            <sz val="10"/>
            <color rgb="FF000000"/>
            <rFont val="Tahoma"/>
            <family val="2"/>
          </rPr>
          <t>count-related</t>
        </r>
      </text>
    </comment>
    <comment ref="D35" authorId="0" shapeId="0" xr:uid="{9A099584-4DB7-BD4A-9E0B-2A7A419CCE47}">
      <text>
        <r>
          <rPr>
            <sz val="10"/>
            <color rgb="FF000000"/>
            <rFont val="Tahoma"/>
            <family val="2"/>
          </rPr>
          <t>self-testing was conducted on people with unknown SARS-CoV-2 status</t>
        </r>
      </text>
    </comment>
    <comment ref="F35" authorId="0" shapeId="0" xr:uid="{BE266699-1051-FB46-8BBE-E5BC2C1AAE40}">
      <text>
        <r>
          <rPr>
            <sz val="10"/>
            <color rgb="FF000000"/>
            <rFont val="Tahoma"/>
            <family val="2"/>
          </rPr>
          <t>testing was voluntary</t>
        </r>
      </text>
    </comment>
    <comment ref="G35" authorId="0" shapeId="0" xr:uid="{1E6EE3FC-CF25-B345-BE55-39C47EA2DB87}">
      <text>
        <r>
          <rPr>
            <sz val="10"/>
            <color rgb="FF000000"/>
            <rFont val="Tahoma"/>
            <family val="2"/>
          </rPr>
          <t>before-after comparison</t>
        </r>
      </text>
    </comment>
    <comment ref="I35" authorId="0" shapeId="0" xr:uid="{BA206A7A-9192-CC40-9B91-453AC93387DE}">
      <text>
        <r>
          <rPr>
            <sz val="10"/>
            <color rgb="FF000000"/>
            <rFont val="Tahoma"/>
            <family val="2"/>
          </rPr>
          <t>before-after comparison</t>
        </r>
      </text>
    </comment>
    <comment ref="J35" authorId="0" shapeId="0" xr:uid="{F08D85C7-7A49-8B4F-B77E-4C83746CF6D0}">
      <text>
        <r>
          <rPr>
            <sz val="10"/>
            <color rgb="FF000000"/>
            <rFont val="Tahoma"/>
            <family val="2"/>
          </rPr>
          <t>before-after comparison</t>
        </r>
      </text>
    </comment>
    <comment ref="L35" authorId="0" shapeId="0" xr:uid="{0552F680-C442-1048-A24A-6F5BE80C5908}">
      <text>
        <r>
          <rPr>
            <sz val="10"/>
            <color rgb="FF000000"/>
            <rFont val="Tahoma"/>
            <family val="2"/>
          </rPr>
          <t>before-after comparison</t>
        </r>
      </text>
    </comment>
    <comment ref="M35" authorId="0" shapeId="0" xr:uid="{FDB4C381-1C43-924F-AF4E-75AAA6E2B9C6}">
      <text>
        <r>
          <rPr>
            <sz val="10"/>
            <color rgb="FF000000"/>
            <rFont val="Tahoma"/>
            <family val="2"/>
          </rPr>
          <t>before-after comparison</t>
        </r>
      </text>
    </comment>
    <comment ref="O35" authorId="0" shapeId="0" xr:uid="{E9307CF9-B472-CA41-8AF9-8ECFB48B3F2C}">
      <text>
        <r>
          <rPr>
            <sz val="10"/>
            <color rgb="FF000000"/>
            <rFont val="Tahoma"/>
            <family val="2"/>
          </rPr>
          <t>before-after comparison</t>
        </r>
      </text>
    </comment>
    <comment ref="P35" authorId="0" shapeId="0" xr:uid="{EFB05F2C-8F8A-FD4D-914F-2ADABBDE2A2C}">
      <text>
        <r>
          <rPr>
            <sz val="10"/>
            <color rgb="FF000000"/>
            <rFont val="Tahoma"/>
            <family val="2"/>
          </rPr>
          <t>tested daily for three days</t>
        </r>
      </text>
    </comment>
    <comment ref="S35" authorId="0" shapeId="0" xr:uid="{08BFAB03-0C06-0D4D-ACBA-AA7DEA5F768D}">
      <text>
        <r>
          <rPr>
            <sz val="10"/>
            <color rgb="FF000000"/>
            <rFont val="Tahoma"/>
            <family val="2"/>
          </rPr>
          <t>total # of Ag-RDTs performed is unclear</t>
        </r>
      </text>
    </comment>
    <comment ref="W35" authorId="0" shapeId="0" xr:uid="{E25B8C8D-BC92-684D-AB45-09A6953DFD02}">
      <text>
        <r>
          <rPr>
            <sz val="10"/>
            <color rgb="FF000000"/>
            <rFont val="Tahoma"/>
            <family val="2"/>
          </rPr>
          <t>possible to compute max # of self-tests performed</t>
        </r>
      </text>
    </comment>
    <comment ref="X35" authorId="0" shapeId="0" xr:uid="{2C664D97-C511-A14A-9A65-CA17F0413A8E}">
      <text>
        <r>
          <rPr>
            <sz val="10"/>
            <color rgb="FF000000"/>
            <rFont val="Tahoma"/>
            <family val="2"/>
          </rPr>
          <t>not everyone eligible tested once</t>
        </r>
      </text>
    </comment>
    <comment ref="AA35" authorId="0" shapeId="0" xr:uid="{91C14F06-F2D7-AB41-B3EA-487873279598}">
      <text>
        <r>
          <rPr>
            <sz val="10"/>
            <color rgb="FF000000"/>
            <rFont val="Tahoma"/>
            <family val="2"/>
          </rPr>
          <t>results were reported via online portal. picture or alike not mentioned</t>
        </r>
      </text>
    </comment>
    <comment ref="AE35" authorId="0" shapeId="0" xr:uid="{778E50BA-8C14-F040-B416-F9508D48D918}">
      <text>
        <r>
          <rPr>
            <sz val="10"/>
            <color rgb="FF000000"/>
            <rFont val="Tahoma"/>
            <family val="2"/>
          </rPr>
          <t>results were reported via online portal. picture or alike not mentioned</t>
        </r>
      </text>
    </comment>
    <comment ref="AF35" authorId="0" shapeId="0" xr:uid="{D30F5D23-95A5-364D-8577-347832350B3E}">
      <text>
        <r>
          <rPr>
            <sz val="10"/>
            <color rgb="FF000000"/>
            <rFont val="Tahoma"/>
            <family val="2"/>
          </rPr>
          <t>count-related</t>
        </r>
      </text>
    </comment>
    <comment ref="AH35" authorId="0" shapeId="0" xr:uid="{11199236-D549-CD47-A421-022BD94FD455}">
      <text>
        <r>
          <rPr>
            <sz val="10"/>
            <color rgb="FF000000"/>
            <rFont val="Tahoma"/>
            <family val="2"/>
          </rPr>
          <t>count-related</t>
        </r>
      </text>
    </comment>
    <comment ref="D36" authorId="0" shapeId="0" xr:uid="{5DFB388C-F7A5-4448-B5B1-7E5489FDC4AA}">
      <text>
        <r>
          <rPr>
            <sz val="10"/>
            <color rgb="FF000000"/>
            <rFont val="Tahoma"/>
            <family val="2"/>
          </rPr>
          <t>self-testing was conducted on people with unknown SARS-CoV-2 status</t>
        </r>
      </text>
    </comment>
    <comment ref="F36" authorId="0" shapeId="0" xr:uid="{E02C9D7F-1964-1048-B624-C811A85957D3}">
      <text>
        <r>
          <rPr>
            <sz val="10"/>
            <color rgb="FF000000"/>
            <rFont val="Tahoma"/>
            <family val="2"/>
          </rPr>
          <t>testing was voluntary</t>
        </r>
      </text>
    </comment>
    <comment ref="G36" authorId="0" shapeId="0" xr:uid="{879576FC-6F72-B540-BDD9-F8099184D338}">
      <text>
        <r>
          <rPr>
            <sz val="10"/>
            <color rgb="FF000000"/>
            <rFont val="Tahoma"/>
            <family val="2"/>
          </rPr>
          <t>before-after comparison</t>
        </r>
      </text>
    </comment>
    <comment ref="I36" authorId="0" shapeId="0" xr:uid="{C3CDE838-140D-6E43-B705-503B6D69007A}">
      <text>
        <r>
          <rPr>
            <sz val="10"/>
            <color rgb="FF000000"/>
            <rFont val="Tahoma"/>
            <family val="2"/>
          </rPr>
          <t>before-after comparison</t>
        </r>
      </text>
    </comment>
    <comment ref="J36" authorId="0" shapeId="0" xr:uid="{4D860440-EAED-524A-8C61-095003D8E6C2}">
      <text>
        <r>
          <rPr>
            <sz val="10"/>
            <color rgb="FF000000"/>
            <rFont val="Tahoma"/>
            <family val="2"/>
          </rPr>
          <t>before-after comparison</t>
        </r>
      </text>
    </comment>
    <comment ref="L36" authorId="0" shapeId="0" xr:uid="{9C50FCFA-619D-C94E-8C16-C81EE8E3D79E}">
      <text>
        <r>
          <rPr>
            <sz val="10"/>
            <color rgb="FF000000"/>
            <rFont val="Tahoma"/>
            <family val="2"/>
          </rPr>
          <t>before-after comparison</t>
        </r>
      </text>
    </comment>
    <comment ref="M36" authorId="0" shapeId="0" xr:uid="{B6967FE4-3C9B-3044-81A7-3201048877CC}">
      <text>
        <r>
          <rPr>
            <sz val="10"/>
            <color rgb="FF000000"/>
            <rFont val="Tahoma"/>
            <family val="2"/>
          </rPr>
          <t>before-after comparison</t>
        </r>
      </text>
    </comment>
    <comment ref="O36" authorId="0" shapeId="0" xr:uid="{8D1492F5-03D1-A649-94B5-638D0C7F3EA7}">
      <text>
        <r>
          <rPr>
            <sz val="10"/>
            <color rgb="FF000000"/>
            <rFont val="Tahoma"/>
            <family val="2"/>
          </rPr>
          <t>before-after comparison</t>
        </r>
      </text>
    </comment>
    <comment ref="P36" authorId="0" shapeId="0" xr:uid="{E5E27BA3-E1CC-4D47-9002-F326190529D5}">
      <text>
        <r>
          <rPr>
            <sz val="10"/>
            <color rgb="FF000000"/>
            <rFont val="Tahoma"/>
            <family val="2"/>
          </rPr>
          <t>testing twice weekly (unless symptomatic)</t>
        </r>
      </text>
    </comment>
    <comment ref="S36" authorId="0" shapeId="0" xr:uid="{1A7EE453-A541-A340-B9CB-1B3D85E9D5B1}">
      <text>
        <r>
          <rPr>
            <sz val="10"/>
            <color rgb="FF000000"/>
            <rFont val="Tahoma"/>
            <family val="2"/>
          </rPr>
          <t>total # of Ag-RDT results reported</t>
        </r>
      </text>
    </comment>
    <comment ref="W36" authorId="0" shapeId="0" xr:uid="{05EB185D-BFA2-FE4A-BD1E-6049E805FC9E}">
      <text>
        <r>
          <rPr>
            <sz val="10"/>
            <color rgb="FF000000"/>
            <rFont val="Tahoma"/>
            <family val="2"/>
          </rPr>
          <t>specified number of people eligible for testing</t>
        </r>
      </text>
    </comment>
    <comment ref="X36" authorId="0" shapeId="0" xr:uid="{8A07903A-4481-D94C-9773-0C02BBF14561}">
      <text>
        <r>
          <rPr>
            <sz val="10"/>
            <color rgb="FF000000"/>
            <rFont val="Tahoma"/>
            <family val="2"/>
          </rPr>
          <t>not everyone adhered to the testing routine</t>
        </r>
      </text>
    </comment>
    <comment ref="AA36" authorId="0" shapeId="0" xr:uid="{F0E24340-A6F1-C648-B593-CA2DB770C235}">
      <text>
        <r>
          <rPr>
            <sz val="10"/>
            <color rgb="FF000000"/>
            <rFont val="Tahoma"/>
            <family val="2"/>
          </rPr>
          <t>no indication that tests result interpretation was checked by study personnel</t>
        </r>
      </text>
    </comment>
    <comment ref="AE36" authorId="0" shapeId="0" xr:uid="{A1522106-332B-4342-A413-7CAA72F9CCE4}">
      <text>
        <r>
          <rPr>
            <sz val="10"/>
            <color rgb="FF000000"/>
            <rFont val="Tahoma"/>
            <family val="2"/>
          </rPr>
          <t>results were reported using an online portal, requirement of picture or similar not mentioned</t>
        </r>
      </text>
    </comment>
    <comment ref="AF36" authorId="0" shapeId="0" xr:uid="{9A8472C9-F3C3-E949-81AF-7CD0F5D3449A}">
      <text>
        <r>
          <rPr>
            <sz val="10"/>
            <color rgb="FF000000"/>
            <rFont val="Tahoma"/>
            <family val="2"/>
          </rPr>
          <t>count-related</t>
        </r>
      </text>
    </comment>
    <comment ref="AH36" authorId="0" shapeId="0" xr:uid="{15734C38-2520-964E-835A-FD3F0CE3392B}">
      <text>
        <r>
          <rPr>
            <sz val="10"/>
            <color rgb="FF000000"/>
            <rFont val="Tahoma"/>
            <family val="2"/>
          </rPr>
          <t>count-related</t>
        </r>
      </text>
    </comment>
    <comment ref="D37" authorId="0" shapeId="0" xr:uid="{B6B40077-6D3E-E94E-B4AC-D2398896CD3C}">
      <text>
        <r>
          <rPr>
            <sz val="10"/>
            <color rgb="FF000000"/>
            <rFont val="Tahoma"/>
            <family val="2"/>
          </rPr>
          <t>self-testing was conducted on people with unknown SARS-CoV-2 status</t>
        </r>
      </text>
    </comment>
    <comment ref="F37" authorId="0" shapeId="0" xr:uid="{50751610-782C-1F48-A324-414AAF968CAF}">
      <text>
        <r>
          <rPr>
            <sz val="10"/>
            <color rgb="FF000000"/>
            <rFont val="Tahoma"/>
            <family val="2"/>
          </rPr>
          <t>testing was mandatory by local reuglations</t>
        </r>
      </text>
    </comment>
    <comment ref="G37" authorId="0" shapeId="0" xr:uid="{0C10A2FE-FB93-864E-B4F6-77397B29869B}">
      <text>
        <r>
          <rPr>
            <sz val="10"/>
            <color rgb="FF000000"/>
            <rFont val="Tahoma"/>
            <family val="2"/>
          </rPr>
          <t>before-after comparison</t>
        </r>
      </text>
    </comment>
    <comment ref="I37" authorId="0" shapeId="0" xr:uid="{C3FF2B93-2BE8-6749-B89B-420FEAC9E9B1}">
      <text>
        <r>
          <rPr>
            <sz val="10"/>
            <color rgb="FF000000"/>
            <rFont val="Tahoma"/>
            <family val="2"/>
          </rPr>
          <t>before-after comparison</t>
        </r>
      </text>
    </comment>
    <comment ref="J37" authorId="0" shapeId="0" xr:uid="{D9D00320-BCB1-9D43-A14C-5596A78A7998}">
      <text>
        <r>
          <rPr>
            <sz val="10"/>
            <color rgb="FF000000"/>
            <rFont val="Tahoma"/>
            <family val="2"/>
          </rPr>
          <t>before-after comparison</t>
        </r>
      </text>
    </comment>
    <comment ref="L37" authorId="0" shapeId="0" xr:uid="{62D704F7-CF1B-BB4D-A07B-80EF11874FAA}">
      <text>
        <r>
          <rPr>
            <sz val="10"/>
            <color rgb="FF000000"/>
            <rFont val="Tahoma"/>
            <family val="2"/>
          </rPr>
          <t>before-after comparison</t>
        </r>
      </text>
    </comment>
    <comment ref="M37" authorId="0" shapeId="0" xr:uid="{085658ED-E9F8-AF4E-AFAA-2E7F92FAEAF5}">
      <text>
        <r>
          <rPr>
            <sz val="10"/>
            <color rgb="FF000000"/>
            <rFont val="Tahoma"/>
            <family val="2"/>
          </rPr>
          <t>before-after comparison</t>
        </r>
      </text>
    </comment>
    <comment ref="O37" authorId="0" shapeId="0" xr:uid="{5ABC0B20-A8EB-EE4E-8DD4-2786E89BB213}">
      <text>
        <r>
          <rPr>
            <sz val="10"/>
            <color rgb="FF000000"/>
            <rFont val="Tahoma"/>
            <family val="2"/>
          </rPr>
          <t>before-after comparison</t>
        </r>
      </text>
    </comment>
    <comment ref="P37" authorId="0" shapeId="0" xr:uid="{9836BE3D-E4D1-B44A-AAD9-C7BE9C17EEA0}">
      <text>
        <r>
          <rPr>
            <sz val="10"/>
            <color rgb="FF000000"/>
            <rFont val="Calibri"/>
            <family val="2"/>
          </rPr>
          <t>tested 3 times weekly during higher general SARS-CoV-2 incidence (for ca. 2 weeks), 5 times weekly after a positive case was detected (for ca. 2 weeks), twice weekly as a baseline in between (for ca. 3 months)</t>
        </r>
      </text>
    </comment>
    <comment ref="S37" authorId="0" shapeId="0" xr:uid="{7B8407D4-40B5-084B-96E1-3BEC2907143D}">
      <text>
        <r>
          <rPr>
            <sz val="10"/>
            <color rgb="FF000000"/>
            <rFont val="Tahoma"/>
            <family val="2"/>
          </rPr>
          <t>total # of Ag-RDTs performed is unclear</t>
        </r>
      </text>
    </comment>
    <comment ref="V37" authorId="0" shapeId="0" xr:uid="{F6B7884A-270C-1449-B2E5-B4ECB4EDB060}">
      <text>
        <r>
          <rPr>
            <sz val="10"/>
            <color rgb="FF000000"/>
            <rFont val="Tahoma"/>
            <family val="2"/>
          </rPr>
          <t># of people eligible reported</t>
        </r>
      </text>
    </comment>
    <comment ref="W37" authorId="0" shapeId="0" xr:uid="{0A84D6FD-1731-2145-A189-71E0F0F199E4}">
      <text>
        <r>
          <rPr>
            <sz val="10"/>
            <color rgb="FF000000"/>
            <rFont val="Tahoma"/>
            <family val="2"/>
          </rPr>
          <t># of individuals reporting test result mentioned</t>
        </r>
      </text>
    </comment>
    <comment ref="X37" authorId="0" shapeId="0" xr:uid="{3295477F-A26D-B14B-A1BF-3C5A306147B5}">
      <text>
        <r>
          <rPr>
            <sz val="10"/>
            <color rgb="FF000000"/>
            <rFont val="Tahoma"/>
            <family val="2"/>
          </rPr>
          <t>same Ag-RDT and sample type for all individuals. testing was mandatory by employer</t>
        </r>
      </text>
    </comment>
    <comment ref="AA37" authorId="0" shapeId="0" xr:uid="{AA575E7B-EE57-8246-B5EC-BA9097F4DD99}">
      <text>
        <r>
          <rPr>
            <sz val="10"/>
            <color rgb="FF000000"/>
            <rFont val="Tahoma"/>
            <family val="2"/>
          </rPr>
          <t>no details on manner of test result reporting</t>
        </r>
      </text>
    </comment>
    <comment ref="AD37" authorId="0" shapeId="0" xr:uid="{B1F8F912-1718-F542-9099-AB3038DF861A}">
      <text>
        <r>
          <rPr>
            <sz val="10"/>
            <color rgb="FF000000"/>
            <rFont val="Tahoma"/>
            <family val="2"/>
          </rPr>
          <t>no details on the manner of result reporting</t>
        </r>
      </text>
    </comment>
    <comment ref="AE37" authorId="0" shapeId="0" xr:uid="{F28BE252-52C1-BD4E-9686-EB15F456286E}">
      <text>
        <r>
          <rPr>
            <sz val="10"/>
            <color rgb="FF000000"/>
            <rFont val="Tahoma"/>
            <family val="2"/>
          </rPr>
          <t>no details on the manner of result reporting</t>
        </r>
      </text>
    </comment>
    <comment ref="AF37" authorId="0" shapeId="0" xr:uid="{9AD8C2A6-E8B8-AB4F-AE0D-05F72D1D63CD}">
      <text>
        <r>
          <rPr>
            <sz val="10"/>
            <color rgb="FF000000"/>
            <rFont val="Tahoma"/>
            <family val="2"/>
          </rPr>
          <t>count-related</t>
        </r>
      </text>
    </comment>
    <comment ref="AH37" authorId="0" shapeId="0" xr:uid="{3D267FEB-8087-444E-BB84-F48E08AAE11B}">
      <text>
        <r>
          <rPr>
            <sz val="10"/>
            <color rgb="FF000000"/>
            <rFont val="Tahoma"/>
            <family val="2"/>
          </rPr>
          <t>count-related</t>
        </r>
      </text>
    </comment>
    <comment ref="D38" authorId="0" shapeId="0" xr:uid="{35693121-C2D7-DC48-A36D-CAF600E04C65}">
      <text>
        <r>
          <rPr>
            <sz val="10"/>
            <color rgb="FF000000"/>
            <rFont val="Tahoma"/>
            <family val="2"/>
          </rPr>
          <t>self-testing was conducted on people with unknown SARS-CoV-2 status</t>
        </r>
      </text>
    </comment>
    <comment ref="F38" authorId="0" shapeId="0" xr:uid="{B555BB97-E73A-8C47-B619-185D9607B0F9}">
      <text>
        <r>
          <rPr>
            <sz val="10"/>
            <color rgb="FF000000"/>
            <rFont val="Tahoma"/>
            <family val="2"/>
          </rPr>
          <t>testing was voluntary</t>
        </r>
      </text>
    </comment>
    <comment ref="G38" authorId="0" shapeId="0" xr:uid="{D25629EA-20B7-A846-B1C4-3C23F3B9D910}">
      <text>
        <r>
          <rPr>
            <sz val="10"/>
            <color rgb="FF000000"/>
            <rFont val="Tahoma"/>
            <family val="2"/>
          </rPr>
          <t>before-after comparison</t>
        </r>
      </text>
    </comment>
    <comment ref="I38" authorId="0" shapeId="0" xr:uid="{1C819998-EB08-664A-97F2-B933CFFCA7E8}">
      <text>
        <r>
          <rPr>
            <sz val="10"/>
            <color rgb="FF000000"/>
            <rFont val="Tahoma"/>
            <family val="2"/>
          </rPr>
          <t>before-after comparison</t>
        </r>
      </text>
    </comment>
    <comment ref="J38" authorId="0" shapeId="0" xr:uid="{3EF02F35-1F35-0047-B3E6-867BFB7FF8CB}">
      <text>
        <r>
          <rPr>
            <sz val="10"/>
            <color rgb="FF000000"/>
            <rFont val="Tahoma"/>
            <family val="2"/>
          </rPr>
          <t>before-after comparison</t>
        </r>
      </text>
    </comment>
    <comment ref="L38" authorId="0" shapeId="0" xr:uid="{8C135C36-3533-4540-9162-B17C67E283E6}">
      <text>
        <r>
          <rPr>
            <sz val="10"/>
            <color rgb="FF000000"/>
            <rFont val="Tahoma"/>
            <family val="2"/>
          </rPr>
          <t>before-after comparison</t>
        </r>
      </text>
    </comment>
    <comment ref="M38" authorId="0" shapeId="0" xr:uid="{839809FB-8744-7648-B08E-5B6BBA91518C}">
      <text>
        <r>
          <rPr>
            <sz val="10"/>
            <color rgb="FF000000"/>
            <rFont val="Tahoma"/>
            <family val="2"/>
          </rPr>
          <t>before-after comparison</t>
        </r>
      </text>
    </comment>
    <comment ref="O38" authorId="0" shapeId="0" xr:uid="{10A23903-9AE0-0A46-853C-9587F109FAB8}">
      <text>
        <r>
          <rPr>
            <sz val="10"/>
            <color rgb="FF000000"/>
            <rFont val="Tahoma"/>
            <family val="2"/>
          </rPr>
          <t>before-after comparison</t>
        </r>
      </text>
    </comment>
    <comment ref="P38" authorId="0" shapeId="0" xr:uid="{24040F4F-8117-3A4D-A339-A42567397B1F}">
      <text>
        <r>
          <rPr>
            <sz val="10"/>
            <color rgb="FF000000"/>
            <rFont val="Tahoma"/>
            <family val="2"/>
          </rPr>
          <t>tested daily for one week</t>
        </r>
      </text>
    </comment>
    <comment ref="S38" authorId="0" shapeId="0" xr:uid="{DC5308E4-D9EC-0843-8A3F-35DD880202B3}">
      <text>
        <r>
          <rPr>
            <sz val="10"/>
            <color rgb="FF000000"/>
            <rFont val="Tahoma"/>
            <family val="2"/>
          </rPr>
          <t>total # of Ag-RDT results reported</t>
        </r>
      </text>
    </comment>
    <comment ref="W38" authorId="0" shapeId="0" xr:uid="{420452A8-0247-6B4D-9EF8-F2895D4FF7B6}">
      <text>
        <r>
          <rPr>
            <sz val="10"/>
            <color rgb="FF000000"/>
            <rFont val="Tahoma"/>
            <family val="2"/>
          </rPr>
          <t>possible to compute max # of self-tests performed</t>
        </r>
      </text>
    </comment>
    <comment ref="X38" authorId="0" shapeId="0" xr:uid="{23E0D6B9-0273-4141-B6AE-0A6CEAB85F7F}">
      <text>
        <r>
          <rPr>
            <sz val="10"/>
            <color rgb="FF000000"/>
            <rFont val="Tahoma"/>
            <family val="2"/>
          </rPr>
          <t>not everyone eligible tested once</t>
        </r>
      </text>
    </comment>
    <comment ref="AA38" authorId="0" shapeId="0" xr:uid="{45AAF501-6DF4-5247-84AD-DD0A5655A61C}">
      <text>
        <r>
          <rPr>
            <sz val="10"/>
            <color rgb="FF000000"/>
            <rFont val="Tahoma"/>
            <family val="2"/>
          </rPr>
          <t>results were reported via online portal. picture or alike not mentioned</t>
        </r>
      </text>
    </comment>
    <comment ref="AE38" authorId="0" shapeId="0" xr:uid="{72B18792-7F69-6642-9E2E-8C9C2892E095}">
      <text>
        <r>
          <rPr>
            <sz val="10"/>
            <color rgb="FF000000"/>
            <rFont val="Tahoma"/>
            <family val="2"/>
          </rPr>
          <t>results were reported via online portal. picture or alike not mentioned</t>
        </r>
      </text>
    </comment>
    <comment ref="AF38" authorId="0" shapeId="0" xr:uid="{C43C9BC4-F2BC-9249-94BF-073862D03179}">
      <text>
        <r>
          <rPr>
            <sz val="10"/>
            <color rgb="FF000000"/>
            <rFont val="Tahoma"/>
            <family val="2"/>
          </rPr>
          <t>count-related</t>
        </r>
      </text>
    </comment>
    <comment ref="AH38" authorId="0" shapeId="0" xr:uid="{773C8E78-CD90-BC4C-9CBC-E8C600BCB162}">
      <text>
        <r>
          <rPr>
            <sz val="10"/>
            <color rgb="FF000000"/>
            <rFont val="Tahoma"/>
            <family val="2"/>
          </rPr>
          <t>count-related</t>
        </r>
      </text>
    </comment>
    <comment ref="D39" authorId="0" shapeId="0" xr:uid="{3EA247D8-BAAC-FE44-9C9B-852CC3C441E7}">
      <text>
        <r>
          <rPr>
            <sz val="10"/>
            <color rgb="FF000000"/>
            <rFont val="Tahoma"/>
            <family val="2"/>
          </rPr>
          <t>self-testing was conducted on people with unknown SARS-CoV-2 status</t>
        </r>
      </text>
    </comment>
    <comment ref="F39" authorId="0" shapeId="0" xr:uid="{A3A37835-AD38-2846-B49A-17890AB71D32}">
      <text>
        <r>
          <rPr>
            <sz val="10"/>
            <color rgb="FF000000"/>
            <rFont val="Tahoma"/>
            <family val="2"/>
          </rPr>
          <t>testing was voluntary</t>
        </r>
      </text>
    </comment>
    <comment ref="G39" authorId="0" shapeId="0" xr:uid="{2D187FAC-FF36-414D-BB9F-39ABE7402C14}">
      <text>
        <r>
          <rPr>
            <sz val="10"/>
            <color rgb="FF000000"/>
            <rFont val="Tahoma"/>
            <family val="2"/>
          </rPr>
          <t>before-after comparison</t>
        </r>
      </text>
    </comment>
    <comment ref="I39" authorId="0" shapeId="0" xr:uid="{806B7DE4-451A-A74D-AD9F-719B19AD6973}">
      <text>
        <r>
          <rPr>
            <sz val="10"/>
            <color rgb="FF000000"/>
            <rFont val="Tahoma"/>
            <family val="2"/>
          </rPr>
          <t>before-after comparison</t>
        </r>
      </text>
    </comment>
    <comment ref="J39" authorId="0" shapeId="0" xr:uid="{C99E1292-C7BB-884F-B1C2-D766FB6B7FC4}">
      <text>
        <r>
          <rPr>
            <sz val="10"/>
            <color rgb="FF000000"/>
            <rFont val="Tahoma"/>
            <family val="2"/>
          </rPr>
          <t>before-after comparison</t>
        </r>
      </text>
    </comment>
    <comment ref="L39" authorId="0" shapeId="0" xr:uid="{BE5BC3C4-9EB9-3944-B3FF-7A698C451413}">
      <text>
        <r>
          <rPr>
            <sz val="10"/>
            <color rgb="FF000000"/>
            <rFont val="Tahoma"/>
            <family val="2"/>
          </rPr>
          <t>before-after comparison</t>
        </r>
      </text>
    </comment>
    <comment ref="M39" authorId="0" shapeId="0" xr:uid="{B884347A-A383-FA4C-862C-8B0CCAAAA5CF}">
      <text>
        <r>
          <rPr>
            <sz val="10"/>
            <color rgb="FF000000"/>
            <rFont val="Tahoma"/>
            <family val="2"/>
          </rPr>
          <t>before-after comparison</t>
        </r>
      </text>
    </comment>
    <comment ref="O39" authorId="0" shapeId="0" xr:uid="{CD399773-5FA3-F549-ACC1-42405CFA2464}">
      <text>
        <r>
          <rPr>
            <sz val="10"/>
            <color rgb="FF000000"/>
            <rFont val="Tahoma"/>
            <family val="2"/>
          </rPr>
          <t>before-after comparison</t>
        </r>
      </text>
    </comment>
    <comment ref="P39" authorId="0" shapeId="0" xr:uid="{2CA24F1D-9D14-4747-858A-1DAD68965408}">
      <text>
        <r>
          <rPr>
            <sz val="10"/>
            <color rgb="FF000000"/>
            <rFont val="Tahoma"/>
            <family val="2"/>
          </rPr>
          <t>test daily</t>
        </r>
      </text>
    </comment>
    <comment ref="S39" authorId="0" shapeId="0" xr:uid="{006106B3-94CD-4F4A-925C-9162F3BCEB7D}">
      <text>
        <r>
          <rPr>
            <sz val="10"/>
            <color rgb="FF000000"/>
            <rFont val="Tahoma"/>
            <family val="2"/>
          </rPr>
          <t>total # of Ag-RDTs reported</t>
        </r>
      </text>
    </comment>
    <comment ref="V39" authorId="0" shapeId="0" xr:uid="{03590057-3548-9F43-AAE3-4D5AB8EB1561}">
      <text>
        <r>
          <rPr>
            <sz val="10"/>
            <color rgb="FF000000"/>
            <rFont val="Tahoma"/>
            <family val="2"/>
          </rPr>
          <t># of people eligible reported</t>
        </r>
      </text>
    </comment>
    <comment ref="W39" authorId="0" shapeId="0" xr:uid="{B346798A-D982-824C-A222-08FA90F1644C}">
      <text>
        <r>
          <rPr>
            <sz val="10"/>
            <color rgb="FF000000"/>
            <rFont val="Tahoma"/>
            <family val="2"/>
          </rPr>
          <t>maximum # of tests can be computed</t>
        </r>
      </text>
    </comment>
    <comment ref="X39" authorId="0" shapeId="0" xr:uid="{2EF84942-BCB5-B241-8D9A-8163E164169F}">
      <text>
        <r>
          <rPr>
            <sz val="10"/>
            <color rgb="FF000000"/>
            <rFont val="Tahoma"/>
            <family val="2"/>
          </rPr>
          <t>not everyone adhered to the testing routine</t>
        </r>
      </text>
    </comment>
    <comment ref="AA39" authorId="0" shapeId="0" xr:uid="{3E0617C8-F82B-8141-B36C-01E9CB6A85A7}">
      <text>
        <r>
          <rPr>
            <sz val="10"/>
            <color rgb="FF000000"/>
            <rFont val="Tahoma"/>
            <family val="2"/>
          </rPr>
          <t>study participants were required to submit result together with a picture</t>
        </r>
      </text>
    </comment>
    <comment ref="AD39" authorId="0" shapeId="0" xr:uid="{0A575386-6A83-844F-8549-3C8CC48F416B}">
      <text>
        <r>
          <rPr>
            <sz val="10"/>
            <color rgb="FF000000"/>
            <rFont val="Tahoma"/>
            <family val="2"/>
          </rPr>
          <t>study participants were sent self-testing kit by study personnel</t>
        </r>
      </text>
    </comment>
    <comment ref="AE39" authorId="0" shapeId="0" xr:uid="{7408D628-0B64-9C4B-8FCB-8842DBDEC204}">
      <text>
        <r>
          <rPr>
            <sz val="10"/>
            <color rgb="FF000000"/>
            <rFont val="Tahoma"/>
            <family val="2"/>
          </rPr>
          <t>study participants were required to submit result together with a picture</t>
        </r>
      </text>
    </comment>
    <comment ref="AF39" authorId="0" shapeId="0" xr:uid="{DAC71117-569C-C244-94C5-F596FCA79301}">
      <text>
        <r>
          <rPr>
            <sz val="10"/>
            <color rgb="FF000000"/>
            <rFont val="Tahoma"/>
            <family val="2"/>
          </rPr>
          <t>count-related</t>
        </r>
      </text>
    </comment>
    <comment ref="AH39" authorId="0" shapeId="0" xr:uid="{98B04961-AFEB-9F4C-AC41-685E8E9AE1A0}">
      <text>
        <r>
          <rPr>
            <sz val="10"/>
            <color rgb="FF000000"/>
            <rFont val="Tahoma"/>
            <family val="2"/>
          </rPr>
          <t>count-related</t>
        </r>
      </text>
    </comment>
    <comment ref="D40" authorId="0" shapeId="0" xr:uid="{6CEFBEE4-F922-5042-B3F2-017104697380}">
      <text>
        <r>
          <rPr>
            <sz val="10"/>
            <color rgb="FF000000"/>
            <rFont val="Tahoma"/>
            <family val="2"/>
          </rPr>
          <t>self-testing was conducted on people with unknown SARS-CoV-2 status</t>
        </r>
      </text>
    </comment>
    <comment ref="F40" authorId="0" shapeId="0" xr:uid="{8C5A0E8F-08B7-5447-81CF-EA4B9DA9EFE3}">
      <text>
        <r>
          <rPr>
            <sz val="10"/>
            <color rgb="FF000000"/>
            <rFont val="Tahoma"/>
            <family val="2"/>
          </rPr>
          <t>testing was voluntary</t>
        </r>
      </text>
    </comment>
    <comment ref="G40" authorId="0" shapeId="0" xr:uid="{0D3AD205-E2A8-8F46-A8F7-1BC7B639FD0E}">
      <text>
        <r>
          <rPr>
            <sz val="10"/>
            <color rgb="FF000000"/>
            <rFont val="Tahoma"/>
            <family val="2"/>
          </rPr>
          <t>before-after comparison</t>
        </r>
      </text>
    </comment>
    <comment ref="I40" authorId="0" shapeId="0" xr:uid="{3D998BFE-1085-5A45-ADCB-EA9C43120C85}">
      <text>
        <r>
          <rPr>
            <sz val="10"/>
            <color rgb="FF000000"/>
            <rFont val="Tahoma"/>
            <family val="2"/>
          </rPr>
          <t>before-after comparison</t>
        </r>
      </text>
    </comment>
    <comment ref="J40" authorId="0" shapeId="0" xr:uid="{B8004ED2-7B93-BD40-9ECB-05864702AB57}">
      <text>
        <r>
          <rPr>
            <sz val="10"/>
            <color rgb="FF000000"/>
            <rFont val="Tahoma"/>
            <family val="2"/>
          </rPr>
          <t>before-after comparison</t>
        </r>
      </text>
    </comment>
    <comment ref="L40" authorId="0" shapeId="0" xr:uid="{1E48238E-2864-C34D-B87D-D5B43A78723F}">
      <text>
        <r>
          <rPr>
            <sz val="10"/>
            <color rgb="FF000000"/>
            <rFont val="Tahoma"/>
            <family val="2"/>
          </rPr>
          <t>before-after comparison</t>
        </r>
      </text>
    </comment>
    <comment ref="M40" authorId="0" shapeId="0" xr:uid="{768418A3-5FBF-9441-987E-55732A4A693D}">
      <text>
        <r>
          <rPr>
            <sz val="10"/>
            <color rgb="FF000000"/>
            <rFont val="Tahoma"/>
            <family val="2"/>
          </rPr>
          <t>before-after comparison</t>
        </r>
      </text>
    </comment>
    <comment ref="O40" authorId="0" shapeId="0" xr:uid="{A262483B-9161-4146-82F3-50408AD7C56C}">
      <text>
        <r>
          <rPr>
            <sz val="10"/>
            <color rgb="FF000000"/>
            <rFont val="Tahoma"/>
            <family val="2"/>
          </rPr>
          <t>before-after comparison</t>
        </r>
      </text>
    </comment>
    <comment ref="P40" authorId="0" shapeId="0" xr:uid="{1A8B2ADD-8067-684C-96C3-E4C8EAE69CAA}">
      <text>
        <r>
          <rPr>
            <sz val="10"/>
            <color rgb="FF000000"/>
            <rFont val="Tahoma"/>
            <family val="2"/>
          </rPr>
          <t>testing once weekly (or more often if symptomatic / contact)</t>
        </r>
      </text>
    </comment>
    <comment ref="S40" authorId="0" shapeId="0" xr:uid="{B1EA9FB4-4A78-F64D-BF02-DA6FA8A4E15E}">
      <text>
        <r>
          <rPr>
            <sz val="10"/>
            <color rgb="FF000000"/>
            <rFont val="Tahoma"/>
            <family val="2"/>
          </rPr>
          <t>total # of Ag-RDT results reported</t>
        </r>
      </text>
    </comment>
    <comment ref="V40" authorId="0" shapeId="0" xr:uid="{91BBA24F-CBED-CF44-8DC2-0D32E70233DD}">
      <text>
        <r>
          <rPr>
            <sz val="10"/>
            <color rgb="FF000000"/>
            <rFont val="Tahoma"/>
            <family val="2"/>
          </rPr>
          <t># of individuals eligible for self-testing specified</t>
        </r>
      </text>
    </comment>
    <comment ref="X40" authorId="0" shapeId="0" xr:uid="{2A0C98D7-6789-5B48-95F7-ECF365442DEA}">
      <text>
        <r>
          <rPr>
            <sz val="10"/>
            <color rgb="FF000000"/>
            <rFont val="Tahoma"/>
            <family val="2"/>
          </rPr>
          <t>proportion of individuals adhering to testing schedule unclear</t>
        </r>
      </text>
    </comment>
    <comment ref="AA40" authorId="0" shapeId="0" xr:uid="{6877746B-999D-DA4A-A8E9-9BE71DB1523C}">
      <text>
        <r>
          <rPr>
            <sz val="10"/>
            <color rgb="FF000000"/>
            <rFont val="Tahoma"/>
            <family val="2"/>
          </rPr>
          <t>variety of reporting channels possible (phone calls, WhatsApp, Google Docs). Picture or similar proof of result not mentioned</t>
        </r>
      </text>
    </comment>
    <comment ref="AD40" authorId="0" shapeId="0" xr:uid="{9451DE2E-6310-DF4C-AE77-E8DC1AA40604}">
      <text>
        <r>
          <rPr>
            <sz val="10"/>
            <color rgb="FF000000"/>
            <rFont val="Tahoma"/>
            <family val="2"/>
          </rPr>
          <t>self-test collected from work</t>
        </r>
      </text>
    </comment>
    <comment ref="AF40" authorId="0" shapeId="0" xr:uid="{D8644FB4-A489-9740-9317-F95F76C2EFB7}">
      <text>
        <r>
          <rPr>
            <sz val="10"/>
            <color rgb="FF000000"/>
            <rFont val="Tahoma"/>
            <family val="2"/>
          </rPr>
          <t>count-related, but diverging results reported</t>
        </r>
      </text>
    </comment>
    <comment ref="AH40" authorId="0" shapeId="0" xr:uid="{6C3E5E49-5AF5-FC49-9027-A3B77CD2606C}">
      <text>
        <r>
          <rPr>
            <sz val="10"/>
            <color rgb="FF000000"/>
            <rFont val="Tahoma"/>
            <family val="2"/>
          </rPr>
          <t>count-related</t>
        </r>
      </text>
    </comment>
    <comment ref="D41" authorId="0" shapeId="0" xr:uid="{A0C7078F-2717-8040-A8A2-A538EC5A8247}">
      <text>
        <r>
          <rPr>
            <sz val="10"/>
            <color rgb="FF000000"/>
            <rFont val="Tahoma"/>
            <family val="2"/>
          </rPr>
          <t>self-testing was conducted on people with unknown SARS-CoV-2 status</t>
        </r>
      </text>
    </comment>
    <comment ref="G41" authorId="0" shapeId="0" xr:uid="{7A5E6D50-1803-3A4F-AA10-4C1A1845F550}">
      <text>
        <r>
          <rPr>
            <sz val="10"/>
            <color rgb="FF000000"/>
            <rFont val="Tahoma"/>
            <family val="2"/>
          </rPr>
          <t>before-after comparison</t>
        </r>
      </text>
    </comment>
    <comment ref="J41" authorId="0" shapeId="0" xr:uid="{90F2F77B-585B-A84D-BB19-F7957CFD1ECF}">
      <text>
        <r>
          <rPr>
            <sz val="10"/>
            <color rgb="FF000000"/>
            <rFont val="Tahoma"/>
            <family val="2"/>
          </rPr>
          <t>before-after comparison</t>
        </r>
      </text>
    </comment>
    <comment ref="M41" authorId="0" shapeId="0" xr:uid="{8B55DF84-308C-5D46-8038-DEFD6327106D}">
      <text>
        <r>
          <rPr>
            <sz val="10"/>
            <color rgb="FF000000"/>
            <rFont val="Tahoma"/>
            <family val="2"/>
          </rPr>
          <t>before-after comparison</t>
        </r>
      </text>
    </comment>
    <comment ref="P41" authorId="0" shapeId="0" xr:uid="{0BF4E011-FA24-6645-B0C5-D8E207A30861}">
      <text>
        <r>
          <rPr>
            <sz val="10"/>
            <color rgb="FF000000"/>
            <rFont val="Tahoma"/>
            <family val="2"/>
          </rPr>
          <t>test if symptomatic (on d1 and d3 of symptoms) or after contact with a case</t>
        </r>
      </text>
    </comment>
    <comment ref="S41" authorId="0" shapeId="0" xr:uid="{E967FBF5-DAC4-554E-B7A3-E43F64B83D15}">
      <text>
        <r>
          <rPr>
            <sz val="10"/>
            <color rgb="FF000000"/>
            <rFont val="Tahoma"/>
            <family val="2"/>
          </rPr>
          <t>total # of Ag-RDT results reported</t>
        </r>
      </text>
    </comment>
    <comment ref="X41" authorId="0" shapeId="0" xr:uid="{48CAB77F-DA18-6940-91D5-F105B7E89654}">
      <text>
        <r>
          <rPr>
            <sz val="10"/>
            <color rgb="FF000000"/>
            <rFont val="Tahoma"/>
            <family val="2"/>
          </rPr>
          <t>individuals could test whenever they found it suitable</t>
        </r>
      </text>
    </comment>
    <comment ref="AA41" authorId="0" shapeId="0" xr:uid="{0B0A4193-86C0-F74C-B113-B0181E92505D}">
      <text>
        <r>
          <rPr>
            <sz val="10"/>
            <color rgb="FF000000"/>
            <rFont val="Tahoma"/>
            <family val="2"/>
          </rPr>
          <t>variety of reporting channels possible (phone calls, WhatsApp, Google Docs). Picture or similar proof of result not mentioned</t>
        </r>
      </text>
    </comment>
    <comment ref="AF41" authorId="0" shapeId="0" xr:uid="{3C9B5DF1-BE59-0A41-B5AF-C5F613F3B966}">
      <text>
        <r>
          <rPr>
            <sz val="10"/>
            <color rgb="FF000000"/>
            <rFont val="Tahoma"/>
            <family val="2"/>
          </rPr>
          <t>count-related, but diverging results reported</t>
        </r>
      </text>
    </comment>
    <comment ref="AH41" authorId="0" shapeId="0" xr:uid="{7C5DCAE5-45D1-2E4A-83A1-8CFC81506C7F}">
      <text>
        <r>
          <rPr>
            <sz val="10"/>
            <color rgb="FF000000"/>
            <rFont val="Tahoma"/>
            <family val="2"/>
          </rPr>
          <t>count-related</t>
        </r>
      </text>
    </comment>
    <comment ref="F42" authorId="0" shapeId="0" xr:uid="{2FE22390-D52F-BE4A-B365-158544AA5CE3}">
      <text>
        <r>
          <rPr>
            <sz val="10"/>
            <color rgb="FF000000"/>
            <rFont val="Tahoma"/>
            <family val="2"/>
          </rPr>
          <t>testing was voluntary</t>
        </r>
      </text>
    </comment>
    <comment ref="I42" authorId="0" shapeId="0" xr:uid="{2639AD1F-F65A-B74C-9D71-36DAC875B011}">
      <text>
        <r>
          <rPr>
            <sz val="10"/>
            <color rgb="FF000000"/>
            <rFont val="Tahoma"/>
            <family val="2"/>
          </rPr>
          <t>before-after comparison</t>
        </r>
      </text>
    </comment>
    <comment ref="L42" authorId="0" shapeId="0" xr:uid="{95E4BC0F-391F-6844-8771-6A643F4773BB}">
      <text>
        <r>
          <rPr>
            <sz val="10"/>
            <color rgb="FF000000"/>
            <rFont val="Tahoma"/>
            <family val="2"/>
          </rPr>
          <t>before-after comparison</t>
        </r>
      </text>
    </comment>
    <comment ref="O42" authorId="0" shapeId="0" xr:uid="{7E768C16-84D2-E743-9EB9-3054FE6F669C}">
      <text>
        <r>
          <rPr>
            <sz val="10"/>
            <color rgb="FF000000"/>
            <rFont val="Tahoma"/>
            <family val="2"/>
          </rPr>
          <t>before-after comparison</t>
        </r>
      </text>
    </comment>
    <comment ref="W42" authorId="0" shapeId="0" xr:uid="{233AF3B3-A421-8B49-AB65-B292A9BAD33F}">
      <text>
        <r>
          <rPr>
            <sz val="10"/>
            <color rgb="FF000000"/>
            <rFont val="Tahoma"/>
            <family val="2"/>
          </rPr>
          <t>number of people reporting self-testing defined and possible to calculate optimal number of tests</t>
        </r>
      </text>
    </comment>
    <comment ref="AE42" authorId="0" shapeId="0" xr:uid="{0F319FEB-CBEE-3448-8FAD-F3D80875C4F5}">
      <text>
        <r>
          <rPr>
            <sz val="10"/>
            <color rgb="FF000000"/>
            <rFont val="Tahoma"/>
            <family val="2"/>
          </rPr>
          <t>Test results had to be logged into an online database, but requirement of test result picture or similar was not mentioned</t>
        </r>
      </text>
    </comment>
    <comment ref="AH42" authorId="0" shapeId="0" xr:uid="{AE7F088E-0FD0-E64E-A3A9-B408739B1B30}">
      <text>
        <r>
          <rPr>
            <sz val="10"/>
            <color rgb="FF000000"/>
            <rFont val="Tahoma"/>
            <family val="2"/>
          </rPr>
          <t>count-related</t>
        </r>
      </text>
    </comment>
    <comment ref="D43" authorId="0" shapeId="0" xr:uid="{7112C8CF-12AF-C24A-9ED7-15D3D4B642BD}">
      <text>
        <r>
          <rPr>
            <sz val="10"/>
            <color rgb="FF000000"/>
            <rFont val="Tahoma"/>
            <family val="2"/>
          </rPr>
          <t>self-testing was conducted on people with unknown SARS-CoV-2 status</t>
        </r>
      </text>
    </comment>
    <comment ref="F43" authorId="0" shapeId="0" xr:uid="{7AA0C639-5E53-A640-AD5F-BBCCE4133ACD}">
      <text>
        <r>
          <rPr>
            <sz val="10"/>
            <color rgb="FF000000"/>
            <rFont val="Tahoma"/>
            <family val="2"/>
          </rPr>
          <t>testing was voluntary</t>
        </r>
      </text>
    </comment>
    <comment ref="G43" authorId="0" shapeId="0" xr:uid="{9322917D-03B7-E44F-A1AA-2983731B4222}">
      <text>
        <r>
          <rPr>
            <sz val="10"/>
            <color rgb="FF000000"/>
            <rFont val="Tahoma"/>
            <family val="2"/>
          </rPr>
          <t>before-after comparison</t>
        </r>
      </text>
    </comment>
    <comment ref="I43" authorId="0" shapeId="0" xr:uid="{3F70360A-B113-1C43-B9A2-6E8F72868A11}">
      <text>
        <r>
          <rPr>
            <sz val="10"/>
            <color rgb="FF000000"/>
            <rFont val="Tahoma"/>
            <family val="2"/>
          </rPr>
          <t>before-after comparison</t>
        </r>
      </text>
    </comment>
    <comment ref="J43" authorId="0" shapeId="0" xr:uid="{36C89629-C764-4942-ABD4-9555E1BA5654}">
      <text>
        <r>
          <rPr>
            <sz val="10"/>
            <color rgb="FF000000"/>
            <rFont val="Tahoma"/>
            <family val="2"/>
          </rPr>
          <t>before-after comparison</t>
        </r>
      </text>
    </comment>
    <comment ref="L43" authorId="0" shapeId="0" xr:uid="{13594871-279D-1D47-91BB-24F55C9D8EF3}">
      <text>
        <r>
          <rPr>
            <sz val="10"/>
            <color rgb="FF000000"/>
            <rFont val="Tahoma"/>
            <family val="2"/>
          </rPr>
          <t>before-after comparison</t>
        </r>
      </text>
    </comment>
    <comment ref="M43" authorId="0" shapeId="0" xr:uid="{229AD8A6-71C8-0343-9324-BB89BB94035D}">
      <text>
        <r>
          <rPr>
            <sz val="10"/>
            <color rgb="FF000000"/>
            <rFont val="Tahoma"/>
            <family val="2"/>
          </rPr>
          <t>before-after comparison</t>
        </r>
      </text>
    </comment>
    <comment ref="O43" authorId="0" shapeId="0" xr:uid="{B69FC2A1-2FC3-2E40-9A17-946BF1D77AAF}">
      <text>
        <r>
          <rPr>
            <sz val="10"/>
            <color rgb="FF000000"/>
            <rFont val="Tahoma"/>
            <family val="2"/>
          </rPr>
          <t>before-after comparison</t>
        </r>
      </text>
    </comment>
    <comment ref="P43" authorId="0" shapeId="0" xr:uid="{5A4F3DEC-5AA8-A94F-84A5-C86088D73198}">
      <text>
        <r>
          <rPr>
            <sz val="10"/>
            <color rgb="FF000000"/>
            <rFont val="Tahoma"/>
            <family val="2"/>
          </rPr>
          <t>tested twice weekly</t>
        </r>
      </text>
    </comment>
    <comment ref="S43" authorId="0" shapeId="0" xr:uid="{61754382-6DE1-8640-BA53-44E028D94C42}">
      <text>
        <r>
          <rPr>
            <sz val="10"/>
            <color rgb="FF000000"/>
            <rFont val="Tahoma"/>
            <family val="2"/>
          </rPr>
          <t>total number of individuals that performed testing were reported</t>
        </r>
      </text>
    </comment>
    <comment ref="V43" authorId="0" shapeId="0" xr:uid="{A809522C-3635-7A4A-A181-11B93583F025}">
      <text>
        <r>
          <rPr>
            <sz val="10"/>
            <color rgb="FF000000"/>
            <rFont val="Tahoma"/>
            <family val="2"/>
          </rPr>
          <t># of individuals eligible for self-testing specified</t>
        </r>
      </text>
    </comment>
    <comment ref="W43" authorId="0" shapeId="0" xr:uid="{798A34D4-6784-C440-82E0-C1A0377A31C2}">
      <text>
        <r>
          <rPr>
            <sz val="10"/>
            <color rgb="FF000000"/>
            <rFont val="Tahoma"/>
            <family val="2"/>
          </rPr>
          <t>number of people reporting self-testing defined and possible to calculate optimal number of tests</t>
        </r>
      </text>
    </comment>
    <comment ref="X43" authorId="0" shapeId="0" xr:uid="{087AF6FB-71FE-5E4C-8606-9E0DA4301612}">
      <text>
        <r>
          <rPr>
            <sz val="10"/>
            <color rgb="FF000000"/>
            <rFont val="Tahoma"/>
            <family val="2"/>
          </rPr>
          <t>not all individuals followed the testing regime</t>
        </r>
      </text>
    </comment>
    <comment ref="AA43" authorId="0" shapeId="0" xr:uid="{598F7E51-7B9C-CA4F-9F28-7BC880665880}">
      <text>
        <r>
          <rPr>
            <sz val="10"/>
            <color rgb="FF000000"/>
            <rFont val="Tahoma"/>
            <family val="2"/>
          </rPr>
          <t>tests were conducted under supervision by study personnel</t>
        </r>
      </text>
    </comment>
    <comment ref="AD43" authorId="0" shapeId="0" xr:uid="{4E59646C-64F3-844B-BF79-0B52B8F70A7B}">
      <text>
        <r>
          <rPr>
            <sz val="10"/>
            <color rgb="FF000000"/>
            <rFont val="Tahoma"/>
            <family val="2"/>
          </rPr>
          <t>tests were conducted under supervision by study personnel</t>
        </r>
      </text>
    </comment>
    <comment ref="AE43" authorId="0" shapeId="0" xr:uid="{08A59077-9A5F-8440-8B69-A32293B1A402}">
      <text>
        <r>
          <rPr>
            <sz val="10"/>
            <color rgb="FF000000"/>
            <rFont val="Tahoma"/>
            <family val="2"/>
          </rPr>
          <t>tests were conducted under supervision by study personnel</t>
        </r>
      </text>
    </comment>
    <comment ref="AF43" authorId="0" shapeId="0" xr:uid="{6D410AA0-9229-B14D-9C7E-6504C558BD40}">
      <text>
        <r>
          <rPr>
            <sz val="10"/>
            <color rgb="FF000000"/>
            <rFont val="Tahoma"/>
            <family val="2"/>
          </rPr>
          <t>count-related</t>
        </r>
      </text>
    </comment>
    <comment ref="AH43" authorId="0" shapeId="0" xr:uid="{E071EEC5-EBCB-8B4B-BA90-82D2DF1D1C11}">
      <text>
        <r>
          <rPr>
            <sz val="10"/>
            <color rgb="FF000000"/>
            <rFont val="Tahoma"/>
            <family val="2"/>
          </rPr>
          <t>count-related</t>
        </r>
      </text>
    </comment>
    <comment ref="F44" authorId="0" shapeId="0" xr:uid="{1DDD7B99-4A7C-6245-991C-A6F1BE3D7F2C}">
      <text>
        <r>
          <rPr>
            <sz val="10"/>
            <color rgb="FF000000"/>
            <rFont val="Tahoma"/>
            <family val="2"/>
          </rPr>
          <t>testing was voluntary</t>
        </r>
      </text>
    </comment>
    <comment ref="I44" authorId="0" shapeId="0" xr:uid="{181B533F-E754-9047-B7AD-30A2EEF4810E}">
      <text>
        <r>
          <rPr>
            <sz val="10"/>
            <color rgb="FF000000"/>
            <rFont val="Tahoma"/>
            <family val="2"/>
          </rPr>
          <t>before-after comparison</t>
        </r>
      </text>
    </comment>
    <comment ref="L44" authorId="0" shapeId="0" xr:uid="{6BD8A085-116A-ED43-BDBC-D59CA98E0431}">
      <text>
        <r>
          <rPr>
            <sz val="10"/>
            <color rgb="FF000000"/>
            <rFont val="Tahoma"/>
            <family val="2"/>
          </rPr>
          <t>before-after comparison</t>
        </r>
      </text>
    </comment>
    <comment ref="O44" authorId="0" shapeId="0" xr:uid="{AE74FA6A-48E1-EA45-81B2-EA25617850DA}">
      <text>
        <r>
          <rPr>
            <sz val="10"/>
            <color rgb="FF000000"/>
            <rFont val="Tahoma"/>
            <family val="2"/>
          </rPr>
          <t>before-after comparison</t>
        </r>
      </text>
    </comment>
    <comment ref="V44" authorId="0" shapeId="0" xr:uid="{8BB93DDF-9E78-2242-9ED6-29BFE08C6105}">
      <text>
        <r>
          <rPr>
            <sz val="10"/>
            <color rgb="FF000000"/>
            <rFont val="Tahoma"/>
            <family val="2"/>
          </rPr>
          <t># of individuals eligible for self-testing specified</t>
        </r>
      </text>
    </comment>
    <comment ref="W44" authorId="0" shapeId="0" xr:uid="{CF581D07-1EAF-E74F-9B10-058E4DCFB625}">
      <text>
        <r>
          <rPr>
            <sz val="10"/>
            <color rgb="FF000000"/>
            <rFont val="Tahoma"/>
            <family val="2"/>
          </rPr>
          <t>number of individuals reporting self-testing is specifically stated</t>
        </r>
      </text>
    </comment>
    <comment ref="AD44" authorId="0" shapeId="0" xr:uid="{6C90E2CC-EAF0-4A40-87DB-8C2E69B42BF4}">
      <text>
        <r>
          <rPr>
            <sz val="10"/>
            <color rgb="FF000000"/>
            <rFont val="Tahoma"/>
            <family val="2"/>
          </rPr>
          <t>tests were distributed by study team</t>
        </r>
      </text>
    </comment>
    <comment ref="AE44" authorId="0" shapeId="0" xr:uid="{C0085D82-5CA6-D546-8701-5B7958BA9E80}">
      <text>
        <r>
          <rPr>
            <sz val="10"/>
            <color rgb="FF000000"/>
            <rFont val="Tahoma"/>
            <family val="2"/>
          </rPr>
          <t>results were reported through an online survey, no picture or similar proof required</t>
        </r>
      </text>
    </comment>
    <comment ref="AH44" authorId="0" shapeId="0" xr:uid="{BAC1B9C6-EB32-954A-9938-5420CDB1D890}">
      <text>
        <r>
          <rPr>
            <sz val="10"/>
            <color rgb="FF000000"/>
            <rFont val="Tahoma"/>
            <family val="2"/>
          </rPr>
          <t>count-related</t>
        </r>
      </text>
    </comment>
    <comment ref="F45" authorId="0" shapeId="0" xr:uid="{C3787761-E127-704D-B6E2-A13847BE4E3E}">
      <text>
        <r>
          <rPr>
            <sz val="10"/>
            <color rgb="FF000000"/>
            <rFont val="Tahoma"/>
            <family val="2"/>
          </rPr>
          <t>testing was voluntarly, but conducted under supervision, wherefor reporting of results can be considered 'mandatory'</t>
        </r>
      </text>
    </comment>
    <comment ref="I45" authorId="0" shapeId="0" xr:uid="{DD503D2C-265B-5240-B5E6-8FB84A2BB741}">
      <text>
        <r>
          <rPr>
            <sz val="10"/>
            <color rgb="FF000000"/>
            <rFont val="Tahoma"/>
            <family val="2"/>
          </rPr>
          <t>before-after comparison</t>
        </r>
      </text>
    </comment>
    <comment ref="L45" authorId="0" shapeId="0" xr:uid="{191855D7-9253-D141-9BD4-9E092167C372}">
      <text>
        <r>
          <rPr>
            <sz val="10"/>
            <color rgb="FF000000"/>
            <rFont val="Tahoma"/>
            <family val="2"/>
          </rPr>
          <t>before-after comparison</t>
        </r>
      </text>
    </comment>
    <comment ref="O45" authorId="0" shapeId="0" xr:uid="{C879636F-57AC-754A-9630-5B4E6B2303EC}">
      <text>
        <r>
          <rPr>
            <sz val="10"/>
            <color rgb="FF000000"/>
            <rFont val="Tahoma"/>
            <family val="2"/>
          </rPr>
          <t>before-after comparison</t>
        </r>
      </text>
    </comment>
    <comment ref="V45" authorId="0" shapeId="0" xr:uid="{1437387A-AA8C-4640-8F49-DA56AB9038DC}">
      <text>
        <r>
          <rPr>
            <sz val="10"/>
            <color rgb="FF000000"/>
            <rFont val="Tahoma"/>
            <family val="2"/>
          </rPr>
          <t>specified total # of self-tests performed and # of people eligible</t>
        </r>
      </text>
    </comment>
    <comment ref="W45" authorId="0" shapeId="0" xr:uid="{C9588AF7-F223-234B-A7C2-07D1577F6625}">
      <text>
        <r>
          <rPr>
            <sz val="10"/>
            <color rgb="FF000000"/>
            <rFont val="Tahoma"/>
            <family val="2"/>
          </rPr>
          <t>possible to compute max # of self-tests performed</t>
        </r>
      </text>
    </comment>
    <comment ref="AD45" authorId="0" shapeId="0" xr:uid="{F805770E-38CE-AD44-8475-23C4CD71CE01}">
      <text>
        <r>
          <rPr>
            <sz val="10"/>
            <color rgb="FF000000"/>
            <rFont val="Calibri"/>
            <family val="2"/>
          </rPr>
          <t>testing was performed under supervision of study staff</t>
        </r>
      </text>
    </comment>
    <comment ref="AE45" authorId="0" shapeId="0" xr:uid="{A40BFA78-FAF8-B849-91AA-F33F67E04C20}">
      <text>
        <r>
          <rPr>
            <sz val="10"/>
            <color rgb="FF000000"/>
            <rFont val="Tahoma"/>
            <family val="2"/>
          </rPr>
          <t>testing was performed under supervision of study staff</t>
        </r>
      </text>
    </comment>
    <comment ref="AH45" authorId="0" shapeId="0" xr:uid="{BE4CDD36-DA00-A243-AB33-6A3DCAC807A2}">
      <text>
        <r>
          <rPr>
            <sz val="10"/>
            <color rgb="FF000000"/>
            <rFont val="Tahoma"/>
            <family val="2"/>
          </rPr>
          <t>count-related</t>
        </r>
      </text>
    </comment>
    <comment ref="D46" authorId="0" shapeId="0" xr:uid="{16B4247A-741A-C149-A9FE-C77695C1B0FC}">
      <text>
        <r>
          <rPr>
            <sz val="10"/>
            <color rgb="FF000000"/>
            <rFont val="Tahoma"/>
            <family val="2"/>
          </rPr>
          <t>all individuals tested RT-PCR negative at the beginning of the study</t>
        </r>
      </text>
    </comment>
    <comment ref="F46" authorId="0" shapeId="0" xr:uid="{E895535B-1180-404D-947E-CA46F869EA30}">
      <text>
        <r>
          <rPr>
            <sz val="10"/>
            <color rgb="FF000000"/>
            <rFont val="Tahoma"/>
            <family val="2"/>
          </rPr>
          <t>testing was voluntary</t>
        </r>
      </text>
    </comment>
    <comment ref="G46" authorId="0" shapeId="0" xr:uid="{0BE4FEF7-746E-4349-B54C-6581003C3D5F}">
      <text>
        <r>
          <rPr>
            <sz val="10"/>
            <color rgb="FF000000"/>
            <rFont val="Tahoma"/>
            <family val="2"/>
          </rPr>
          <t>before-after comparison</t>
        </r>
      </text>
    </comment>
    <comment ref="I46" authorId="0" shapeId="0" xr:uid="{7D93A203-966F-FA4B-A1AC-47E6ED2AF2C8}">
      <text>
        <r>
          <rPr>
            <sz val="10"/>
            <color rgb="FF000000"/>
            <rFont val="Tahoma"/>
            <family val="2"/>
          </rPr>
          <t>before-after comparison</t>
        </r>
      </text>
    </comment>
    <comment ref="J46" authorId="0" shapeId="0" xr:uid="{66C9B694-D58E-1845-9DC9-C3CE48F00A85}">
      <text>
        <r>
          <rPr>
            <sz val="10"/>
            <color rgb="FF000000"/>
            <rFont val="Tahoma"/>
            <family val="2"/>
          </rPr>
          <t>before-after comparison</t>
        </r>
      </text>
    </comment>
    <comment ref="L46" authorId="0" shapeId="0" xr:uid="{FB74D46D-B8B1-9E46-A38C-CD99DB5CBBAE}">
      <text>
        <r>
          <rPr>
            <sz val="10"/>
            <color rgb="FF000000"/>
            <rFont val="Tahoma"/>
            <family val="2"/>
          </rPr>
          <t>before-after comparison</t>
        </r>
      </text>
    </comment>
    <comment ref="M46" authorId="0" shapeId="0" xr:uid="{A3B6F69E-6DB8-8349-BADA-FE4903E4F1C5}">
      <text>
        <r>
          <rPr>
            <sz val="10"/>
            <color rgb="FF000000"/>
            <rFont val="Tahoma"/>
            <family val="2"/>
          </rPr>
          <t>before-after comparison</t>
        </r>
      </text>
    </comment>
    <comment ref="O46" authorId="0" shapeId="0" xr:uid="{39E7B34E-F609-A847-8934-4FBD71C8ED33}">
      <text>
        <r>
          <rPr>
            <sz val="10"/>
            <color rgb="FF000000"/>
            <rFont val="Tahoma"/>
            <family val="2"/>
          </rPr>
          <t>before-after comparison</t>
        </r>
      </text>
    </comment>
    <comment ref="P46" authorId="0" shapeId="0" xr:uid="{9A6D549C-9BE9-8240-B330-8B3B5ABFA4E4}">
      <text>
        <r>
          <rPr>
            <sz val="10"/>
            <color rgb="FF000000"/>
            <rFont val="Tahoma"/>
            <family val="2"/>
          </rPr>
          <t>testing every second week</t>
        </r>
      </text>
    </comment>
    <comment ref="S46" authorId="0" shapeId="0" xr:uid="{C7B89A78-8727-524A-823E-2CADABF86AFC}">
      <text>
        <r>
          <rPr>
            <sz val="10"/>
            <color rgb="FF000000"/>
            <rFont val="Tahoma"/>
            <family val="2"/>
          </rPr>
          <t>Total # of participants reported</t>
        </r>
      </text>
    </comment>
    <comment ref="V46" authorId="0" shapeId="0" xr:uid="{F57C383F-021E-B34C-8C49-3187BFE11868}">
      <text>
        <r>
          <rPr>
            <sz val="10"/>
            <color rgb="FF000000"/>
            <rFont val="Tahoma"/>
            <family val="2"/>
          </rPr>
          <t># of individuals eligible for self-testing specified</t>
        </r>
      </text>
    </comment>
    <comment ref="W46" authorId="0" shapeId="0" xr:uid="{07E7579D-2E79-2748-A3DC-CA03A6B78AAF}">
      <text>
        <r>
          <rPr>
            <sz val="10"/>
            <color rgb="FF000000"/>
            <rFont val="Tahoma"/>
            <family val="2"/>
          </rPr>
          <t>number of people reporting self-testing defined</t>
        </r>
      </text>
    </comment>
    <comment ref="X46" authorId="0" shapeId="0" xr:uid="{230D9FAF-9E9B-E04D-AA8E-0046E0F3C338}">
      <text>
        <r>
          <rPr>
            <sz val="10"/>
            <color rgb="FF000000"/>
            <rFont val="Tahoma"/>
            <family val="2"/>
          </rPr>
          <t>individuals tested at different testing frequencies</t>
        </r>
      </text>
    </comment>
    <comment ref="AA46" authorId="0" shapeId="0" xr:uid="{F0770124-E9A7-554B-AA28-D735997BFC43}">
      <text>
        <r>
          <rPr>
            <sz val="10"/>
            <color rgb="FF000000"/>
            <rFont val="Tahoma"/>
            <family val="2"/>
          </rPr>
          <t>no details on the manner of result reporting</t>
        </r>
      </text>
    </comment>
    <comment ref="AD46" authorId="0" shapeId="0" xr:uid="{B2A57067-F371-6049-8E33-008518960B01}">
      <text>
        <r>
          <rPr>
            <sz val="10"/>
            <color rgb="FF000000"/>
            <rFont val="Tahoma"/>
            <family val="2"/>
          </rPr>
          <t>no information on the mode of test collection</t>
        </r>
      </text>
    </comment>
    <comment ref="AE46" authorId="0" shapeId="0" xr:uid="{9B492C05-83FC-AC4D-A601-3AA054FB5613}">
      <text>
        <r>
          <rPr>
            <sz val="10"/>
            <color rgb="FF000000"/>
            <rFont val="Tahoma"/>
            <family val="2"/>
          </rPr>
          <t>no information on the mode of result reporting</t>
        </r>
      </text>
    </comment>
    <comment ref="AF46" authorId="0" shapeId="0" xr:uid="{A26849AF-24A7-5B4F-A3DC-731DECD49DB1}">
      <text>
        <r>
          <rPr>
            <sz val="10"/>
            <color rgb="FF000000"/>
            <rFont val="Tahoma"/>
            <family val="2"/>
          </rPr>
          <t>count-related</t>
        </r>
      </text>
    </comment>
    <comment ref="AH46" authorId="0" shapeId="0" xr:uid="{CCC70123-411D-C14B-90BE-077959A45A7A}">
      <text>
        <r>
          <rPr>
            <sz val="10"/>
            <color rgb="FF000000"/>
            <rFont val="Tahoma"/>
            <family val="2"/>
          </rPr>
          <t>count-related</t>
        </r>
      </text>
    </comment>
    <comment ref="D47" authorId="0" shapeId="0" xr:uid="{DB40B741-36C8-8146-B167-D5927F2A3ED6}">
      <text>
        <r>
          <rPr>
            <sz val="10"/>
            <color rgb="FF000000"/>
            <rFont val="Tahoma"/>
            <family val="2"/>
          </rPr>
          <t>self-testing was conducted on people with unknown SARS-CoV-2 status</t>
        </r>
      </text>
    </comment>
    <comment ref="F47" authorId="0" shapeId="0" xr:uid="{C09ACCC8-A1DD-3544-AA18-DF1E2DA4A2EB}">
      <text>
        <r>
          <rPr>
            <sz val="10"/>
            <color rgb="FF000000"/>
            <rFont val="Tahoma"/>
            <family val="2"/>
          </rPr>
          <t>testing was voluntary</t>
        </r>
      </text>
    </comment>
    <comment ref="G47" authorId="0" shapeId="0" xr:uid="{06FA5691-A254-9049-9D97-E63DBFAD8BDB}">
      <text>
        <r>
          <rPr>
            <sz val="10"/>
            <color rgb="FF000000"/>
            <rFont val="Tahoma"/>
            <family val="2"/>
          </rPr>
          <t>before-after comparison</t>
        </r>
      </text>
    </comment>
    <comment ref="I47" authorId="0" shapeId="0" xr:uid="{3B227D73-985D-8747-A6F2-4A5C65B89975}">
      <text>
        <r>
          <rPr>
            <sz val="10"/>
            <color rgb="FF000000"/>
            <rFont val="Tahoma"/>
            <family val="2"/>
          </rPr>
          <t>before-after comparison</t>
        </r>
      </text>
    </comment>
    <comment ref="J47" authorId="0" shapeId="0" xr:uid="{22305FD6-AB50-D244-9971-36924EF9D363}">
      <text>
        <r>
          <rPr>
            <sz val="10"/>
            <color rgb="FF000000"/>
            <rFont val="Tahoma"/>
            <family val="2"/>
          </rPr>
          <t>before-after comparison</t>
        </r>
      </text>
    </comment>
    <comment ref="L47" authorId="0" shapeId="0" xr:uid="{1312BD69-B9E3-504A-84F1-32AF22059F74}">
      <text>
        <r>
          <rPr>
            <sz val="10"/>
            <color rgb="FF000000"/>
            <rFont val="Tahoma"/>
            <family val="2"/>
          </rPr>
          <t>before-after comparison</t>
        </r>
      </text>
    </comment>
    <comment ref="M47" authorId="0" shapeId="0" xr:uid="{43336F54-F65D-2A41-8FF2-335A09401E91}">
      <text>
        <r>
          <rPr>
            <sz val="10"/>
            <color rgb="FF000000"/>
            <rFont val="Tahoma"/>
            <family val="2"/>
          </rPr>
          <t>before-after comparison</t>
        </r>
      </text>
    </comment>
    <comment ref="O47" authorId="0" shapeId="0" xr:uid="{219E972E-BBED-A54B-BDC5-812BFD68B3F7}">
      <text>
        <r>
          <rPr>
            <sz val="10"/>
            <color rgb="FF000000"/>
            <rFont val="Tahoma"/>
            <family val="2"/>
          </rPr>
          <t>before-after comparison</t>
        </r>
      </text>
    </comment>
    <comment ref="P47" authorId="0" shapeId="0" xr:uid="{5A5CA925-288F-A04D-A878-7F098D2FD8D9}">
      <text>
        <r>
          <rPr>
            <sz val="10"/>
            <color rgb="FF000000"/>
            <rFont val="Tahoma"/>
            <family val="2"/>
          </rPr>
          <t>tests twice weekly</t>
        </r>
      </text>
    </comment>
    <comment ref="S47" authorId="0" shapeId="0" xr:uid="{B025DC88-0DB7-E347-A7CE-5231943BC151}">
      <text>
        <r>
          <rPr>
            <sz val="10"/>
            <color rgb="FF000000"/>
            <rFont val="Tahoma"/>
            <family val="2"/>
          </rPr>
          <t>Public health system extracted information ("</t>
        </r>
        <r>
          <rPr>
            <sz val="10"/>
            <color rgb="FF000000"/>
            <rFont val="Calibri"/>
            <family val="2"/>
          </rPr>
          <t>national digital reporting service")</t>
        </r>
      </text>
    </comment>
    <comment ref="W47" authorId="0" shapeId="0" xr:uid="{C74BAB1A-3684-FB4D-9B34-4A2F25E5142A}">
      <text>
        <r>
          <rPr>
            <sz val="10"/>
            <color rgb="FF000000"/>
            <rFont val="Tahoma"/>
            <family val="2"/>
          </rPr>
          <t>possible to compute max # of self-tests performed</t>
        </r>
      </text>
    </comment>
    <comment ref="X47" authorId="0" shapeId="0" xr:uid="{6FF91BB3-7D52-DB4B-835B-E96A6527B9AA}">
      <text>
        <r>
          <rPr>
            <sz val="10"/>
            <color rgb="FF000000"/>
            <rFont val="Tahoma"/>
            <family val="2"/>
          </rPr>
          <t>uncertain whether all individuals exactly followed the testing regime</t>
        </r>
      </text>
    </comment>
    <comment ref="AA47" authorId="0" shapeId="0" xr:uid="{FBFA5B7B-2699-8B49-930C-BC8719157793}">
      <text>
        <r>
          <rPr>
            <sz val="10"/>
            <color rgb="FF000000"/>
            <rFont val="Tahoma"/>
            <family val="34"/>
          </rPr>
          <t>Reporting via national digital reporting service. Requirement of picture or similar not reported</t>
        </r>
      </text>
    </comment>
    <comment ref="AE47" authorId="0" shapeId="0" xr:uid="{C16187B9-50C9-A941-B70E-88EAA6DA004E}">
      <text>
        <r>
          <rPr>
            <sz val="10"/>
            <color rgb="FF000000"/>
            <rFont val="Tahoma"/>
            <family val="34"/>
          </rPr>
          <t>test results were reported via the "national digital reporting service", no picture requirement or similar mentioned</t>
        </r>
      </text>
    </comment>
    <comment ref="AF47" authorId="0" shapeId="0" xr:uid="{BCBA22DD-7FC4-AA4A-AAEA-BC30C3FCA26B}">
      <text>
        <r>
          <rPr>
            <sz val="10"/>
            <color rgb="FF000000"/>
            <rFont val="Tahoma"/>
            <family val="2"/>
          </rPr>
          <t>count-related</t>
        </r>
      </text>
    </comment>
    <comment ref="AH47" authorId="0" shapeId="0" xr:uid="{C373FF2E-738C-004B-8F66-0990B0943A4B}">
      <text>
        <r>
          <rPr>
            <sz val="10"/>
            <color rgb="FF000000"/>
            <rFont val="Tahoma"/>
            <family val="2"/>
          </rPr>
          <t>count-related</t>
        </r>
      </text>
    </comment>
    <comment ref="E48" authorId="0" shapeId="0" xr:uid="{7EE08B48-5A26-0B42-A9CC-93364043E72D}">
      <text>
        <r>
          <rPr>
            <sz val="10"/>
            <color rgb="FF000000"/>
            <rFont val="Tahoma"/>
            <family val="2"/>
          </rPr>
          <t>confirmatory testing for self-testing</t>
        </r>
      </text>
    </comment>
    <comment ref="H48" authorId="0" shapeId="0" xr:uid="{BC2DE98D-D62C-BC4C-93BF-07A94D781ADB}">
      <text>
        <r>
          <rPr>
            <sz val="10"/>
            <color rgb="FF000000"/>
            <rFont val="Tahoma"/>
            <family val="2"/>
          </rPr>
          <t>before-after comparison</t>
        </r>
      </text>
    </comment>
    <comment ref="K48" authorId="0" shapeId="0" xr:uid="{C9B30500-0474-B44B-AF48-DBA0C9EE8C5F}">
      <text>
        <r>
          <rPr>
            <sz val="10"/>
            <color rgb="FF000000"/>
            <rFont val="Tahoma"/>
            <family val="2"/>
          </rPr>
          <t>before-after comparison</t>
        </r>
      </text>
    </comment>
    <comment ref="N48" authorId="0" shapeId="0" xr:uid="{3E21BF39-47C8-7847-8D27-173617F5A64C}">
      <text>
        <r>
          <rPr>
            <sz val="10"/>
            <color rgb="FF000000"/>
            <rFont val="Tahoma"/>
            <family val="2"/>
          </rPr>
          <t>before-after comparison</t>
        </r>
      </text>
    </comment>
    <comment ref="U48" authorId="0" shapeId="0" xr:uid="{928F191B-3A5E-1D4B-8397-7CA0049EC101}">
      <text>
        <r>
          <rPr>
            <sz val="10"/>
            <color rgb="FF000000"/>
            <rFont val="Tahoma"/>
            <family val="2"/>
          </rPr>
          <t>confirmatory testing for all C19ST</t>
        </r>
      </text>
    </comment>
    <comment ref="Y48" authorId="0" shapeId="0" xr:uid="{48525AC0-A6EE-AE48-8EF3-24790ACDC053}">
      <text>
        <r>
          <rPr>
            <sz val="10"/>
            <color rgb="FF000000"/>
            <rFont val="Tahoma"/>
            <family val="2"/>
          </rPr>
          <t>all confirmatory testing was done using RT-PCR</t>
        </r>
      </text>
    </comment>
    <comment ref="AB48" authorId="0" shapeId="0" xr:uid="{F31FC9A0-5E41-FE4F-9739-4ECD82EB4A26}">
      <text>
        <r>
          <rPr>
            <sz val="10"/>
            <color rgb="FF000000"/>
            <rFont val="Tahoma"/>
            <family val="2"/>
          </rPr>
          <t>confirmatory testing for all C19ST</t>
        </r>
      </text>
    </comment>
    <comment ref="AC48" authorId="0" shapeId="0" xr:uid="{ED964EB7-8923-8948-A15D-141A613C1E36}">
      <text>
        <r>
          <rPr>
            <sz val="10"/>
            <color rgb="FF000000"/>
            <rFont val="Tahoma"/>
            <family val="2"/>
          </rPr>
          <t>confirmatory testing for all C19ST</t>
        </r>
      </text>
    </comment>
    <comment ref="AG48" authorId="0" shapeId="0" xr:uid="{4DE4C460-47A9-1E4F-8DFF-373E9FEDD412}">
      <text>
        <r>
          <rPr>
            <sz val="10"/>
            <color rgb="FF000000"/>
            <rFont val="Tahoma"/>
            <family val="2"/>
          </rPr>
          <t>all confirmatory testing was done using RT-PCR</t>
        </r>
      </text>
    </comment>
    <comment ref="F49" authorId="0" shapeId="0" xr:uid="{5F849CDB-4530-F64C-8E72-00E2CFBDB451}">
      <text>
        <r>
          <rPr>
            <sz val="10"/>
            <color rgb="FF000000"/>
            <rFont val="Tahoma"/>
            <family val="2"/>
          </rPr>
          <t>testing was voluntary</t>
        </r>
      </text>
    </comment>
    <comment ref="I49" authorId="0" shapeId="0" xr:uid="{3F2F45C9-2AEB-5F43-A8E0-8BB30D942591}">
      <text>
        <r>
          <rPr>
            <sz val="10"/>
            <color rgb="FF000000"/>
            <rFont val="Tahoma"/>
            <family val="2"/>
          </rPr>
          <t>before-after comparison</t>
        </r>
      </text>
    </comment>
    <comment ref="L49" authorId="0" shapeId="0" xr:uid="{D8C68A03-9DDF-9543-A1CE-41A06164BC1A}">
      <text>
        <r>
          <rPr>
            <sz val="10"/>
            <color rgb="FF000000"/>
            <rFont val="Tahoma"/>
            <family val="2"/>
          </rPr>
          <t>before-after comparison</t>
        </r>
      </text>
    </comment>
    <comment ref="O49" authorId="0" shapeId="0" xr:uid="{B3EF50ED-6D44-2246-B2DB-0EC4AFBAF829}">
      <text>
        <r>
          <rPr>
            <sz val="10"/>
            <color rgb="FF000000"/>
            <rFont val="Tahoma"/>
            <family val="2"/>
          </rPr>
          <t>before-after comparison</t>
        </r>
      </text>
    </comment>
    <comment ref="W49" authorId="0" shapeId="0" xr:uid="{6BEFC3E7-5753-C246-A1A7-0E3E97CE8587}">
      <text>
        <r>
          <rPr>
            <sz val="10"/>
            <color rgb="FF000000"/>
            <rFont val="Tahoma"/>
            <family val="2"/>
          </rPr>
          <t>number of individuals reporting test result defined</t>
        </r>
      </text>
    </comment>
    <comment ref="AE49" authorId="0" shapeId="0" xr:uid="{9614EDFA-EAB4-DA4D-9C47-86BB3524A418}">
      <text>
        <r>
          <rPr>
            <sz val="10"/>
            <color rgb="FF000000"/>
            <rFont val="Tahoma"/>
            <family val="2"/>
          </rPr>
          <t>result reporting through an app requiring a picture</t>
        </r>
      </text>
    </comment>
    <comment ref="AH49" authorId="0" shapeId="0" xr:uid="{7902387B-92AB-E94E-871C-08606AC5BA06}">
      <text>
        <r>
          <rPr>
            <sz val="10"/>
            <color rgb="FF000000"/>
            <rFont val="Tahoma"/>
            <family val="2"/>
          </rPr>
          <t>count-related</t>
        </r>
      </text>
    </comment>
    <comment ref="D50" authorId="0" shapeId="0" xr:uid="{DCB3C01B-565F-3144-9326-14C9390583C8}">
      <text>
        <r>
          <rPr>
            <sz val="10"/>
            <color rgb="FF000000"/>
            <rFont val="Tahoma"/>
            <family val="2"/>
          </rPr>
          <t>self-testing was conducted on people with unknown SARS-CoV-2 status</t>
        </r>
      </text>
    </comment>
    <comment ref="F50" authorId="0" shapeId="0" xr:uid="{461E21A2-5101-524D-A2D2-0C6ABF52CA6D}">
      <text>
        <r>
          <rPr>
            <sz val="10"/>
            <color rgb="FF000000"/>
            <rFont val="Tahoma"/>
            <family val="2"/>
          </rPr>
          <t>testing was voluntary</t>
        </r>
      </text>
    </comment>
    <comment ref="G50" authorId="0" shapeId="0" xr:uid="{638FA85C-2E07-E74B-BDE8-AE83241DB9E7}">
      <text>
        <r>
          <rPr>
            <sz val="10"/>
            <color rgb="FF000000"/>
            <rFont val="Tahoma"/>
            <family val="2"/>
          </rPr>
          <t>before-after comparison</t>
        </r>
      </text>
    </comment>
    <comment ref="I50" authorId="0" shapeId="0" xr:uid="{4015B48C-FA99-FA41-A048-EC39977F4889}">
      <text>
        <r>
          <rPr>
            <sz val="10"/>
            <color rgb="FF000000"/>
            <rFont val="Tahoma"/>
            <family val="2"/>
          </rPr>
          <t>before-after comparison</t>
        </r>
      </text>
    </comment>
    <comment ref="J50" authorId="0" shapeId="0" xr:uid="{CBD6BD40-BC0E-624E-A284-E14D44D10517}">
      <text>
        <r>
          <rPr>
            <sz val="10"/>
            <color rgb="FF000000"/>
            <rFont val="Tahoma"/>
            <family val="2"/>
          </rPr>
          <t>before-after comparison</t>
        </r>
      </text>
    </comment>
    <comment ref="L50" authorId="0" shapeId="0" xr:uid="{FE244DF1-1C34-A24A-B8B2-314437630036}">
      <text>
        <r>
          <rPr>
            <sz val="10"/>
            <color rgb="FF000000"/>
            <rFont val="Tahoma"/>
            <family val="2"/>
          </rPr>
          <t>before-after comparison</t>
        </r>
      </text>
    </comment>
    <comment ref="M50" authorId="0" shapeId="0" xr:uid="{5479EA0B-B066-7F46-B17C-2CC8656B57A6}">
      <text>
        <r>
          <rPr>
            <sz val="10"/>
            <color rgb="FF000000"/>
            <rFont val="Tahoma"/>
            <family val="2"/>
          </rPr>
          <t>before-after comparison</t>
        </r>
      </text>
    </comment>
    <comment ref="O50" authorId="0" shapeId="0" xr:uid="{94669335-5F22-3D4B-85BD-5347DE5A39D4}">
      <text>
        <r>
          <rPr>
            <sz val="10"/>
            <color rgb="FF000000"/>
            <rFont val="Tahoma"/>
            <family val="2"/>
          </rPr>
          <t>before-after comparison</t>
        </r>
      </text>
    </comment>
    <comment ref="P50" authorId="0" shapeId="0" xr:uid="{C77BF48C-9969-8E43-99CC-8DAC0987D771}">
      <text>
        <r>
          <rPr>
            <sz val="10"/>
            <color rgb="FF000000"/>
            <rFont val="Tahoma"/>
            <family val="2"/>
          </rPr>
          <t>testing only occured once</t>
        </r>
      </text>
    </comment>
    <comment ref="S50" authorId="0" shapeId="0" xr:uid="{727D76DB-A82E-3441-8FD8-04A7892317FA}">
      <text>
        <r>
          <rPr>
            <sz val="10"/>
            <color rgb="FF000000"/>
            <rFont val="Tahoma"/>
            <family val="2"/>
          </rPr>
          <t>total # of Ag-RDT results reported</t>
        </r>
      </text>
    </comment>
    <comment ref="V50" authorId="0" shapeId="0" xr:uid="{90E6B0D0-9CB0-A542-BD14-46D9D9D61771}">
      <text>
        <r>
          <rPr>
            <sz val="10"/>
            <color rgb="FF000000"/>
            <rFont val="Tahoma"/>
            <family val="2"/>
          </rPr>
          <t>specified sample size of 2,400 individuals</t>
        </r>
      </text>
    </comment>
    <comment ref="W50" authorId="0" shapeId="0" xr:uid="{BBFA9C0D-7F2F-3C44-AFC2-D3411CD0C59F}">
      <text>
        <r>
          <rPr>
            <sz val="10"/>
            <color rgb="FF000000"/>
            <rFont val="Tahoma"/>
            <family val="2"/>
          </rPr>
          <t>testing once</t>
        </r>
      </text>
    </comment>
    <comment ref="X50" authorId="0" shapeId="0" xr:uid="{16266C77-FB07-D94D-A0D5-A667B0A9BA01}">
      <text>
        <r>
          <rPr>
            <sz val="10"/>
            <color rgb="FF000000"/>
            <rFont val="Tahoma"/>
            <family val="2"/>
          </rPr>
          <t>unclear sample type</t>
        </r>
      </text>
    </comment>
    <comment ref="AA50" authorId="0" shapeId="0" xr:uid="{C5285331-FBC9-F943-8CB2-C18C8B7E62BB}">
      <text>
        <r>
          <rPr>
            <sz val="10"/>
            <color rgb="FF000000"/>
            <rFont val="Tahoma"/>
            <family val="2"/>
          </rPr>
          <t>results were reported via email</t>
        </r>
      </text>
    </comment>
    <comment ref="AD50" authorId="0" shapeId="0" xr:uid="{2A734019-5154-704F-9E23-D21483FD1355}">
      <text>
        <r>
          <rPr>
            <sz val="10"/>
            <color rgb="FF000000"/>
            <rFont val="Tahoma"/>
            <family val="2"/>
          </rPr>
          <t>tests were distributed by study team</t>
        </r>
      </text>
    </comment>
    <comment ref="AE50" authorId="0" shapeId="0" xr:uid="{327B6D55-FF91-6042-9071-4872D8C54722}">
      <text>
        <r>
          <rPr>
            <sz val="11"/>
            <color rgb="FF000000"/>
            <rFont val="Calibri"/>
            <family val="2"/>
          </rPr>
          <t>testing was reported via email, no proof through picture or similar was mentioned</t>
        </r>
      </text>
    </comment>
    <comment ref="AF50" authorId="0" shapeId="0" xr:uid="{6A8E6808-BBA9-EB49-B1DE-E7F07DD48CCB}">
      <text>
        <r>
          <rPr>
            <sz val="10"/>
            <color rgb="FF000000"/>
            <rFont val="Tahoma"/>
            <family val="2"/>
          </rPr>
          <t>count-related</t>
        </r>
      </text>
    </comment>
    <comment ref="AH50" authorId="0" shapeId="0" xr:uid="{B15C8237-53D2-5845-A984-8BA3EF9FFD38}">
      <text>
        <r>
          <rPr>
            <sz val="10"/>
            <color rgb="FF000000"/>
            <rFont val="Tahoma"/>
            <family val="2"/>
          </rPr>
          <t>count-related</t>
        </r>
      </text>
    </comment>
    <comment ref="D51" authorId="0" shapeId="0" xr:uid="{73CBAF42-EF49-BE4C-A632-6EE986CCF293}">
      <text>
        <r>
          <rPr>
            <sz val="10"/>
            <color rgb="FF000000"/>
            <rFont val="Tahoma"/>
            <family val="2"/>
          </rPr>
          <t>self-testing was conducted on people with unknown SARS-CoV-2 status</t>
        </r>
      </text>
    </comment>
    <comment ref="E51" authorId="0" shapeId="0" xr:uid="{6A7239BA-FBC7-0E4E-90D8-2D6ACAD8B5AE}">
      <text>
        <r>
          <rPr>
            <sz val="10"/>
            <color rgb="FF000000"/>
            <rFont val="Tahoma"/>
            <family val="2"/>
          </rPr>
          <t>confirmatory testing for self-testing</t>
        </r>
      </text>
    </comment>
    <comment ref="F51" authorId="0" shapeId="0" xr:uid="{B5AA1B2A-B21C-0A45-9424-C919553EE569}">
      <text>
        <r>
          <rPr>
            <sz val="10"/>
            <color rgb="FF000000"/>
            <rFont val="Tahoma"/>
            <family val="2"/>
          </rPr>
          <t>testing was voluntary</t>
        </r>
      </text>
    </comment>
    <comment ref="G51" authorId="0" shapeId="0" xr:uid="{157F37E7-0BCA-6749-934A-E6E4844C691F}">
      <text>
        <r>
          <rPr>
            <sz val="10"/>
            <color rgb="FF000000"/>
            <rFont val="Tahoma"/>
            <family val="2"/>
          </rPr>
          <t>before-after comparison</t>
        </r>
      </text>
    </comment>
    <comment ref="H51" authorId="0" shapeId="0" xr:uid="{20CBA312-290A-DE4F-A806-BDC87868A682}">
      <text>
        <r>
          <rPr>
            <sz val="10"/>
            <color rgb="FF000000"/>
            <rFont val="Tahoma"/>
            <family val="2"/>
          </rPr>
          <t>before-after comparison</t>
        </r>
      </text>
    </comment>
    <comment ref="I51" authorId="0" shapeId="0" xr:uid="{E187A00F-3FA8-1843-9207-CF091B913368}">
      <text>
        <r>
          <rPr>
            <sz val="10"/>
            <color rgb="FF000000"/>
            <rFont val="Tahoma"/>
            <family val="2"/>
          </rPr>
          <t>before-after comparison</t>
        </r>
      </text>
    </comment>
    <comment ref="J51" authorId="0" shapeId="0" xr:uid="{367A7CE1-B4ED-3544-8B15-75F638D8ED40}">
      <text>
        <r>
          <rPr>
            <sz val="10"/>
            <color rgb="FF000000"/>
            <rFont val="Tahoma"/>
            <family val="2"/>
          </rPr>
          <t>before-after comparison</t>
        </r>
      </text>
    </comment>
    <comment ref="K51" authorId="0" shapeId="0" xr:uid="{18709858-E409-0C49-9297-7DC648810407}">
      <text>
        <r>
          <rPr>
            <sz val="10"/>
            <color rgb="FF000000"/>
            <rFont val="Tahoma"/>
            <family val="2"/>
          </rPr>
          <t>before-after comparison</t>
        </r>
      </text>
    </comment>
    <comment ref="L51" authorId="0" shapeId="0" xr:uid="{5ECA43B0-31A3-D641-80AB-045F306DF581}">
      <text>
        <r>
          <rPr>
            <sz val="10"/>
            <color rgb="FF000000"/>
            <rFont val="Tahoma"/>
            <family val="2"/>
          </rPr>
          <t>before-after comparison</t>
        </r>
      </text>
    </comment>
    <comment ref="M51" authorId="0" shapeId="0" xr:uid="{BE07608D-3A43-7E4D-BB5F-7CD41AAE7C82}">
      <text>
        <r>
          <rPr>
            <sz val="10"/>
            <color rgb="FF000000"/>
            <rFont val="Tahoma"/>
            <family val="2"/>
          </rPr>
          <t>before-after comparison</t>
        </r>
      </text>
    </comment>
    <comment ref="N51" authorId="0" shapeId="0" xr:uid="{1F1E642B-1182-2E44-B495-99449746E949}">
      <text>
        <r>
          <rPr>
            <sz val="10"/>
            <color rgb="FF000000"/>
            <rFont val="Tahoma"/>
            <family val="2"/>
          </rPr>
          <t>before-after comparison</t>
        </r>
      </text>
    </comment>
    <comment ref="O51" authorId="0" shapeId="0" xr:uid="{BB68F392-2D01-6440-97D8-0506304C1A48}">
      <text>
        <r>
          <rPr>
            <sz val="10"/>
            <color rgb="FF000000"/>
            <rFont val="Tahoma"/>
            <family val="2"/>
          </rPr>
          <t>before-after comparison</t>
        </r>
      </text>
    </comment>
    <comment ref="P51" authorId="0" shapeId="0" xr:uid="{0F149D14-86AD-9440-8DFD-0412288AB948}">
      <text>
        <r>
          <rPr>
            <sz val="10"/>
            <color rgb="FF000000"/>
            <rFont val="Tahoma"/>
            <family val="2"/>
          </rPr>
          <t>single-testing regime</t>
        </r>
      </text>
    </comment>
    <comment ref="S51" authorId="0" shapeId="0" xr:uid="{B7713221-CDD3-D743-94CC-3B4842B38B76}">
      <text>
        <r>
          <rPr>
            <sz val="10"/>
            <color rgb="FF000000"/>
            <rFont val="Tahoma"/>
            <family val="2"/>
          </rPr>
          <t>total # of Ag-RDTs reported</t>
        </r>
      </text>
    </comment>
    <comment ref="T51" authorId="0" shapeId="0" xr:uid="{20105B13-DF25-8840-922D-D0E1177BE638}">
      <text>
        <r>
          <rPr>
            <sz val="10"/>
            <color rgb="FF000000"/>
            <rFont val="Tahoma"/>
            <family val="2"/>
          </rPr>
          <t>all individuals included in the meta-analysis received a confirmatory test</t>
        </r>
      </text>
    </comment>
    <comment ref="U51" authorId="0" shapeId="0" xr:uid="{C1368143-AEEA-B349-AE40-3D3F2B11094F}">
      <text>
        <r>
          <rPr>
            <sz val="10"/>
            <color rgb="FF000000"/>
            <rFont val="Tahoma"/>
            <family val="2"/>
          </rPr>
          <t>all C19ST included in the meta-analysis received a confirmatory test</t>
        </r>
      </text>
    </comment>
    <comment ref="W51" authorId="0" shapeId="0" xr:uid="{9451A76F-3DC8-F943-84E4-94E29CA1F0C9}">
      <text>
        <r>
          <rPr>
            <sz val="10"/>
            <color rgb="FF000000"/>
            <rFont val="Tahoma"/>
            <family val="2"/>
          </rPr>
          <t>maximum # of tests can be computed</t>
        </r>
      </text>
    </comment>
    <comment ref="X51" authorId="0" shapeId="0" xr:uid="{5C6E9265-355A-F146-B799-F12351D0422E}">
      <text>
        <r>
          <rPr>
            <sz val="10"/>
            <color rgb="FF000000"/>
            <rFont val="Tahoma"/>
            <family val="2"/>
          </rPr>
          <t>Same type of Ag-RDT and sample type for all study participants. Study participants were only tested once.</t>
        </r>
      </text>
    </comment>
    <comment ref="Y51" authorId="0" shapeId="0" xr:uid="{98CB5B87-7E9D-FC4F-B445-0FEAAFDC8117}">
      <text>
        <r>
          <rPr>
            <sz val="10"/>
            <color rgb="FF000000"/>
            <rFont val="Tahoma"/>
            <family val="2"/>
          </rPr>
          <t>confirmatory testing via RT-PCR</t>
        </r>
      </text>
    </comment>
    <comment ref="AA51" authorId="0" shapeId="0" xr:uid="{6D8042AA-C586-B042-B130-6CAD855B8590}">
      <text>
        <r>
          <rPr>
            <sz val="10"/>
            <color rgb="FF000000"/>
            <rFont val="Tahoma"/>
            <family val="2"/>
          </rPr>
          <t>only replied via an online survey</t>
        </r>
      </text>
    </comment>
    <comment ref="AB51" authorId="0" shapeId="0" xr:uid="{B60549EA-B897-8F45-B9B8-3CAD7DC14F6F}">
      <text>
        <r>
          <rPr>
            <sz val="10"/>
            <color rgb="FF000000"/>
            <rFont val="Tahoma"/>
            <family val="2"/>
          </rPr>
          <t>all individuals included in the meta-analysis received a confirmatory test</t>
        </r>
      </text>
    </comment>
    <comment ref="AC51" authorId="0" shapeId="0" xr:uid="{F218A25D-4C44-5C4B-A801-DB35DA979AE3}">
      <text>
        <r>
          <rPr>
            <sz val="10"/>
            <color rgb="FF000000"/>
            <rFont val="Tahoma"/>
            <family val="2"/>
          </rPr>
          <t>all C19ST included in the meta-analysis received a confirmatory test</t>
        </r>
      </text>
    </comment>
    <comment ref="AE51" authorId="0" shapeId="0" xr:uid="{05EA72EA-5AD7-3646-A425-C1C32A6C3C74}">
      <text>
        <r>
          <rPr>
            <sz val="10"/>
            <color rgb="FF000000"/>
            <rFont val="Tahoma"/>
            <family val="2"/>
          </rPr>
          <t>results were reported using an online survey, no mentioning of picture-upload or alike</t>
        </r>
      </text>
    </comment>
    <comment ref="AF51" authorId="0" shapeId="0" xr:uid="{18E2E58B-F5BD-BB43-A566-909CF2C78F87}">
      <text>
        <r>
          <rPr>
            <sz val="10"/>
            <color rgb="FF000000"/>
            <rFont val="Tahoma"/>
            <family val="2"/>
          </rPr>
          <t>count-related</t>
        </r>
      </text>
    </comment>
    <comment ref="AG51" authorId="0" shapeId="0" xr:uid="{A93A3D1E-F5CE-DD44-AB1E-122FE6F251E7}">
      <text>
        <r>
          <rPr>
            <sz val="10"/>
            <color rgb="FF000000"/>
            <rFont val="Tahoma"/>
            <family val="2"/>
          </rPr>
          <t>all confirmatory testing was done using RT-CR</t>
        </r>
      </text>
    </comment>
    <comment ref="AH51" authorId="0" shapeId="0" xr:uid="{008BE5C0-BE10-9547-9C93-650BCEBB0609}">
      <text>
        <r>
          <rPr>
            <sz val="10"/>
            <color rgb="FF000000"/>
            <rFont val="Tahoma"/>
            <family val="2"/>
          </rPr>
          <t>count-related</t>
        </r>
      </text>
    </comment>
    <comment ref="D52" authorId="0" shapeId="0" xr:uid="{BB8BC293-1708-EC4A-9F86-EA83E62EEE6D}">
      <text>
        <r>
          <rPr>
            <sz val="10"/>
            <color rgb="FF000000"/>
            <rFont val="Tahoma"/>
            <family val="2"/>
          </rPr>
          <t>self-testing was conducted on people with unknown SARS-CoV-2 status</t>
        </r>
      </text>
    </comment>
    <comment ref="E52" authorId="0" shapeId="0" xr:uid="{DBD1ABF8-DF6C-C448-8CDB-8E21693FDF7A}">
      <text>
        <r>
          <rPr>
            <sz val="10"/>
            <color rgb="FF000000"/>
            <rFont val="Tahoma"/>
            <family val="2"/>
          </rPr>
          <t>confirmatory testing for self-testing</t>
        </r>
      </text>
    </comment>
    <comment ref="F52" authorId="0" shapeId="0" xr:uid="{FC0A43FA-8316-A042-807F-1640454067DE}">
      <text>
        <r>
          <rPr>
            <sz val="10"/>
            <color rgb="FF000000"/>
            <rFont val="Tahoma"/>
            <family val="2"/>
          </rPr>
          <t>testing was voluntary</t>
        </r>
      </text>
    </comment>
    <comment ref="G52" authorId="0" shapeId="0" xr:uid="{9412127B-23CC-A14E-8C8D-E838754293E9}">
      <text>
        <r>
          <rPr>
            <sz val="10"/>
            <color rgb="FF000000"/>
            <rFont val="Tahoma"/>
            <family val="2"/>
          </rPr>
          <t>before-after comparison</t>
        </r>
      </text>
    </comment>
    <comment ref="H52" authorId="0" shapeId="0" xr:uid="{1927A2FC-B2B9-D74E-9C84-DAEC2EF9AC0F}">
      <text>
        <r>
          <rPr>
            <sz val="10"/>
            <color rgb="FF000000"/>
            <rFont val="Tahoma"/>
            <family val="2"/>
          </rPr>
          <t>before-after comparison</t>
        </r>
      </text>
    </comment>
    <comment ref="I52" authorId="0" shapeId="0" xr:uid="{2F4907BB-1CA5-2245-8419-0DDD997FE264}">
      <text>
        <r>
          <rPr>
            <sz val="10"/>
            <color rgb="FF000000"/>
            <rFont val="Tahoma"/>
            <family val="2"/>
          </rPr>
          <t>before-after comparison</t>
        </r>
      </text>
    </comment>
    <comment ref="J52" authorId="0" shapeId="0" xr:uid="{E2481641-5A84-B542-AD5C-939538F02B50}">
      <text>
        <r>
          <rPr>
            <sz val="10"/>
            <color rgb="FF000000"/>
            <rFont val="Tahoma"/>
            <family val="2"/>
          </rPr>
          <t>before-after comparison</t>
        </r>
      </text>
    </comment>
    <comment ref="K52" authorId="0" shapeId="0" xr:uid="{0EB61496-9699-E944-BCD7-F961325D241A}">
      <text>
        <r>
          <rPr>
            <sz val="10"/>
            <color rgb="FF000000"/>
            <rFont val="Tahoma"/>
            <family val="2"/>
          </rPr>
          <t>before-after comparison</t>
        </r>
      </text>
    </comment>
    <comment ref="L52" authorId="0" shapeId="0" xr:uid="{6BA91744-D353-EB4F-9B12-97DABFEFC7F2}">
      <text>
        <r>
          <rPr>
            <sz val="10"/>
            <color rgb="FF000000"/>
            <rFont val="Tahoma"/>
            <family val="2"/>
          </rPr>
          <t>before-after comparison</t>
        </r>
      </text>
    </comment>
    <comment ref="M52" authorId="0" shapeId="0" xr:uid="{888F8377-78A4-2342-9052-E006291DF076}">
      <text>
        <r>
          <rPr>
            <sz val="10"/>
            <color rgb="FF000000"/>
            <rFont val="Tahoma"/>
            <family val="2"/>
          </rPr>
          <t>before-after comparison</t>
        </r>
      </text>
    </comment>
    <comment ref="N52" authorId="0" shapeId="0" xr:uid="{650E814C-8F87-F94A-B45C-75F382B013BA}">
      <text>
        <r>
          <rPr>
            <sz val="10"/>
            <color rgb="FF000000"/>
            <rFont val="Tahoma"/>
            <family val="2"/>
          </rPr>
          <t>before-after comparison</t>
        </r>
      </text>
    </comment>
    <comment ref="O52" authorId="0" shapeId="0" xr:uid="{C188F05B-384E-7640-9DC5-1DA46569F64B}">
      <text>
        <r>
          <rPr>
            <sz val="10"/>
            <color rgb="FF000000"/>
            <rFont val="Tahoma"/>
            <family val="2"/>
          </rPr>
          <t>before-after comparison</t>
        </r>
      </text>
    </comment>
    <comment ref="P52" authorId="0" shapeId="0" xr:uid="{27E55339-1D63-6C4F-921A-F4007A2922ED}">
      <text>
        <r>
          <rPr>
            <sz val="10"/>
            <color rgb="FF000000"/>
            <rFont val="Tahoma"/>
            <family val="2"/>
          </rPr>
          <t>single-testing regime</t>
        </r>
      </text>
    </comment>
    <comment ref="S52" authorId="0" shapeId="0" xr:uid="{CE71C579-297C-C14C-956F-5D48DB614202}">
      <text>
        <r>
          <rPr>
            <sz val="10"/>
            <color rgb="FF000000"/>
            <rFont val="Tahoma"/>
            <family val="2"/>
          </rPr>
          <t>total # of Ag-RDTs reported</t>
        </r>
      </text>
    </comment>
    <comment ref="T52" authorId="0" shapeId="0" xr:uid="{DA59D2B4-1AED-E14B-B0E8-3A7E59B419E8}">
      <text>
        <r>
          <rPr>
            <sz val="10"/>
            <color rgb="FF000000"/>
            <rFont val="Tahoma"/>
            <family val="2"/>
          </rPr>
          <t>all individuals included in the meta-analysis received a confirmatory test</t>
        </r>
      </text>
    </comment>
    <comment ref="U52" authorId="0" shapeId="0" xr:uid="{E74717B5-3145-AC4C-9769-BD9F08C2FBE6}">
      <text>
        <r>
          <rPr>
            <sz val="10"/>
            <color rgb="FF000000"/>
            <rFont val="Tahoma"/>
            <family val="2"/>
          </rPr>
          <t>all C19ST included in the meta-analysis received a confirmatory test</t>
        </r>
      </text>
    </comment>
    <comment ref="W52" authorId="0" shapeId="0" xr:uid="{BE0275C2-4892-B546-962D-A1B802428FB6}">
      <text>
        <r>
          <rPr>
            <sz val="10"/>
            <color rgb="FF000000"/>
            <rFont val="Tahoma"/>
            <family val="2"/>
          </rPr>
          <t>maximum # of tests can be computed</t>
        </r>
      </text>
    </comment>
    <comment ref="X52" authorId="0" shapeId="0" xr:uid="{76EA1C56-9E41-044A-B730-01CCFDEF6A06}">
      <text>
        <r>
          <rPr>
            <sz val="10"/>
            <color rgb="FF000000"/>
            <rFont val="Tahoma"/>
            <family val="2"/>
          </rPr>
          <t>Same type of Ag-RDT and sample type for all study participants. Study participants were only tested once.</t>
        </r>
      </text>
    </comment>
    <comment ref="Y52" authorId="0" shapeId="0" xr:uid="{7FB2E8DA-9527-EC4F-A4EE-3DE849D5678D}">
      <text>
        <r>
          <rPr>
            <sz val="10"/>
            <color rgb="FF000000"/>
            <rFont val="Tahoma"/>
            <family val="2"/>
          </rPr>
          <t>confirmatory testing via RT-PCR</t>
        </r>
      </text>
    </comment>
    <comment ref="AA52" authorId="0" shapeId="0" xr:uid="{C6B0AA62-2F60-CD40-8376-0F8DB7E2323F}">
      <text>
        <r>
          <rPr>
            <sz val="10"/>
            <color rgb="FF000000"/>
            <rFont val="Tahoma"/>
            <family val="2"/>
          </rPr>
          <t>only replied via an online survey</t>
        </r>
      </text>
    </comment>
    <comment ref="AB52" authorId="0" shapeId="0" xr:uid="{7C066320-48DD-8243-AE30-314F01CE1BD5}">
      <text>
        <r>
          <rPr>
            <sz val="10"/>
            <color rgb="FF000000"/>
            <rFont val="Tahoma"/>
            <family val="2"/>
          </rPr>
          <t>all individuals included in the meta-analysis received a confirmatory test</t>
        </r>
      </text>
    </comment>
    <comment ref="AC52" authorId="0" shapeId="0" xr:uid="{72A041FD-F952-E143-87D0-57D9980ECEF0}">
      <text>
        <r>
          <rPr>
            <sz val="10"/>
            <color rgb="FF000000"/>
            <rFont val="Tahoma"/>
            <family val="2"/>
          </rPr>
          <t>all C19ST included in the meta-analysis received a confirmatory test</t>
        </r>
      </text>
    </comment>
    <comment ref="AE52" authorId="0" shapeId="0" xr:uid="{FF16A46C-C9A7-1D48-B6E2-C8EED2ACDEA7}">
      <text>
        <r>
          <rPr>
            <sz val="10"/>
            <color rgb="FF000000"/>
            <rFont val="Tahoma"/>
            <family val="2"/>
          </rPr>
          <t>results were reported using an online survey, no mentioning of picture-upload or alike</t>
        </r>
      </text>
    </comment>
    <comment ref="AF52" authorId="0" shapeId="0" xr:uid="{09CCAB3E-7149-FC4D-B091-7F00FFBEA074}">
      <text>
        <r>
          <rPr>
            <sz val="10"/>
            <color rgb="FF000000"/>
            <rFont val="Tahoma"/>
            <family val="2"/>
          </rPr>
          <t>count-related</t>
        </r>
      </text>
    </comment>
    <comment ref="AG52" authorId="0" shapeId="0" xr:uid="{FC6D55DB-9661-6D47-84DD-0BC7DB048B0B}">
      <text>
        <r>
          <rPr>
            <sz val="10"/>
            <color rgb="FF000000"/>
            <rFont val="Tahoma"/>
            <family val="2"/>
          </rPr>
          <t>all confirmatory testing was done using RT-CR</t>
        </r>
      </text>
    </comment>
    <comment ref="AH52" authorId="0" shapeId="0" xr:uid="{87765825-D60B-BD4A-AE93-226CDEE12909}">
      <text>
        <r>
          <rPr>
            <sz val="10"/>
            <color rgb="FF000000"/>
            <rFont val="Tahoma"/>
            <family val="2"/>
          </rPr>
          <t>count-related</t>
        </r>
      </text>
    </comment>
    <comment ref="D53" authorId="0" shapeId="0" xr:uid="{7695CAF3-A643-AE48-B823-83F0BDA360FC}">
      <text>
        <r>
          <rPr>
            <sz val="10"/>
            <color rgb="FF000000"/>
            <rFont val="Tahoma"/>
            <family val="2"/>
          </rPr>
          <t>self-testing was conducted on people with unknown SARS-CoV-2 status</t>
        </r>
      </text>
    </comment>
    <comment ref="F53" authorId="0" shapeId="0" xr:uid="{3739B2CA-2889-C348-A748-AA2BF826D5B9}">
      <text>
        <r>
          <rPr>
            <sz val="10"/>
            <color rgb="FF000000"/>
            <rFont val="Tahoma"/>
            <family val="2"/>
          </rPr>
          <t>testing was voluntary</t>
        </r>
      </text>
    </comment>
    <comment ref="G53" authorId="0" shapeId="0" xr:uid="{55F5E4F6-C306-CB4F-A948-466AE27BCC52}">
      <text>
        <r>
          <rPr>
            <sz val="10"/>
            <color rgb="FF000000"/>
            <rFont val="Tahoma"/>
            <family val="2"/>
          </rPr>
          <t>before-after comparison</t>
        </r>
      </text>
    </comment>
    <comment ref="I53" authorId="0" shapeId="0" xr:uid="{0F687B1C-5DA8-414F-A0F5-39BEBE21C436}">
      <text>
        <r>
          <rPr>
            <sz val="10"/>
            <color rgb="FF000000"/>
            <rFont val="Tahoma"/>
            <family val="2"/>
          </rPr>
          <t>before-after comparison</t>
        </r>
      </text>
    </comment>
    <comment ref="J53" authorId="0" shapeId="0" xr:uid="{63AAAD26-84DC-4D4D-940C-A176D00D6182}">
      <text>
        <r>
          <rPr>
            <sz val="10"/>
            <color rgb="FF000000"/>
            <rFont val="Tahoma"/>
            <family val="2"/>
          </rPr>
          <t>before-after comparison</t>
        </r>
      </text>
    </comment>
    <comment ref="L53" authorId="0" shapeId="0" xr:uid="{44346CF6-773D-714B-9494-360DC4E45398}">
      <text>
        <r>
          <rPr>
            <sz val="10"/>
            <color rgb="FF000000"/>
            <rFont val="Tahoma"/>
            <family val="2"/>
          </rPr>
          <t>before-after comparison</t>
        </r>
      </text>
    </comment>
    <comment ref="M53" authorId="0" shapeId="0" xr:uid="{71113C3D-6967-C144-A740-635A196866C6}">
      <text>
        <r>
          <rPr>
            <sz val="10"/>
            <color rgb="FF000000"/>
            <rFont val="Tahoma"/>
            <family val="2"/>
          </rPr>
          <t>before-after comparison</t>
        </r>
      </text>
    </comment>
    <comment ref="O53" authorId="0" shapeId="0" xr:uid="{1720A381-F7C3-A942-BAA3-823FF3E4CDFC}">
      <text>
        <r>
          <rPr>
            <sz val="10"/>
            <color rgb="FF000000"/>
            <rFont val="Tahoma"/>
            <family val="2"/>
          </rPr>
          <t>before-after comparison</t>
        </r>
      </text>
    </comment>
    <comment ref="P53" authorId="0" shapeId="0" xr:uid="{C18322C5-AC13-744B-9E8E-D949D2374A74}">
      <text>
        <r>
          <rPr>
            <sz val="10"/>
            <color rgb="FF000000"/>
            <rFont val="Tahoma"/>
            <family val="2"/>
          </rPr>
          <t>testing twice weekly for seven consecutive weeks</t>
        </r>
      </text>
    </comment>
    <comment ref="S53" authorId="0" shapeId="0" xr:uid="{F5C6BBB7-9882-FA4B-BA48-DA6E55BD3D48}">
      <text>
        <r>
          <rPr>
            <sz val="10"/>
            <color rgb="FF000000"/>
            <rFont val="Tahoma"/>
            <family val="2"/>
          </rPr>
          <t>total # of Ag-RDT results reported</t>
        </r>
      </text>
    </comment>
    <comment ref="W53" authorId="0" shapeId="0" xr:uid="{6DCE3E6F-64BC-8146-A723-B4A55F6A31B3}">
      <text>
        <r>
          <rPr>
            <sz val="10"/>
            <color rgb="FF000000"/>
            <rFont val="Tahoma"/>
            <family val="2"/>
          </rPr>
          <t>possible to compute max # of self-tests performed</t>
        </r>
      </text>
    </comment>
    <comment ref="X53" authorId="0" shapeId="0" xr:uid="{F314234B-2224-4E42-B56D-624AC8D2AB86}">
      <text>
        <r>
          <rPr>
            <sz val="10"/>
            <color rgb="FF000000"/>
            <rFont val="Tahoma"/>
            <family val="2"/>
          </rPr>
          <t>not everyone adhered to the testing routine</t>
        </r>
      </text>
    </comment>
    <comment ref="AA53" authorId="0" shapeId="0" xr:uid="{6D323F8B-3E81-4244-BC9E-224C4BEF6BE8}">
      <text>
        <r>
          <rPr>
            <sz val="10"/>
            <color rgb="FF000000"/>
            <rFont val="Tahoma"/>
            <family val="2"/>
          </rPr>
          <t>study participants had to sent in pictures</t>
        </r>
      </text>
    </comment>
    <comment ref="AE53" authorId="0" shapeId="0" xr:uid="{0865ED21-2975-A448-9872-609EBD53D3A9}">
      <text>
        <r>
          <rPr>
            <sz val="10"/>
            <color rgb="FF000000"/>
            <rFont val="Tahoma"/>
            <family val="2"/>
          </rPr>
          <t>photo of test strip was required</t>
        </r>
      </text>
    </comment>
    <comment ref="AF53" authorId="0" shapeId="0" xr:uid="{F31299B1-CD32-5744-83A3-9C83DD3761BD}">
      <text>
        <r>
          <rPr>
            <sz val="10"/>
            <color rgb="FF000000"/>
            <rFont val="Tahoma"/>
            <family val="2"/>
          </rPr>
          <t>count-related</t>
        </r>
      </text>
    </comment>
    <comment ref="AH53" authorId="0" shapeId="0" xr:uid="{3C48D8EC-F9B6-9646-9E9B-67804B87FA52}">
      <text>
        <r>
          <rPr>
            <sz val="10"/>
            <color rgb="FF000000"/>
            <rFont val="Tahoma"/>
            <family val="2"/>
          </rPr>
          <t>count-related</t>
        </r>
      </text>
    </comment>
    <comment ref="D54" authorId="0" shapeId="0" xr:uid="{55CB34A6-62FB-DC4A-B1A0-BB45F46B96B8}">
      <text>
        <r>
          <rPr>
            <sz val="10"/>
            <color rgb="FF000000"/>
            <rFont val="Tahoma"/>
            <family val="2"/>
          </rPr>
          <t>self-testing was conducted on people with unknown SARS-CoV-2 status</t>
        </r>
      </text>
    </comment>
    <comment ref="F54" authorId="0" shapeId="0" xr:uid="{74002CB3-774F-C24C-8CC5-FEF88F0434F3}">
      <text>
        <r>
          <rPr>
            <sz val="10"/>
            <color rgb="FF000000"/>
            <rFont val="Tahoma"/>
            <family val="2"/>
          </rPr>
          <t>testing was required by study design</t>
        </r>
      </text>
    </comment>
    <comment ref="G54" authorId="0" shapeId="0" xr:uid="{F5D9A10F-649E-714C-A54C-082CB0E80679}">
      <text>
        <r>
          <rPr>
            <sz val="10"/>
            <color rgb="FF000000"/>
            <rFont val="Tahoma"/>
            <family val="2"/>
          </rPr>
          <t>before-after comparison</t>
        </r>
      </text>
    </comment>
    <comment ref="I54" authorId="0" shapeId="0" xr:uid="{7F22C9DE-E714-C04B-9628-0D2D08BEF01D}">
      <text>
        <r>
          <rPr>
            <sz val="10"/>
            <color rgb="FF000000"/>
            <rFont val="Tahoma"/>
            <family val="2"/>
          </rPr>
          <t>before-after comparison</t>
        </r>
      </text>
    </comment>
    <comment ref="J54" authorId="0" shapeId="0" xr:uid="{0699DB5F-DE05-D440-96B5-AE07C5537094}">
      <text>
        <r>
          <rPr>
            <sz val="10"/>
            <color rgb="FF000000"/>
            <rFont val="Tahoma"/>
            <family val="2"/>
          </rPr>
          <t>before-after comparison</t>
        </r>
      </text>
    </comment>
    <comment ref="L54" authorId="0" shapeId="0" xr:uid="{024421B0-D6FF-E542-836E-5BF2CDD08F04}">
      <text>
        <r>
          <rPr>
            <sz val="10"/>
            <color rgb="FF000000"/>
            <rFont val="Tahoma"/>
            <family val="2"/>
          </rPr>
          <t>before-after comparison</t>
        </r>
      </text>
    </comment>
    <comment ref="M54" authorId="0" shapeId="0" xr:uid="{919580C4-7A57-4440-947B-DFC0C7DD11BB}">
      <text>
        <r>
          <rPr>
            <sz val="10"/>
            <color rgb="FF000000"/>
            <rFont val="Tahoma"/>
            <family val="2"/>
          </rPr>
          <t>before-after comparison</t>
        </r>
      </text>
    </comment>
    <comment ref="O54" authorId="0" shapeId="0" xr:uid="{927FC2DE-8991-B44C-91EB-7FF6982DCF80}">
      <text>
        <r>
          <rPr>
            <sz val="10"/>
            <color rgb="FF000000"/>
            <rFont val="Tahoma"/>
            <family val="2"/>
          </rPr>
          <t>before-after comparison</t>
        </r>
      </text>
    </comment>
    <comment ref="P54" authorId="0" shapeId="0" xr:uid="{5D0B5F83-AF91-1F44-B99D-07AD319539CB}">
      <text>
        <r>
          <rPr>
            <sz val="10"/>
            <color rgb="FF000000"/>
            <rFont val="Tahoma"/>
            <family val="2"/>
          </rPr>
          <t>test once weekly</t>
        </r>
      </text>
    </comment>
    <comment ref="S54" authorId="0" shapeId="0" xr:uid="{2205A306-6698-7643-ACFA-46B04F1E7734}">
      <text>
        <r>
          <rPr>
            <sz val="10"/>
            <color rgb="FF000000"/>
            <rFont val="Tahoma"/>
            <family val="2"/>
          </rPr>
          <t>total number of individuals that performed testing were reported</t>
        </r>
      </text>
    </comment>
    <comment ref="V54" authorId="0" shapeId="0" xr:uid="{CDC458D6-1F17-3646-A7FC-80AFD5270B8F}">
      <text>
        <r>
          <rPr>
            <sz val="10"/>
            <color rgb="FF000000"/>
            <rFont val="Tahoma"/>
            <family val="2"/>
          </rPr>
          <t># of individuals eligible for self-testing specified</t>
        </r>
      </text>
    </comment>
    <comment ref="W54" authorId="0" shapeId="0" xr:uid="{681EE716-9BA1-C442-B8A2-00CEA7D33219}">
      <text>
        <r>
          <rPr>
            <sz val="10"/>
            <color rgb="FF000000"/>
            <rFont val="Tahoma"/>
            <family val="2"/>
          </rPr>
          <t>number of individuals reporting self-testing is specifically stated</t>
        </r>
      </text>
    </comment>
    <comment ref="X54" authorId="0" shapeId="0" xr:uid="{2226F3D4-639D-1744-8836-6BFE7E4B81F5}">
      <text>
        <r>
          <rPr>
            <sz val="10"/>
            <color rgb="FF000000"/>
            <rFont val="Tahoma"/>
            <family val="2"/>
          </rPr>
          <t>uncertain whether all individuals exactly followed the testing regime</t>
        </r>
      </text>
    </comment>
    <comment ref="AA54" authorId="0" shapeId="0" xr:uid="{4494C7C7-8451-0E4C-838F-56DA80228A34}">
      <text>
        <r>
          <rPr>
            <sz val="10"/>
            <color rgb="FF000000"/>
            <rFont val="Tahoma"/>
            <family val="2"/>
          </rPr>
          <t>tests results had to be submitted providing a picture of the result</t>
        </r>
      </text>
    </comment>
    <comment ref="AD54" authorId="0" shapeId="0" xr:uid="{152D2B50-BF21-6046-98F8-47C3F511D75B}">
      <text>
        <r>
          <rPr>
            <sz val="10"/>
            <color rgb="FF000000"/>
            <rFont val="Tahoma"/>
            <family val="2"/>
          </rPr>
          <t>tests were distributed by study team</t>
        </r>
      </text>
    </comment>
    <comment ref="AE54" authorId="0" shapeId="0" xr:uid="{48B4981B-59FE-244F-B8EB-AD192754BB5E}">
      <text>
        <r>
          <rPr>
            <sz val="10"/>
            <color rgb="FF000000"/>
            <rFont val="Tahoma"/>
            <family val="2"/>
          </rPr>
          <t>tests had to be submitted providing a picture of the test result</t>
        </r>
      </text>
    </comment>
    <comment ref="AF54" authorId="0" shapeId="0" xr:uid="{8064A2F2-EA2D-3443-8959-CB781CEF8E46}">
      <text>
        <r>
          <rPr>
            <sz val="10"/>
            <color rgb="FF000000"/>
            <rFont val="Tahoma"/>
            <family val="2"/>
          </rPr>
          <t>count-related</t>
        </r>
      </text>
    </comment>
    <comment ref="AH54" authorId="0" shapeId="0" xr:uid="{C1D0C039-46EF-C248-8602-915679512DE8}">
      <text>
        <r>
          <rPr>
            <sz val="10"/>
            <color rgb="FF000000"/>
            <rFont val="Tahoma"/>
            <family val="2"/>
          </rPr>
          <t>count-related</t>
        </r>
      </text>
    </comment>
    <comment ref="D55" authorId="0" shapeId="0" xr:uid="{60D4700B-A533-BC48-B624-71C7107DB080}">
      <text>
        <r>
          <rPr>
            <sz val="10"/>
            <color rgb="FF000000"/>
            <rFont val="Tahoma"/>
            <family val="2"/>
          </rPr>
          <t>self-testing was conducted on people with unknown SARS-CoV-2 status</t>
        </r>
      </text>
    </comment>
    <comment ref="E55" authorId="0" shapeId="0" xr:uid="{5F0F6F72-0E32-3040-A172-6ABCB08CDA57}">
      <text>
        <r>
          <rPr>
            <sz val="10"/>
            <color rgb="FF000000"/>
            <rFont val="Tahoma"/>
            <family val="2"/>
          </rPr>
          <t>confirmatory testing for self-testing</t>
        </r>
      </text>
    </comment>
    <comment ref="F55" authorId="0" shapeId="0" xr:uid="{926652DC-7E08-7049-AEBF-BE28AFDD6C3E}">
      <text>
        <r>
          <rPr>
            <sz val="10"/>
            <color rgb="FF000000"/>
            <rFont val="Tahoma"/>
            <family val="2"/>
          </rPr>
          <t>testing was mandatory by university regulations</t>
        </r>
      </text>
    </comment>
    <comment ref="G55" authorId="0" shapeId="0" xr:uid="{5C3D47EE-E000-9446-84F7-EF83E0074F4F}">
      <text>
        <r>
          <rPr>
            <sz val="10"/>
            <color rgb="FF000000"/>
            <rFont val="Tahoma"/>
            <family val="2"/>
          </rPr>
          <t>before-after comparison</t>
        </r>
      </text>
    </comment>
    <comment ref="H55" authorId="0" shapeId="0" xr:uid="{4EF1CC7E-993F-4D45-B545-9C853C4EAE36}">
      <text>
        <r>
          <rPr>
            <sz val="10"/>
            <color rgb="FF000000"/>
            <rFont val="Tahoma"/>
            <family val="2"/>
          </rPr>
          <t>before-after comparison</t>
        </r>
      </text>
    </comment>
    <comment ref="I55" authorId="0" shapeId="0" xr:uid="{5EC2A55A-00AE-D241-BCC8-17F4253EB497}">
      <text>
        <r>
          <rPr>
            <sz val="10"/>
            <color rgb="FF000000"/>
            <rFont val="Tahoma"/>
            <family val="2"/>
          </rPr>
          <t>before-after comparison</t>
        </r>
      </text>
    </comment>
    <comment ref="J55" authorId="0" shapeId="0" xr:uid="{93768725-2E54-FF4F-833C-828B9A6168A5}">
      <text>
        <r>
          <rPr>
            <sz val="10"/>
            <color rgb="FF000000"/>
            <rFont val="Tahoma"/>
            <family val="2"/>
          </rPr>
          <t>before-after comparison</t>
        </r>
      </text>
    </comment>
    <comment ref="K55" authorId="0" shapeId="0" xr:uid="{DB17FE4B-A570-3347-9E83-252678FC7F89}">
      <text>
        <r>
          <rPr>
            <sz val="10"/>
            <color rgb="FF000000"/>
            <rFont val="Tahoma"/>
            <family val="2"/>
          </rPr>
          <t>before-after comparison</t>
        </r>
      </text>
    </comment>
    <comment ref="L55" authorId="0" shapeId="0" xr:uid="{DFEC2957-0B55-DB47-A10B-9572C7F68698}">
      <text>
        <r>
          <rPr>
            <sz val="10"/>
            <color rgb="FF000000"/>
            <rFont val="Tahoma"/>
            <family val="2"/>
          </rPr>
          <t>before-after comparison</t>
        </r>
      </text>
    </comment>
    <comment ref="M55" authorId="0" shapeId="0" xr:uid="{118C6BB0-519F-3C47-9C9C-2B6870F3C1AB}">
      <text>
        <r>
          <rPr>
            <sz val="10"/>
            <color rgb="FF000000"/>
            <rFont val="Tahoma"/>
            <family val="2"/>
          </rPr>
          <t>before-after comparison</t>
        </r>
      </text>
    </comment>
    <comment ref="N55" authorId="0" shapeId="0" xr:uid="{C38A8749-8E6A-9C4C-8797-4A5B7C955EAF}">
      <text>
        <r>
          <rPr>
            <sz val="10"/>
            <color rgb="FF000000"/>
            <rFont val="Tahoma"/>
            <family val="2"/>
          </rPr>
          <t>before-after comparison</t>
        </r>
      </text>
    </comment>
    <comment ref="O55" authorId="0" shapeId="0" xr:uid="{5690C5E2-7AC5-FF4B-B54A-3DC28BF5211E}">
      <text>
        <r>
          <rPr>
            <sz val="10"/>
            <color rgb="FF000000"/>
            <rFont val="Tahoma"/>
            <family val="2"/>
          </rPr>
          <t>before-after comparison</t>
        </r>
      </text>
    </comment>
    <comment ref="P55" authorId="0" shapeId="0" xr:uid="{75DF6755-7DFB-9F43-9C84-144F0DD7A033}">
      <text>
        <r>
          <rPr>
            <sz val="10"/>
            <color rgb="FF000000"/>
            <rFont val="Tahoma"/>
            <family val="2"/>
          </rPr>
          <t>testing only occured once</t>
        </r>
      </text>
    </comment>
    <comment ref="S55" authorId="0" shapeId="0" xr:uid="{011BAEC5-A89F-7F4C-A0A6-415933B4DFC1}">
      <text>
        <r>
          <rPr>
            <sz val="10"/>
            <color rgb="FF000000"/>
            <rFont val="Tahoma"/>
            <family val="2"/>
          </rPr>
          <t>total # of Ag-RDT results reported</t>
        </r>
      </text>
    </comment>
    <comment ref="T55" authorId="0" shapeId="0" xr:uid="{AB8385DC-83BA-DD45-80D7-284DDF295E0F}">
      <text>
        <r>
          <rPr>
            <sz val="10"/>
            <color rgb="FF000000"/>
            <rFont val="Tahoma"/>
            <family val="2"/>
          </rPr>
          <t>all individuals included in the meta-analysis received a confirmatory test</t>
        </r>
      </text>
    </comment>
    <comment ref="V55" authorId="0" shapeId="0" xr:uid="{0DA6557C-33A8-2544-A1E5-AC0921D80BA1}">
      <text>
        <r>
          <rPr>
            <sz val="10"/>
            <color rgb="FF000000"/>
            <rFont val="Tahoma"/>
            <family val="2"/>
          </rPr>
          <t># of individuals eligible for self-testing specified</t>
        </r>
      </text>
    </comment>
    <comment ref="X55" authorId="0" shapeId="0" xr:uid="{85BB1384-4BC0-BB43-9FE2-6330E5F04819}">
      <text>
        <r>
          <rPr>
            <sz val="10"/>
            <color rgb="FF000000"/>
            <rFont val="Tahoma"/>
            <family val="2"/>
          </rPr>
          <t>Same antigen test and sample type. Testing was mandatory by university guidelines.</t>
        </r>
      </text>
    </comment>
    <comment ref="Y55" authorId="0" shapeId="0" xr:uid="{7D4CB427-7086-6546-BF16-5E71578E3F4B}">
      <text>
        <r>
          <rPr>
            <sz val="10"/>
            <color rgb="FF000000"/>
            <rFont val="Tahoma"/>
            <family val="2"/>
          </rPr>
          <t>all confirmatory testing was done using RT-PCR</t>
        </r>
      </text>
    </comment>
    <comment ref="AA55" authorId="0" shapeId="0" xr:uid="{C18F4A01-7563-DC4D-9671-8B955F211471}">
      <text>
        <r>
          <rPr>
            <sz val="10"/>
            <color rgb="FF000000"/>
            <rFont val="Tahoma"/>
            <family val="2"/>
          </rPr>
          <t>no information on the mode of result reporting</t>
        </r>
      </text>
    </comment>
    <comment ref="AB55" authorId="0" shapeId="0" xr:uid="{BD5D1CC9-C5D8-144B-9F4B-49370D2DAA16}">
      <text>
        <r>
          <rPr>
            <sz val="10"/>
            <color rgb="FF000000"/>
            <rFont val="Tahoma"/>
            <family val="2"/>
          </rPr>
          <t>all individuals included in the meta-analysis received a confirmatory test</t>
        </r>
      </text>
    </comment>
    <comment ref="AC55" authorId="0" shapeId="0" xr:uid="{DAF1803A-00E0-9348-A9D1-1037B37B33D9}">
      <text>
        <r>
          <rPr>
            <sz val="10"/>
            <color rgb="FF000000"/>
            <rFont val="Tahoma"/>
            <family val="2"/>
          </rPr>
          <t>all individuals included in the meta-analysis received a confirmatory test</t>
        </r>
      </text>
    </comment>
    <comment ref="AD55" authorId="0" shapeId="0" xr:uid="{5E4988D1-B721-0446-A9F4-2CB8FB1CCC8E}">
      <text>
        <r>
          <rPr>
            <sz val="10"/>
            <color rgb="FF000000"/>
            <rFont val="Tahoma"/>
            <family val="2"/>
          </rPr>
          <t>no information on the procedure for picking-up tests mentioned</t>
        </r>
      </text>
    </comment>
    <comment ref="AF55" authorId="0" shapeId="0" xr:uid="{2897F921-B249-D248-98A0-88EA95528BD0}">
      <text>
        <r>
          <rPr>
            <sz val="10"/>
            <color rgb="FF000000"/>
            <rFont val="Tahoma"/>
            <family val="2"/>
          </rPr>
          <t>count-related</t>
        </r>
      </text>
    </comment>
    <comment ref="AG55" authorId="0" shapeId="0" xr:uid="{B0F213D3-C95E-2048-9975-7F18F1EBAA24}">
      <text>
        <r>
          <rPr>
            <sz val="10"/>
            <color rgb="FF000000"/>
            <rFont val="Tahoma"/>
            <family val="2"/>
          </rPr>
          <t>all confirmatory testing was done using RT-PCR</t>
        </r>
      </text>
    </comment>
    <comment ref="AH55" authorId="0" shapeId="0" xr:uid="{FD3BCFD4-DF2E-5C41-A37C-8D3D6FFC409E}">
      <text>
        <r>
          <rPr>
            <sz val="10"/>
            <color rgb="FF000000"/>
            <rFont val="Tahoma"/>
            <family val="2"/>
          </rPr>
          <t>count-related</t>
        </r>
      </text>
    </comment>
    <comment ref="D56" authorId="0" shapeId="0" xr:uid="{123F8F93-1A23-F24A-95EF-9E4F9522EC51}">
      <text>
        <r>
          <rPr>
            <sz val="10"/>
            <color rgb="FF000000"/>
            <rFont val="Tahoma"/>
            <family val="2"/>
          </rPr>
          <t>self-testing was conducted on people with unknown SARS-CoV-2 status</t>
        </r>
      </text>
    </comment>
    <comment ref="F56" authorId="0" shapeId="0" xr:uid="{09869D12-0E2F-8842-808C-9514D9EDA97E}">
      <text>
        <r>
          <rPr>
            <sz val="10"/>
            <color rgb="FF000000"/>
            <rFont val="Tahoma"/>
            <family val="2"/>
          </rPr>
          <t>testing was voluntary</t>
        </r>
      </text>
    </comment>
    <comment ref="G56" authorId="0" shapeId="0" xr:uid="{2418AFE4-C0DC-1B42-914E-C3C8C42A9E9F}">
      <text>
        <r>
          <rPr>
            <sz val="10"/>
            <color rgb="FF000000"/>
            <rFont val="Tahoma"/>
            <family val="2"/>
          </rPr>
          <t>before-after comparison</t>
        </r>
      </text>
    </comment>
    <comment ref="I56" authorId="0" shapeId="0" xr:uid="{5A406409-EE6B-6148-989D-8D41A8A4320D}">
      <text>
        <r>
          <rPr>
            <sz val="10"/>
            <color rgb="FF000000"/>
            <rFont val="Tahoma"/>
            <family val="2"/>
          </rPr>
          <t>before-after comparison</t>
        </r>
      </text>
    </comment>
    <comment ref="J56" authorId="0" shapeId="0" xr:uid="{9BF30594-4E9D-864E-B1F8-A425741B5EC3}">
      <text>
        <r>
          <rPr>
            <sz val="10"/>
            <color rgb="FF000000"/>
            <rFont val="Tahoma"/>
            <family val="2"/>
          </rPr>
          <t>before-after comparison</t>
        </r>
      </text>
    </comment>
    <comment ref="L56" authorId="0" shapeId="0" xr:uid="{B453E932-1D5F-9840-AA53-6B8B5C45E895}">
      <text>
        <r>
          <rPr>
            <sz val="10"/>
            <color rgb="FF000000"/>
            <rFont val="Tahoma"/>
            <family val="2"/>
          </rPr>
          <t>before-after comparison</t>
        </r>
      </text>
    </comment>
    <comment ref="M56" authorId="0" shapeId="0" xr:uid="{A272279B-DD7B-784B-B1DB-65BC13F626C5}">
      <text>
        <r>
          <rPr>
            <sz val="10"/>
            <color rgb="FF000000"/>
            <rFont val="Tahoma"/>
            <family val="2"/>
          </rPr>
          <t>before-after comparison</t>
        </r>
      </text>
    </comment>
    <comment ref="O56" authorId="0" shapeId="0" xr:uid="{2C7A62C1-490F-044C-BD4F-115D715565C3}">
      <text>
        <r>
          <rPr>
            <sz val="10"/>
            <color rgb="FF000000"/>
            <rFont val="Tahoma"/>
            <family val="2"/>
          </rPr>
          <t>before-after comparison</t>
        </r>
      </text>
    </comment>
    <comment ref="P56" authorId="0" shapeId="0" xr:uid="{55F9F00A-115F-8641-9B23-1B89492ACCCD}">
      <text>
        <r>
          <rPr>
            <sz val="10"/>
            <color rgb="FF000000"/>
            <rFont val="Tahoma"/>
            <family val="2"/>
          </rPr>
          <t>testing twice weekly</t>
        </r>
      </text>
    </comment>
    <comment ref="S56" authorId="0" shapeId="0" xr:uid="{A6ACDBA8-A1B7-2C4A-B427-840170B69C64}">
      <text>
        <r>
          <rPr>
            <sz val="10"/>
            <color rgb="FF000000"/>
            <rFont val="Tahoma"/>
            <family val="2"/>
          </rPr>
          <t>total # of Ag-RDTs reported</t>
        </r>
      </text>
    </comment>
    <comment ref="V56" authorId="0" shapeId="0" xr:uid="{91CE05D7-0993-3D4D-8492-880769383F47}">
      <text>
        <r>
          <rPr>
            <sz val="10"/>
            <color rgb="FF000000"/>
            <rFont val="Tahoma"/>
            <family val="2"/>
          </rPr>
          <t># of people eligible reported</t>
        </r>
      </text>
    </comment>
    <comment ref="W56" authorId="0" shapeId="0" xr:uid="{B8498608-EEB8-4041-8BAD-DC3E6DC250EB}">
      <text>
        <r>
          <rPr>
            <sz val="10"/>
            <color rgb="FF000000"/>
            <rFont val="Tahoma"/>
            <family val="2"/>
          </rPr>
          <t>maximum # of tests can be computed</t>
        </r>
      </text>
    </comment>
    <comment ref="X56" authorId="0" shapeId="0" xr:uid="{3BDD90E3-ABAD-FA49-81CA-95E0310FA442}">
      <text>
        <r>
          <rPr>
            <sz val="10"/>
            <color rgb="FF000000"/>
            <rFont val="Tahoma"/>
            <family val="2"/>
          </rPr>
          <t>not everyone adhered to the testing routine</t>
        </r>
      </text>
    </comment>
    <comment ref="AA56" authorId="0" shapeId="0" xr:uid="{B099C228-CC47-6F4F-81F5-62AC3692FCC3}">
      <text>
        <r>
          <rPr>
            <sz val="10"/>
            <color rgb="FF000000"/>
            <rFont val="Tahoma"/>
            <family val="2"/>
          </rPr>
          <t>not clear if / how interpreation of test results was checked</t>
        </r>
      </text>
    </comment>
    <comment ref="AD56" authorId="0" shapeId="0" xr:uid="{7F160D14-F31D-974B-B07F-37A41FC9B81E}">
      <text>
        <r>
          <rPr>
            <sz val="10"/>
            <color rgb="FF000000"/>
            <rFont val="Tahoma"/>
            <family val="2"/>
          </rPr>
          <t>no details on the manner of test collection</t>
        </r>
      </text>
    </comment>
    <comment ref="AE56" authorId="0" shapeId="0" xr:uid="{518AD8A4-DCC4-BA49-80FE-4F0DF321CB3D}">
      <text>
        <r>
          <rPr>
            <sz val="10"/>
            <color rgb="FF000000"/>
            <rFont val="Tahoma"/>
            <family val="2"/>
          </rPr>
          <t>no details on manner of result reporting</t>
        </r>
      </text>
    </comment>
    <comment ref="AF56" authorId="0" shapeId="0" xr:uid="{CA52DC2C-3B4D-0D4D-82A0-EA08E9FD8E26}">
      <text>
        <r>
          <rPr>
            <sz val="10"/>
            <color rgb="FF000000"/>
            <rFont val="Tahoma"/>
            <family val="2"/>
          </rPr>
          <t>count-related</t>
        </r>
      </text>
    </comment>
    <comment ref="AH56" authorId="0" shapeId="0" xr:uid="{420933B4-3F8D-4946-8524-2384AC9C1B37}">
      <text>
        <r>
          <rPr>
            <sz val="10"/>
            <color rgb="FF000000"/>
            <rFont val="Tahoma"/>
            <family val="2"/>
          </rPr>
          <t>count-related</t>
        </r>
      </text>
    </comment>
    <comment ref="D57" authorId="0" shapeId="0" xr:uid="{6407AAE1-C313-3E49-96EF-D936F24FA98A}">
      <text>
        <r>
          <rPr>
            <sz val="10"/>
            <color rgb="FF000000"/>
            <rFont val="Tahoma"/>
            <family val="2"/>
          </rPr>
          <t>self-testing was conducted on people with unknown SARS-CoV-2 status</t>
        </r>
      </text>
    </comment>
    <comment ref="F57" authorId="0" shapeId="0" xr:uid="{4CEC4287-C10E-FF41-93CF-336565E77FFE}">
      <text>
        <r>
          <rPr>
            <sz val="10"/>
            <color rgb="FF000000"/>
            <rFont val="Tahoma"/>
            <family val="2"/>
          </rPr>
          <t>testing was voluntary</t>
        </r>
      </text>
    </comment>
    <comment ref="G57" authorId="0" shapeId="0" xr:uid="{2CA8AB08-697F-6B4A-9F10-1D4CB9C569E4}">
      <text>
        <r>
          <rPr>
            <sz val="10"/>
            <color rgb="FF000000"/>
            <rFont val="Tahoma"/>
            <family val="2"/>
          </rPr>
          <t>before-after comparison</t>
        </r>
      </text>
    </comment>
    <comment ref="I57" authorId="0" shapeId="0" xr:uid="{B10C6755-3D70-F844-91F3-45F2770FEDB7}">
      <text>
        <r>
          <rPr>
            <sz val="10"/>
            <color rgb="FF000000"/>
            <rFont val="Tahoma"/>
            <family val="2"/>
          </rPr>
          <t>before-after comparison</t>
        </r>
      </text>
    </comment>
    <comment ref="J57" authorId="0" shapeId="0" xr:uid="{4E819F35-4D3A-D540-83AF-50D203F5F1BA}">
      <text>
        <r>
          <rPr>
            <sz val="10"/>
            <color rgb="FF000000"/>
            <rFont val="Tahoma"/>
            <family val="2"/>
          </rPr>
          <t>before-after comparison</t>
        </r>
      </text>
    </comment>
    <comment ref="L57" authorId="0" shapeId="0" xr:uid="{4F56DC68-3DF8-EF42-ADBD-6C1313449B03}">
      <text>
        <r>
          <rPr>
            <sz val="10"/>
            <color rgb="FF000000"/>
            <rFont val="Tahoma"/>
            <family val="2"/>
          </rPr>
          <t>before-after comparison</t>
        </r>
      </text>
    </comment>
    <comment ref="M57" authorId="0" shapeId="0" xr:uid="{DD2DCB44-727A-3940-9368-77574CEEE7F4}">
      <text>
        <r>
          <rPr>
            <sz val="10"/>
            <color rgb="FF000000"/>
            <rFont val="Tahoma"/>
            <family val="2"/>
          </rPr>
          <t>before-after comparison</t>
        </r>
      </text>
    </comment>
    <comment ref="O57" authorId="0" shapeId="0" xr:uid="{2CE68532-31E3-D043-8260-4918A5C1154D}">
      <text>
        <r>
          <rPr>
            <sz val="10"/>
            <color rgb="FF000000"/>
            <rFont val="Tahoma"/>
            <family val="2"/>
          </rPr>
          <t>before-after comparison</t>
        </r>
      </text>
    </comment>
    <comment ref="P57" authorId="0" shapeId="0" xr:uid="{88777A0A-1166-9D44-AA0A-9B96001319B9}">
      <text>
        <r>
          <rPr>
            <sz val="10"/>
            <color rgb="FF000000"/>
            <rFont val="Tahoma"/>
            <family val="2"/>
          </rPr>
          <t>test daily for one week</t>
        </r>
      </text>
    </comment>
    <comment ref="S57" authorId="0" shapeId="0" xr:uid="{8B261556-E636-404A-84C2-37D1F6BCAA81}">
      <text>
        <r>
          <rPr>
            <sz val="10"/>
            <color rgb="FF000000"/>
            <rFont val="Tahoma"/>
            <family val="2"/>
          </rPr>
          <t>total # of Ag-RDT results reported</t>
        </r>
      </text>
    </comment>
    <comment ref="V57" authorId="0" shapeId="0" xr:uid="{FD1C7E46-C1E7-A146-A56F-A0258B839B9B}">
      <text>
        <r>
          <rPr>
            <sz val="10"/>
            <color rgb="FF000000"/>
            <rFont val="Tahoma"/>
            <family val="2"/>
          </rPr>
          <t># of individuals eligible for self-testing specified</t>
        </r>
      </text>
    </comment>
    <comment ref="W57" authorId="0" shapeId="0" xr:uid="{336CEAED-0370-394F-9D56-E1C561F6338B}">
      <text>
        <r>
          <rPr>
            <sz val="10"/>
            <color rgb="FF000000"/>
            <rFont val="Tahoma"/>
            <family val="2"/>
          </rPr>
          <t>number of people reporting self-testing defined and possible to calculate optimal number of tests</t>
        </r>
      </text>
    </comment>
    <comment ref="X57" authorId="0" shapeId="0" xr:uid="{7E581E9A-FF9D-B84F-8B11-C0E5BDCC6A61}">
      <text>
        <r>
          <rPr>
            <sz val="10"/>
            <color rgb="FF000000"/>
            <rFont val="Tahoma"/>
            <family val="2"/>
          </rPr>
          <t>individuals could have tested at different frequencies</t>
        </r>
      </text>
    </comment>
    <comment ref="AA57" authorId="0" shapeId="0" xr:uid="{FDB46540-F5BB-7346-8739-6DE32FBF042D}">
      <text>
        <r>
          <rPr>
            <sz val="10"/>
            <color rgb="FF000000"/>
            <rFont val="Tahoma"/>
            <family val="2"/>
          </rPr>
          <t>no information on the mode of result reporting</t>
        </r>
      </text>
    </comment>
    <comment ref="AD57" authorId="0" shapeId="0" xr:uid="{D4676CFE-91C3-7E40-9D3C-E1E1A9AF5AF0}">
      <text>
        <r>
          <rPr>
            <sz val="10"/>
            <color rgb="FF000000"/>
            <rFont val="Tahoma"/>
            <family val="2"/>
          </rPr>
          <t>no information on the mode of test collection</t>
        </r>
      </text>
    </comment>
    <comment ref="AE57" authorId="0" shapeId="0" xr:uid="{D103802A-E919-934F-9E1B-F5195B854E92}">
      <text>
        <r>
          <rPr>
            <sz val="10"/>
            <color rgb="FF000000"/>
            <rFont val="Tahoma"/>
            <family val="2"/>
          </rPr>
          <t>no information on the mode of result reporting</t>
        </r>
      </text>
    </comment>
    <comment ref="AF57" authorId="0" shapeId="0" xr:uid="{0657E467-3968-D34A-A7ED-2DC7A57BF247}">
      <text>
        <r>
          <rPr>
            <sz val="10"/>
            <color rgb="FF000000"/>
            <rFont val="Tahoma"/>
            <family val="2"/>
          </rPr>
          <t>count-related</t>
        </r>
      </text>
    </comment>
    <comment ref="AH57" authorId="0" shapeId="0" xr:uid="{FFF02393-956E-4A4E-BB4D-EAD590BF5462}">
      <text>
        <r>
          <rPr>
            <sz val="10"/>
            <color rgb="FF000000"/>
            <rFont val="Tahoma"/>
            <family val="2"/>
          </rPr>
          <t>count-related</t>
        </r>
      </text>
    </comment>
    <comment ref="D58" authorId="0" shapeId="0" xr:uid="{EF293506-BCB3-A745-B725-41FC21876A4F}">
      <text>
        <r>
          <rPr>
            <sz val="10"/>
            <color rgb="FF000000"/>
            <rFont val="Tahoma"/>
            <family val="2"/>
          </rPr>
          <t>self-testing was conducted on people with unknown SARS-CoV-2 status</t>
        </r>
      </text>
    </comment>
    <comment ref="G58" authorId="0" shapeId="0" xr:uid="{C4F8EFBB-48C1-084A-AEDF-9DD9030EC2DE}">
      <text>
        <r>
          <rPr>
            <sz val="10"/>
            <color rgb="FF000000"/>
            <rFont val="Tahoma"/>
            <family val="2"/>
          </rPr>
          <t>before-after comparison</t>
        </r>
      </text>
    </comment>
    <comment ref="J58" authorId="0" shapeId="0" xr:uid="{C1166FF4-3AEA-F147-8D53-8BA58915FC33}">
      <text>
        <r>
          <rPr>
            <sz val="10"/>
            <color rgb="FF000000"/>
            <rFont val="Tahoma"/>
            <family val="2"/>
          </rPr>
          <t>before-after comparison</t>
        </r>
      </text>
    </comment>
    <comment ref="M58" authorId="0" shapeId="0" xr:uid="{95788A41-E5A8-6446-8419-70EFE8F1598C}">
      <text>
        <r>
          <rPr>
            <sz val="10"/>
            <color rgb="FF000000"/>
            <rFont val="Tahoma"/>
            <family val="2"/>
          </rPr>
          <t>before-after comparison</t>
        </r>
      </text>
    </comment>
    <comment ref="P58" authorId="0" shapeId="0" xr:uid="{2DA58B37-BEE3-AD44-85BA-DFE0766FDFBA}">
      <text>
        <r>
          <rPr>
            <sz val="10"/>
            <color rgb="FF000000"/>
            <rFont val="Tahoma"/>
            <family val="2"/>
          </rPr>
          <t>individuals tested multiple times but did not follow a clear testing regime</t>
        </r>
      </text>
    </comment>
    <comment ref="S58" authorId="0" shapeId="0" xr:uid="{066CF093-2EA5-C440-8E03-E6A33A494B0A}">
      <text>
        <r>
          <rPr>
            <sz val="10"/>
            <color rgb="FF000000"/>
            <rFont val="+mn-ea"/>
            <charset val="1"/>
          </rPr>
          <t>Public health system extrated data (Combined Intelligence for Population Health Action [CIPHA] data base)</t>
        </r>
      </text>
    </comment>
    <comment ref="X58" authorId="0" shapeId="0" xr:uid="{F4DC84B2-38F3-DE4D-AA0B-A9BADB06C4B9}">
      <text>
        <r>
          <rPr>
            <sz val="10"/>
            <color rgb="FF000000"/>
            <rFont val="Tahoma"/>
            <family val="2"/>
          </rPr>
          <t>testing frequency was not specified, so individuals could test at different frequencies</t>
        </r>
      </text>
    </comment>
    <comment ref="AA58" authorId="0" shapeId="0" xr:uid="{864A5375-531D-864F-83D1-578D57DD447E}">
      <text>
        <r>
          <rPr>
            <sz val="10"/>
            <color rgb="FF000000"/>
            <rFont val="Tahoma"/>
            <family val="2"/>
          </rPr>
          <t>relied on reporting from study participants</t>
        </r>
      </text>
    </comment>
    <comment ref="AF58" authorId="0" shapeId="0" xr:uid="{4EDC1A75-4F63-DF4C-BFE2-65DE91DA060F}">
      <text>
        <r>
          <rPr>
            <sz val="10"/>
            <color rgb="FF000000"/>
            <rFont val="Tahoma"/>
            <family val="2"/>
          </rPr>
          <t>count-related</t>
        </r>
      </text>
    </comment>
    <comment ref="F59" authorId="0" shapeId="0" xr:uid="{7EB8558C-E7FE-704A-90C6-923D833782D5}">
      <text>
        <r>
          <rPr>
            <sz val="10"/>
            <color rgb="FF000000"/>
            <rFont val="Tahoma"/>
            <family val="2"/>
          </rPr>
          <t>testing was voluntary</t>
        </r>
      </text>
    </comment>
    <comment ref="I59" authorId="0" shapeId="0" xr:uid="{12B57FCA-DC8E-0640-BAF6-014507327292}">
      <text>
        <r>
          <rPr>
            <sz val="10"/>
            <color rgb="FF000000"/>
            <rFont val="Tahoma"/>
            <family val="2"/>
          </rPr>
          <t>before-after comparison</t>
        </r>
      </text>
    </comment>
    <comment ref="L59" authorId="0" shapeId="0" xr:uid="{C22E7FED-B5BB-2346-AC70-BD408BAB51A9}">
      <text>
        <r>
          <rPr>
            <sz val="10"/>
            <color rgb="FF000000"/>
            <rFont val="Tahoma"/>
            <family val="2"/>
          </rPr>
          <t>before-after comparison</t>
        </r>
      </text>
    </comment>
    <comment ref="O59" authorId="0" shapeId="0" xr:uid="{3017309A-8B8C-184B-BD15-8CFCA8EA07B9}">
      <text>
        <r>
          <rPr>
            <sz val="10"/>
            <color rgb="FF000000"/>
            <rFont val="Tahoma"/>
            <family val="2"/>
          </rPr>
          <t>before-after comparison</t>
        </r>
      </text>
    </comment>
    <comment ref="V59" authorId="0" shapeId="0" xr:uid="{13D774F5-EF6B-7E43-9119-656E66465D4E}">
      <text>
        <r>
          <rPr>
            <sz val="10"/>
            <color rgb="FF000000"/>
            <rFont val="Tahoma"/>
            <family val="2"/>
          </rPr>
          <t># of people eligible reported</t>
        </r>
      </text>
    </comment>
    <comment ref="AD59" authorId="0" shapeId="0" xr:uid="{C4D53F1D-212D-674B-958F-F1056999F452}">
      <text>
        <r>
          <rPr>
            <sz val="10"/>
            <color rgb="FF000000"/>
            <rFont val="Tahoma"/>
            <family val="2"/>
          </rPr>
          <t>tests were distributed by study personnel</t>
        </r>
      </text>
    </comment>
    <comment ref="AH59" authorId="0" shapeId="0" xr:uid="{7381DF6A-1722-0543-9719-7F613A6CFF98}">
      <text>
        <r>
          <rPr>
            <sz val="10"/>
            <color rgb="FF000000"/>
            <rFont val="Tahoma"/>
            <family val="2"/>
          </rPr>
          <t>count-related</t>
        </r>
      </text>
    </comment>
    <comment ref="F60" authorId="0" shapeId="0" xr:uid="{A7767B85-B4E8-8F44-8EFB-C2ECA8C5694D}">
      <text>
        <r>
          <rPr>
            <sz val="10"/>
            <color rgb="FF000000"/>
            <rFont val="Tahoma"/>
            <family val="2"/>
          </rPr>
          <t>testing was voluntary</t>
        </r>
      </text>
    </comment>
    <comment ref="I60" authorId="0" shapeId="0" xr:uid="{CB0AD329-C995-D84D-B3FA-5941FF94501B}">
      <text>
        <r>
          <rPr>
            <sz val="10"/>
            <color rgb="FF000000"/>
            <rFont val="Tahoma"/>
            <family val="2"/>
          </rPr>
          <t>before-after comparison</t>
        </r>
      </text>
    </comment>
    <comment ref="L60" authorId="0" shapeId="0" xr:uid="{F7D27AF4-9796-F54A-9150-E31A0B133F1E}">
      <text>
        <r>
          <rPr>
            <sz val="10"/>
            <color rgb="FF000000"/>
            <rFont val="Tahoma"/>
            <family val="2"/>
          </rPr>
          <t>before-after comparison</t>
        </r>
      </text>
    </comment>
    <comment ref="O60" authorId="0" shapeId="0" xr:uid="{CAD28898-6060-CF4C-8C14-B961E356A679}">
      <text>
        <r>
          <rPr>
            <sz val="10"/>
            <color rgb="FF000000"/>
            <rFont val="Tahoma"/>
            <family val="2"/>
          </rPr>
          <t>before-after comparison</t>
        </r>
      </text>
    </comment>
    <comment ref="V60" authorId="0" shapeId="0" xr:uid="{D47B1F11-78F5-944A-928E-0C9138F75076}">
      <text>
        <r>
          <rPr>
            <sz val="10"/>
            <color rgb="FF000000"/>
            <rFont val="Tahoma"/>
            <family val="2"/>
          </rPr>
          <t># of people eligible reported</t>
        </r>
      </text>
    </comment>
    <comment ref="AD60" authorId="0" shapeId="0" xr:uid="{A28FEC24-4817-CA4F-A699-BBB0F158B634}">
      <text>
        <r>
          <rPr>
            <sz val="10"/>
            <color rgb="FF000000"/>
            <rFont val="Tahoma"/>
            <family val="2"/>
          </rPr>
          <t>tests were distributed by study personnel</t>
        </r>
      </text>
    </comment>
    <comment ref="AH60" authorId="0" shapeId="0" xr:uid="{8735743B-CB55-604E-A13B-3CA738DD3F4F}">
      <text>
        <r>
          <rPr>
            <sz val="10"/>
            <color rgb="FF000000"/>
            <rFont val="Tahoma"/>
            <family val="2"/>
          </rPr>
          <t>count-related</t>
        </r>
      </text>
    </comment>
    <comment ref="D61" authorId="0" shapeId="0" xr:uid="{D90265B1-9640-514A-801A-A04E791F00E0}">
      <text>
        <r>
          <rPr>
            <sz val="10"/>
            <color rgb="FF000000"/>
            <rFont val="Tahoma"/>
            <family val="2"/>
          </rPr>
          <t>self-testing was conducted on people with unknown SARS-CoV-2 status</t>
        </r>
      </text>
    </comment>
    <comment ref="F61" authorId="0" shapeId="0" xr:uid="{697C96E3-59A9-0146-8CF9-35A439FEB24A}">
      <text>
        <r>
          <rPr>
            <sz val="10"/>
            <color rgb="FF000000"/>
            <rFont val="Tahoma"/>
            <family val="2"/>
          </rPr>
          <t>testing was mandatory for in-person teaching</t>
        </r>
      </text>
    </comment>
    <comment ref="G61" authorId="0" shapeId="0" xr:uid="{E827B8A5-C8DE-FE41-A512-72EAB278ECC9}">
      <text>
        <r>
          <rPr>
            <sz val="10"/>
            <color rgb="FF000000"/>
            <rFont val="Tahoma"/>
            <family val="2"/>
          </rPr>
          <t>before-after comparison</t>
        </r>
      </text>
    </comment>
    <comment ref="I61" authorId="0" shapeId="0" xr:uid="{03822326-F76B-474B-829A-778AC9E8E6D8}">
      <text>
        <r>
          <rPr>
            <sz val="10"/>
            <color rgb="FF000000"/>
            <rFont val="Tahoma"/>
            <family val="2"/>
          </rPr>
          <t>before-after comparison</t>
        </r>
      </text>
    </comment>
    <comment ref="J61" authorId="0" shapeId="0" xr:uid="{1BBF7BDD-90AB-5F44-BAF9-7A9A7701F147}">
      <text>
        <r>
          <rPr>
            <sz val="10"/>
            <color rgb="FF000000"/>
            <rFont val="Tahoma"/>
            <family val="2"/>
          </rPr>
          <t>before-after comparison</t>
        </r>
      </text>
    </comment>
    <comment ref="L61" authorId="0" shapeId="0" xr:uid="{68F3088A-B3F2-7240-82CA-C7A7CB05410D}">
      <text>
        <r>
          <rPr>
            <sz val="10"/>
            <color rgb="FF000000"/>
            <rFont val="Tahoma"/>
            <family val="2"/>
          </rPr>
          <t>before-after comparison</t>
        </r>
      </text>
    </comment>
    <comment ref="M61" authorId="0" shapeId="0" xr:uid="{EA9A091D-9813-614E-905B-0C75D606ED97}">
      <text>
        <r>
          <rPr>
            <sz val="10"/>
            <color rgb="FF000000"/>
            <rFont val="Tahoma"/>
            <family val="2"/>
          </rPr>
          <t>before-after comparison</t>
        </r>
      </text>
    </comment>
    <comment ref="O61" authorId="0" shapeId="0" xr:uid="{93CDDB0E-F263-DF4D-84B6-3C9D3A13D5B3}">
      <text>
        <r>
          <rPr>
            <sz val="10"/>
            <color rgb="FF000000"/>
            <rFont val="Tahoma"/>
            <family val="2"/>
          </rPr>
          <t>before-after comparison</t>
        </r>
      </text>
    </comment>
    <comment ref="P61" authorId="0" shapeId="0" xr:uid="{11A2B054-FE3E-AC45-8AA5-F92061FE2D8D}">
      <text>
        <r>
          <rPr>
            <sz val="10"/>
            <color rgb="FF000000"/>
            <rFont val="Tahoma"/>
            <family val="2"/>
          </rPr>
          <t>testing twice weekly (unless in at-home isolation or if symptomatic)</t>
        </r>
      </text>
    </comment>
    <comment ref="S61" authorId="0" shapeId="0" xr:uid="{7E17CA59-9487-1E44-836B-6DABF45BCCB2}">
      <text>
        <r>
          <rPr>
            <sz val="10"/>
            <color rgb="FF000000"/>
            <rFont val="Tahoma"/>
            <family val="2"/>
          </rPr>
          <t>"</t>
        </r>
        <r>
          <rPr>
            <sz val="10"/>
            <color rgb="FF000000"/>
            <rFont val="Calibri"/>
            <family val="2"/>
          </rPr>
          <t>data from the nationwide rapid antigen test-based screening programme provided by the Federal Ministry of Education, Science and Research"</t>
        </r>
      </text>
    </comment>
    <comment ref="W61" authorId="0" shapeId="0" xr:uid="{94486588-1FB7-2945-91FB-E59D46EA3D35}">
      <text>
        <r>
          <rPr>
            <sz val="10"/>
            <color rgb="FF000000"/>
            <rFont val="Tahoma"/>
            <family val="2"/>
          </rPr>
          <t>maximum # of tests can be computed</t>
        </r>
      </text>
    </comment>
    <comment ref="X61" authorId="0" shapeId="0" xr:uid="{597586BA-FB88-7643-8447-0AA2DE508282}">
      <text>
        <r>
          <rPr>
            <sz val="10"/>
            <color rgb="FF000000"/>
            <rFont val="Tahoma"/>
            <family val="2"/>
          </rPr>
          <t>different Ag-RDTs used (</t>
        </r>
        <r>
          <rPr>
            <sz val="10"/>
            <color rgb="FF000000"/>
            <rFont val="Calibri"/>
            <family val="2"/>
          </rPr>
          <t>Lepu Medical SARS-CoV-2 Antigen Rapid Test and Flowflex SARS- CoV-2 Antigen Rapid Test)</t>
        </r>
      </text>
    </comment>
    <comment ref="AA61" authorId="0" shapeId="0" xr:uid="{29861B4C-4836-A945-B81B-7494FE5C6F9B}">
      <text>
        <r>
          <rPr>
            <sz val="10"/>
            <color rgb="FF000000"/>
            <rFont val="Tahoma"/>
            <family val="2"/>
          </rPr>
          <t>tested under supervision of teacher</t>
        </r>
      </text>
    </comment>
    <comment ref="AE61" authorId="0" shapeId="0" xr:uid="{3C636B02-BA5E-4F46-9F68-4C9388A8E1F6}">
      <text>
        <r>
          <rPr>
            <sz val="10"/>
            <color rgb="FF000000"/>
            <rFont val="Tahoma"/>
            <family val="2"/>
          </rPr>
          <t>tests were conducted under the supervision of a teacher</t>
        </r>
      </text>
    </comment>
    <comment ref="AF61" authorId="0" shapeId="0" xr:uid="{8E9C575C-6B7E-AB4F-8A92-ECF98E86920D}">
      <text>
        <r>
          <rPr>
            <sz val="10"/>
            <color rgb="FF000000"/>
            <rFont val="Tahoma"/>
            <family val="2"/>
          </rPr>
          <t>count-related</t>
        </r>
      </text>
    </comment>
    <comment ref="AH61" authorId="0" shapeId="0" xr:uid="{F1860386-9484-1641-8D9A-0B8810EFFF22}">
      <text>
        <r>
          <rPr>
            <sz val="10"/>
            <color rgb="FF000000"/>
            <rFont val="Tahoma"/>
            <family val="2"/>
          </rPr>
          <t>count-related</t>
        </r>
      </text>
    </comment>
    <comment ref="D62" authorId="0" shapeId="0" xr:uid="{AD00744F-4EEE-1944-9728-C01B988AB7F2}">
      <text>
        <r>
          <rPr>
            <sz val="10"/>
            <color rgb="FF000000"/>
            <rFont val="Tahoma"/>
            <family val="2"/>
          </rPr>
          <t>self-testing was conducted on people with unknown SARS-CoV-2 status</t>
        </r>
      </text>
    </comment>
    <comment ref="F62" authorId="0" shapeId="0" xr:uid="{67BC63E4-77F0-BB43-99E6-228DD400067F}">
      <text>
        <r>
          <rPr>
            <sz val="10"/>
            <color rgb="FF000000"/>
            <rFont val="Tahoma"/>
            <family val="2"/>
          </rPr>
          <t>testing was mandatory for in-person teaching</t>
        </r>
      </text>
    </comment>
    <comment ref="G62" authorId="0" shapeId="0" xr:uid="{14BCD640-3DB6-BF41-8401-6C2BC39A892C}">
      <text>
        <r>
          <rPr>
            <sz val="10"/>
            <color rgb="FF000000"/>
            <rFont val="Tahoma"/>
            <family val="2"/>
          </rPr>
          <t>before-after comparison</t>
        </r>
      </text>
    </comment>
    <comment ref="I62" authorId="0" shapeId="0" xr:uid="{B642436E-4F29-E045-B4FB-FABFE9E1C126}">
      <text>
        <r>
          <rPr>
            <sz val="10"/>
            <color rgb="FF000000"/>
            <rFont val="Tahoma"/>
            <family val="2"/>
          </rPr>
          <t>before-after comparison</t>
        </r>
      </text>
    </comment>
    <comment ref="J62" authorId="0" shapeId="0" xr:uid="{4FF6BABB-69AE-DA4F-A097-3919C9700D8B}">
      <text>
        <r>
          <rPr>
            <sz val="10"/>
            <color rgb="FF000000"/>
            <rFont val="Tahoma"/>
            <family val="2"/>
          </rPr>
          <t>before-after comparison</t>
        </r>
      </text>
    </comment>
    <comment ref="L62" authorId="0" shapeId="0" xr:uid="{45AC9B36-66A0-6940-898D-2C9A55E2EC30}">
      <text>
        <r>
          <rPr>
            <sz val="10"/>
            <color rgb="FF000000"/>
            <rFont val="Tahoma"/>
            <family val="2"/>
          </rPr>
          <t>before-after comparison</t>
        </r>
      </text>
    </comment>
    <comment ref="M62" authorId="0" shapeId="0" xr:uid="{197C1264-8651-9B48-86F1-B20C35403BED}">
      <text>
        <r>
          <rPr>
            <sz val="10"/>
            <color rgb="FF000000"/>
            <rFont val="Tahoma"/>
            <family val="2"/>
          </rPr>
          <t>before-after comparison</t>
        </r>
      </text>
    </comment>
    <comment ref="O62" authorId="0" shapeId="0" xr:uid="{28DED0E5-BD40-1E44-95BE-E112A68CD837}">
      <text>
        <r>
          <rPr>
            <sz val="10"/>
            <color rgb="FF000000"/>
            <rFont val="Tahoma"/>
            <family val="2"/>
          </rPr>
          <t>before-after comparison</t>
        </r>
      </text>
    </comment>
    <comment ref="P62" authorId="0" shapeId="0" xr:uid="{7E416262-C98B-B441-9DFC-DA66A13F116C}">
      <text>
        <r>
          <rPr>
            <sz val="10"/>
            <color rgb="FF000000"/>
            <rFont val="Tahoma"/>
            <family val="2"/>
          </rPr>
          <t>testing twice weekly (unless in at-home isolation or if symptomatic)</t>
        </r>
      </text>
    </comment>
    <comment ref="S62" authorId="0" shapeId="0" xr:uid="{96D18CF9-BD57-5B43-8AEF-8BB676E75BA0}">
      <text>
        <r>
          <rPr>
            <sz val="10"/>
            <color rgb="FF000000"/>
            <rFont val="Tahoma"/>
            <family val="2"/>
          </rPr>
          <t>"</t>
        </r>
        <r>
          <rPr>
            <sz val="10"/>
            <color rgb="FF000000"/>
            <rFont val="Calibri"/>
            <family val="2"/>
          </rPr>
          <t>data from the nationwide rapid antigen test-based screening programme provided by the Federal Ministry of Education, Science and Research"</t>
        </r>
      </text>
    </comment>
    <comment ref="W62" authorId="0" shapeId="0" xr:uid="{4BA20F1D-2E25-494C-8BC6-9DF08501A476}">
      <text>
        <r>
          <rPr>
            <sz val="10"/>
            <color rgb="FF000000"/>
            <rFont val="Tahoma"/>
            <family val="2"/>
          </rPr>
          <t>maximum # of tests can be computed</t>
        </r>
      </text>
    </comment>
    <comment ref="X62" authorId="0" shapeId="0" xr:uid="{A1170016-3119-8248-9481-F28DC92382F9}">
      <text>
        <r>
          <rPr>
            <sz val="10"/>
            <color rgb="FF000000"/>
            <rFont val="Tahoma"/>
            <family val="2"/>
          </rPr>
          <t>different Ag-RDTs used (</t>
        </r>
        <r>
          <rPr>
            <sz val="10"/>
            <color rgb="FF000000"/>
            <rFont val="Calibri"/>
            <family val="2"/>
          </rPr>
          <t>Lepu Medical SARS-CoV-2 Antigen Rapid Test and Flowflex SARS- CoV-2 Antigen Rapid Test)</t>
        </r>
      </text>
    </comment>
    <comment ref="AA62" authorId="0" shapeId="0" xr:uid="{FBC10C9C-5D84-BC4F-8E20-DABD3204ADFE}">
      <text>
        <r>
          <rPr>
            <sz val="10"/>
            <color rgb="FF000000"/>
            <rFont val="Tahoma"/>
            <family val="2"/>
          </rPr>
          <t>tested under supervision of teacher</t>
        </r>
      </text>
    </comment>
    <comment ref="AE62" authorId="0" shapeId="0" xr:uid="{DCEC05BE-F23F-FE45-BC78-392E72BD21DD}">
      <text>
        <r>
          <rPr>
            <sz val="10"/>
            <color rgb="FF000000"/>
            <rFont val="Tahoma"/>
            <family val="2"/>
          </rPr>
          <t>tests were conducted under the supervision of a teacher</t>
        </r>
      </text>
    </comment>
    <comment ref="AF62" authorId="0" shapeId="0" xr:uid="{96506546-3892-574A-8D75-4FAE134F0CEA}">
      <text>
        <r>
          <rPr>
            <sz val="10"/>
            <color rgb="FF000000"/>
            <rFont val="Tahoma"/>
            <family val="2"/>
          </rPr>
          <t>count-related</t>
        </r>
      </text>
    </comment>
    <comment ref="AH62" authorId="0" shapeId="0" xr:uid="{AAA45044-1059-4841-B7AA-F0C5CC0CC85E}">
      <text>
        <r>
          <rPr>
            <sz val="10"/>
            <color rgb="FF000000"/>
            <rFont val="Tahoma"/>
            <family val="2"/>
          </rPr>
          <t>count-related</t>
        </r>
      </text>
    </comment>
    <comment ref="D63" authorId="0" shapeId="0" xr:uid="{D269BC2B-FD1B-C544-953C-558945A48C07}">
      <text>
        <r>
          <rPr>
            <sz val="10"/>
            <color rgb="FF000000"/>
            <rFont val="Tahoma"/>
            <family val="2"/>
          </rPr>
          <t>self-testing was conducted on people with unknown SARS-CoV-2 status</t>
        </r>
      </text>
    </comment>
    <comment ref="G63" authorId="0" shapeId="0" xr:uid="{DA5AE5BD-8F74-CF4B-B6CF-0E48F90BF19B}">
      <text>
        <r>
          <rPr>
            <sz val="10"/>
            <color rgb="FF000000"/>
            <rFont val="Tahoma"/>
            <family val="2"/>
          </rPr>
          <t>before-after comparison</t>
        </r>
      </text>
    </comment>
    <comment ref="J63" authorId="0" shapeId="0" xr:uid="{C9365E73-7FDC-3640-BA87-F55F8B5C9B78}">
      <text>
        <r>
          <rPr>
            <sz val="10"/>
            <color rgb="FF000000"/>
            <rFont val="Tahoma"/>
            <family val="2"/>
          </rPr>
          <t>before-after comparison</t>
        </r>
      </text>
    </comment>
    <comment ref="M63" authorId="0" shapeId="0" xr:uid="{91DA7CA3-221E-844E-A4DF-DA141CDCC966}">
      <text>
        <r>
          <rPr>
            <sz val="10"/>
            <color rgb="FF000000"/>
            <rFont val="Tahoma"/>
            <family val="2"/>
          </rPr>
          <t>before-after comparison</t>
        </r>
      </text>
    </comment>
    <comment ref="P63" authorId="0" shapeId="0" xr:uid="{0A2BF98E-41B2-104D-B5A8-F659B4669B4F}">
      <text>
        <r>
          <rPr>
            <sz val="10"/>
            <color rgb="FF000000"/>
            <rFont val="Calibri"/>
            <family val="2"/>
          </rPr>
          <t>routine testing but exact testing regime unclear</t>
        </r>
      </text>
    </comment>
    <comment ref="S63" authorId="0" shapeId="0" xr:uid="{2461AD43-BDAC-824A-8529-9DB21F0B9513}">
      <text>
        <r>
          <rPr>
            <sz val="10"/>
            <color rgb="FF000000"/>
            <rFont val="Tahoma"/>
            <family val="2"/>
          </rPr>
          <t>"</t>
        </r>
        <r>
          <rPr>
            <sz val="10"/>
            <color rgb="FF000000"/>
            <rFont val="Calibri"/>
            <family val="2"/>
          </rPr>
          <t>data from the nationwide rapid antigen test-based screening programme provided by the Federal Ministry of Education, Science and Research"</t>
        </r>
      </text>
    </comment>
    <comment ref="X63" authorId="0" shapeId="0" xr:uid="{1F0B1915-FADE-9145-B109-A2BA71C3E352}">
      <text>
        <r>
          <rPr>
            <sz val="10"/>
            <color rgb="FF000000"/>
            <rFont val="Tahoma"/>
            <family val="2"/>
          </rPr>
          <t>different Ag-RDTs used (</t>
        </r>
        <r>
          <rPr>
            <sz val="10"/>
            <color rgb="FF000000"/>
            <rFont val="Calibri"/>
            <family val="2"/>
          </rPr>
          <t>Lepu Medical SARS-CoV-2 Antigen Rapid Test and Flowflex SARS- CoV-2 Antigen Rapid Test)</t>
        </r>
      </text>
    </comment>
    <comment ref="AA63" authorId="0" shapeId="0" xr:uid="{CA8091A5-1958-694C-8C50-A32E38CAEEB6}">
      <text>
        <r>
          <rPr>
            <sz val="10"/>
            <color rgb="FF000000"/>
            <rFont val="Tahoma"/>
            <family val="2"/>
          </rPr>
          <t>relied on reporting from study participants</t>
        </r>
      </text>
    </comment>
    <comment ref="AF63" authorId="0" shapeId="0" xr:uid="{7EBA695A-BA6F-4F4B-918E-9AE93FD941B7}">
      <text>
        <r>
          <rPr>
            <sz val="10"/>
            <color rgb="FF000000"/>
            <rFont val="Tahoma"/>
            <family val="2"/>
          </rPr>
          <t>count-related</t>
        </r>
      </text>
    </comment>
    <comment ref="D64" authorId="0" shapeId="0" xr:uid="{BA912309-A385-3C4D-9B42-43A4E7714D77}">
      <text>
        <r>
          <rPr>
            <sz val="10"/>
            <color rgb="FF000000"/>
            <rFont val="Tahoma"/>
            <family val="2"/>
          </rPr>
          <t>self-testing was conducted on people with unknown SARS-CoV-2 status</t>
        </r>
      </text>
    </comment>
    <comment ref="F64" authorId="0" shapeId="0" xr:uid="{BD433CC8-B9DC-C74F-BE9E-4DD973C837FA}">
      <text>
        <r>
          <rPr>
            <sz val="10"/>
            <color rgb="FF000000"/>
            <rFont val="Tahoma"/>
            <family val="2"/>
          </rPr>
          <t>testing was mandatory by employer</t>
        </r>
      </text>
    </comment>
    <comment ref="G64" authorId="0" shapeId="0" xr:uid="{773EC07B-48DC-4042-92C1-EBBBBC910280}">
      <text>
        <r>
          <rPr>
            <sz val="10"/>
            <color rgb="FF000000"/>
            <rFont val="Tahoma"/>
            <family val="2"/>
          </rPr>
          <t>before-after comparison</t>
        </r>
      </text>
    </comment>
    <comment ref="I64" authorId="0" shapeId="0" xr:uid="{442AEEA2-6710-4B4C-BC97-749C5A8102BE}">
      <text>
        <r>
          <rPr>
            <sz val="10"/>
            <color rgb="FF000000"/>
            <rFont val="Tahoma"/>
            <family val="2"/>
          </rPr>
          <t>before-after comparison</t>
        </r>
      </text>
    </comment>
    <comment ref="J64" authorId="0" shapeId="0" xr:uid="{5FCA82CF-4613-B843-9359-332879683531}">
      <text>
        <r>
          <rPr>
            <sz val="10"/>
            <color rgb="FF000000"/>
            <rFont val="Tahoma"/>
            <family val="2"/>
          </rPr>
          <t>before-after comparison</t>
        </r>
      </text>
    </comment>
    <comment ref="L64" authorId="0" shapeId="0" xr:uid="{8DF884D4-907D-0041-8C75-1BF6A640303F}">
      <text>
        <r>
          <rPr>
            <sz val="10"/>
            <color rgb="FF000000"/>
            <rFont val="Tahoma"/>
            <family val="2"/>
          </rPr>
          <t>before-after comparison</t>
        </r>
      </text>
    </comment>
    <comment ref="M64" authorId="0" shapeId="0" xr:uid="{E1147A87-0D77-EC48-B63D-B13EACB2071A}">
      <text>
        <r>
          <rPr>
            <sz val="10"/>
            <color rgb="FF000000"/>
            <rFont val="Tahoma"/>
            <family val="2"/>
          </rPr>
          <t>before-after comparison</t>
        </r>
      </text>
    </comment>
    <comment ref="O64" authorId="0" shapeId="0" xr:uid="{E939BCE2-99A2-1F45-B879-99BD858D1E34}">
      <text>
        <r>
          <rPr>
            <sz val="10"/>
            <color rgb="FF000000"/>
            <rFont val="Tahoma"/>
            <family val="2"/>
          </rPr>
          <t>before-after comparison</t>
        </r>
      </text>
    </comment>
    <comment ref="P64" authorId="0" shapeId="0" xr:uid="{623854CD-F1F7-534C-B1FE-688FD8568125}">
      <text>
        <r>
          <rPr>
            <sz val="10"/>
            <color rgb="FF000000"/>
            <rFont val="Tahoma"/>
            <family val="2"/>
          </rPr>
          <t>testing twice weekly (unless symptomatic)</t>
        </r>
      </text>
    </comment>
    <comment ref="S64" authorId="0" shapeId="0" xr:uid="{4FAEEFF3-520C-FF48-AFC4-4702FEB7E070}">
      <text>
        <r>
          <rPr>
            <sz val="10"/>
            <color rgb="FF000000"/>
            <rFont val="Tahoma"/>
            <family val="2"/>
          </rPr>
          <t>total # of Ag-RDT results reported</t>
        </r>
      </text>
    </comment>
    <comment ref="V64" authorId="0" shapeId="0" xr:uid="{4B80ED65-1E9A-8F44-93AD-66733FE14762}">
      <text>
        <r>
          <rPr>
            <sz val="10"/>
            <color rgb="FF000000"/>
            <rFont val="Tahoma"/>
            <family val="2"/>
          </rPr>
          <t># of people eligible reported</t>
        </r>
      </text>
    </comment>
    <comment ref="X64" authorId="0" shapeId="0" xr:uid="{9489DEBC-F4C1-1F41-8AEF-4EBCF2D6BEE6}">
      <text>
        <r>
          <rPr>
            <sz val="10"/>
            <color rgb="FF000000"/>
            <rFont val="Tahoma"/>
            <family val="2"/>
          </rPr>
          <t>testing was mandatory by employer</t>
        </r>
      </text>
    </comment>
    <comment ref="AA64" authorId="0" shapeId="0" xr:uid="{64BFC8D7-A5D1-C74C-902D-26F84CF89E33}">
      <text>
        <r>
          <rPr>
            <sz val="10"/>
            <color rgb="FF000000"/>
            <rFont val="Tahoma"/>
            <family val="2"/>
          </rPr>
          <t>participants had to submit a picture of their test result</t>
        </r>
      </text>
    </comment>
    <comment ref="AD64" authorId="0" shapeId="0" xr:uid="{511B47F6-D2D3-4540-94F1-8DB3CF95FE89}">
      <text>
        <r>
          <rPr>
            <sz val="10"/>
            <color rgb="FF000000"/>
            <rFont val="Tahoma"/>
            <family val="2"/>
          </rPr>
          <t>no details on the mode of test distribution</t>
        </r>
      </text>
    </comment>
    <comment ref="AF64" authorId="0" shapeId="0" xr:uid="{91B54D72-5952-794E-952E-BAA42FF0E3EE}">
      <text>
        <r>
          <rPr>
            <sz val="10"/>
            <color rgb="FF000000"/>
            <rFont val="Tahoma"/>
            <family val="2"/>
          </rPr>
          <t>count-related</t>
        </r>
      </text>
    </comment>
    <comment ref="AH64" authorId="0" shapeId="0" xr:uid="{29F45D2D-3094-6D4C-95AB-60C02F75D2F3}">
      <text>
        <r>
          <rPr>
            <sz val="10"/>
            <color rgb="FF000000"/>
            <rFont val="Tahoma"/>
            <family val="2"/>
          </rPr>
          <t>count-related</t>
        </r>
      </text>
    </comment>
    <comment ref="D65" authorId="0" shapeId="0" xr:uid="{CC77C171-3DE4-FA46-B26C-90A21B33CD86}">
      <text>
        <r>
          <rPr>
            <sz val="10"/>
            <color rgb="FF000000"/>
            <rFont val="Tahoma"/>
            <family val="2"/>
          </rPr>
          <t>self-testing was conducted on people with unknown SARS-CoV-2 status</t>
        </r>
      </text>
    </comment>
    <comment ref="G65" authorId="0" shapeId="0" xr:uid="{93C79CE5-1F9A-C247-A8F5-AF9604971147}">
      <text>
        <r>
          <rPr>
            <sz val="10"/>
            <color rgb="FF000000"/>
            <rFont val="Tahoma"/>
            <family val="2"/>
          </rPr>
          <t>before-after comparison</t>
        </r>
      </text>
    </comment>
    <comment ref="J65" authorId="0" shapeId="0" xr:uid="{FC6DFC80-5D26-F742-BAD2-CBDCA4357E63}">
      <text>
        <r>
          <rPr>
            <sz val="10"/>
            <color rgb="FF000000"/>
            <rFont val="Tahoma"/>
            <family val="2"/>
          </rPr>
          <t>before-after comparison</t>
        </r>
      </text>
    </comment>
    <comment ref="M65" authorId="0" shapeId="0" xr:uid="{2DDFA9BA-5A47-E940-A5C2-DD4D4537DC42}">
      <text>
        <r>
          <rPr>
            <sz val="10"/>
            <color rgb="FF000000"/>
            <rFont val="Tahoma"/>
            <family val="2"/>
          </rPr>
          <t>before-after comparison</t>
        </r>
      </text>
    </comment>
    <comment ref="P65" authorId="0" shapeId="0" xr:uid="{42C22DF3-88E5-1646-B533-1CBF4901C5DA}">
      <text>
        <r>
          <rPr>
            <sz val="10"/>
            <color rgb="FF000000"/>
            <rFont val="Tahoma"/>
            <family val="34"/>
          </rPr>
          <t>testing twice weekly (and after contact)</t>
        </r>
      </text>
    </comment>
    <comment ref="S65" authorId="0" shapeId="0" xr:uid="{4D48D54C-7F55-434F-99B5-2E10126A6E91}">
      <text>
        <r>
          <rPr>
            <sz val="10"/>
            <color rgb="FF000000"/>
            <rFont val="Tahoma"/>
            <family val="2"/>
          </rPr>
          <t>public health data bases (COVID-19 information management system)</t>
        </r>
      </text>
    </comment>
    <comment ref="X65" authorId="0" shapeId="0" xr:uid="{59B75440-2240-C249-A7EC-DA3D218E4F6C}">
      <text>
        <r>
          <rPr>
            <sz val="10"/>
            <color rgb="FF000000"/>
            <rFont val="Tahoma"/>
            <family val="2"/>
          </rPr>
          <t>different Ag-RDTs used</t>
        </r>
      </text>
    </comment>
    <comment ref="AA65" authorId="0" shapeId="0" xr:uid="{AEC0D238-8ECC-4A49-B3B2-62EBBE5643C2}">
      <text>
        <r>
          <rPr>
            <sz val="10"/>
            <color rgb="FF000000"/>
            <rFont val="Tahoma"/>
            <family val="2"/>
          </rPr>
          <t>results were reported via an app, no details on whether a picture or alike was required</t>
        </r>
      </text>
    </comment>
    <comment ref="AF65" authorId="0" shapeId="0" xr:uid="{7D824F6A-3C7F-3749-9C89-C03EA02F3B5D}">
      <text>
        <r>
          <rPr>
            <sz val="10"/>
            <color rgb="FF000000"/>
            <rFont val="Tahoma"/>
            <family val="2"/>
          </rPr>
          <t>count-related</t>
        </r>
      </text>
    </comment>
    <comment ref="D66" authorId="0" shapeId="0" xr:uid="{7BD07D7C-6650-0A47-ADBC-8049CFA33A3F}">
      <text>
        <r>
          <rPr>
            <sz val="10"/>
            <color rgb="FF000000"/>
            <rFont val="Tahoma"/>
            <family val="2"/>
          </rPr>
          <t>self-testing was conducted on people with unknown SARS-CoV-2 status</t>
        </r>
      </text>
    </comment>
    <comment ref="G66" authorId="0" shapeId="0" xr:uid="{60B6DEEC-6ED0-1440-8BB1-CB6483E5A1F2}">
      <text>
        <r>
          <rPr>
            <sz val="10"/>
            <color rgb="FF000000"/>
            <rFont val="Tahoma"/>
            <family val="2"/>
          </rPr>
          <t>before-after comparison</t>
        </r>
      </text>
    </comment>
    <comment ref="J66" authorId="0" shapeId="0" xr:uid="{5CFD8D0E-FDB3-EF47-9DF7-D130C1891D70}">
      <text>
        <r>
          <rPr>
            <sz val="10"/>
            <color rgb="FF000000"/>
            <rFont val="Tahoma"/>
            <family val="2"/>
          </rPr>
          <t>before-after comparison</t>
        </r>
      </text>
    </comment>
    <comment ref="M66" authorId="0" shapeId="0" xr:uid="{44BB27C0-B9AF-4E4D-8752-2CFC182444EA}">
      <text>
        <r>
          <rPr>
            <sz val="10"/>
            <color rgb="FF000000"/>
            <rFont val="Tahoma"/>
            <family val="2"/>
          </rPr>
          <t>before-after comparison</t>
        </r>
      </text>
    </comment>
    <comment ref="P66" authorId="0" shapeId="0" xr:uid="{AB35D473-7959-2F4A-B922-0CFEFC459E26}">
      <text>
        <r>
          <rPr>
            <sz val="10"/>
            <color rgb="FF000000"/>
            <rFont val="Tahoma"/>
            <family val="34"/>
          </rPr>
          <t>testing twice weekly (and after contact)</t>
        </r>
      </text>
    </comment>
    <comment ref="S66" authorId="0" shapeId="0" xr:uid="{05A7C8C8-0928-8B49-8DE8-22083F9A4CAE}">
      <text>
        <r>
          <rPr>
            <sz val="10"/>
            <color rgb="FF000000"/>
            <rFont val="Tahoma"/>
            <family val="2"/>
          </rPr>
          <t>public health data bases (COVID-19 information management system)</t>
        </r>
      </text>
    </comment>
    <comment ref="X66" authorId="0" shapeId="0" xr:uid="{3FEE0654-D54D-F641-AA54-1AD022DE81B5}">
      <text>
        <r>
          <rPr>
            <sz val="10"/>
            <color rgb="FF000000"/>
            <rFont val="Tahoma"/>
            <family val="2"/>
          </rPr>
          <t>different Ag-RDTs used</t>
        </r>
      </text>
    </comment>
    <comment ref="AA66" authorId="0" shapeId="0" xr:uid="{5B6243B5-48DC-5E4E-AFB1-917BEA6FF938}">
      <text>
        <r>
          <rPr>
            <sz val="10"/>
            <color rgb="FF000000"/>
            <rFont val="Tahoma"/>
            <family val="2"/>
          </rPr>
          <t>results were reported via an app, no details on whether a picture or alike was required</t>
        </r>
      </text>
    </comment>
    <comment ref="AF66" authorId="0" shapeId="0" xr:uid="{E47EBFC4-C069-8C4F-8A7F-E67994281AB2}">
      <text>
        <r>
          <rPr>
            <sz val="10"/>
            <color rgb="FF000000"/>
            <rFont val="Tahoma"/>
            <family val="2"/>
          </rPr>
          <t>count-related</t>
        </r>
      </text>
    </comment>
    <comment ref="D67" authorId="0" shapeId="0" xr:uid="{BA4ED4D3-8FFE-0747-A0B5-0EE997D4DD67}">
      <text>
        <r>
          <rPr>
            <sz val="10"/>
            <color rgb="FF000000"/>
            <rFont val="Tahoma"/>
            <family val="2"/>
          </rPr>
          <t>self-testing was conducted on people with unknown SARS-CoV-2 status</t>
        </r>
      </text>
    </comment>
    <comment ref="G67" authorId="0" shapeId="0" xr:uid="{923C372C-7F9B-9541-8BFF-48E70909B36B}">
      <text>
        <r>
          <rPr>
            <sz val="10"/>
            <color rgb="FF000000"/>
            <rFont val="Tahoma"/>
            <family val="2"/>
          </rPr>
          <t>before-after comparison</t>
        </r>
      </text>
    </comment>
    <comment ref="J67" authorId="0" shapeId="0" xr:uid="{5A14D839-6FB5-2C4C-B3E5-B7729C4B0176}">
      <text>
        <r>
          <rPr>
            <sz val="10"/>
            <color rgb="FF000000"/>
            <rFont val="Tahoma"/>
            <family val="2"/>
          </rPr>
          <t>before-after comparison</t>
        </r>
      </text>
    </comment>
    <comment ref="M67" authorId="0" shapeId="0" xr:uid="{AFFF19EC-07BD-D744-901F-644815093017}">
      <text>
        <r>
          <rPr>
            <sz val="10"/>
            <color rgb="FF000000"/>
            <rFont val="Tahoma"/>
            <family val="2"/>
          </rPr>
          <t>before-after comparison</t>
        </r>
      </text>
    </comment>
    <comment ref="P67" authorId="0" shapeId="0" xr:uid="{D6678450-2BF3-724C-9A57-5F274E1D8BE5}">
      <text>
        <r>
          <rPr>
            <sz val="10"/>
            <color rgb="FF000000"/>
            <rFont val="Tahoma"/>
            <family val="34"/>
          </rPr>
          <t>testing twice weekly (and after contact)</t>
        </r>
      </text>
    </comment>
    <comment ref="S67" authorId="0" shapeId="0" xr:uid="{A432A074-525E-DF4D-AFAF-52C4C945F538}">
      <text>
        <r>
          <rPr>
            <sz val="10"/>
            <color rgb="FF000000"/>
            <rFont val="Tahoma"/>
            <family val="2"/>
          </rPr>
          <t>public health data bases (COVID-19 information management system)</t>
        </r>
      </text>
    </comment>
    <comment ref="X67" authorId="0" shapeId="0" xr:uid="{E02801F4-E374-FC4B-B04F-5C0767474E4C}">
      <text>
        <r>
          <rPr>
            <sz val="10"/>
            <color rgb="FF000000"/>
            <rFont val="Tahoma"/>
            <family val="2"/>
          </rPr>
          <t>different Ag-RDTs used</t>
        </r>
      </text>
    </comment>
    <comment ref="AA67" authorId="0" shapeId="0" xr:uid="{05239E43-AB60-F744-9119-6FFBC2D53B9F}">
      <text>
        <r>
          <rPr>
            <sz val="10"/>
            <color rgb="FF000000"/>
            <rFont val="Tahoma"/>
            <family val="2"/>
          </rPr>
          <t>results were reported via an app, no details on whether a picture or alike was required</t>
        </r>
      </text>
    </comment>
    <comment ref="AF67" authorId="0" shapeId="0" xr:uid="{2CB58679-67A9-B549-9189-1DACF04A776C}">
      <text>
        <r>
          <rPr>
            <sz val="10"/>
            <color rgb="FF000000"/>
            <rFont val="Tahoma"/>
            <family val="2"/>
          </rPr>
          <t>count-related</t>
        </r>
      </text>
    </comment>
    <comment ref="D68" authorId="0" shapeId="0" xr:uid="{1E5CC26E-3F0A-904E-8A82-62E361400DFB}">
      <text>
        <r>
          <rPr>
            <sz val="10"/>
            <color rgb="FF000000"/>
            <rFont val="Tahoma"/>
            <family val="2"/>
          </rPr>
          <t>self-testing was conducted on people with unknown SARS-CoV-2 status</t>
        </r>
      </text>
    </comment>
    <comment ref="G68" authorId="0" shapeId="0" xr:uid="{0E805E6D-7F99-394A-8F71-B83F5A32AF4E}">
      <text>
        <r>
          <rPr>
            <sz val="10"/>
            <color rgb="FF000000"/>
            <rFont val="Tahoma"/>
            <family val="2"/>
          </rPr>
          <t>before-after comparison</t>
        </r>
      </text>
    </comment>
    <comment ref="J68" authorId="0" shapeId="0" xr:uid="{664D6C64-594E-D849-B092-1D1C06356AB8}">
      <text>
        <r>
          <rPr>
            <sz val="10"/>
            <color rgb="FF000000"/>
            <rFont val="Tahoma"/>
            <family val="2"/>
          </rPr>
          <t>before-after comparison</t>
        </r>
      </text>
    </comment>
    <comment ref="M68" authorId="0" shapeId="0" xr:uid="{F08EB687-A6F9-6043-97A0-AE69A194D213}">
      <text>
        <r>
          <rPr>
            <sz val="10"/>
            <color rgb="FF000000"/>
            <rFont val="Tahoma"/>
            <family val="2"/>
          </rPr>
          <t>before-after comparison</t>
        </r>
      </text>
    </comment>
    <comment ref="P68" authorId="0" shapeId="0" xr:uid="{BAF03A38-5094-0740-9609-6C2DF92A1CDC}">
      <text>
        <r>
          <rPr>
            <sz val="10"/>
            <color rgb="FF000000"/>
            <rFont val="Tahoma"/>
            <family val="34"/>
          </rPr>
          <t>testing twice weekly (and after contact)</t>
        </r>
      </text>
    </comment>
    <comment ref="S68" authorId="0" shapeId="0" xr:uid="{A8D3DFC5-4262-1649-98A3-035FB0819989}">
      <text>
        <r>
          <rPr>
            <sz val="10"/>
            <color rgb="FF000000"/>
            <rFont val="Tahoma"/>
            <family val="2"/>
          </rPr>
          <t>public health data bases (COVID-19 information management system)</t>
        </r>
      </text>
    </comment>
    <comment ref="X68" authorId="0" shapeId="0" xr:uid="{F8516BF9-B2D8-2046-A39C-058031AE2979}">
      <text>
        <r>
          <rPr>
            <sz val="10"/>
            <color rgb="FF000000"/>
            <rFont val="Tahoma"/>
            <family val="2"/>
          </rPr>
          <t>different Ag-RDTs used</t>
        </r>
      </text>
    </comment>
    <comment ref="AA68" authorId="0" shapeId="0" xr:uid="{CCFD0AA0-927E-EA45-928D-909D3F221E28}">
      <text>
        <r>
          <rPr>
            <sz val="10"/>
            <color rgb="FF000000"/>
            <rFont val="Tahoma"/>
            <family val="2"/>
          </rPr>
          <t>results were reported via an app, no details on whether a picture or alike was required</t>
        </r>
      </text>
    </comment>
    <comment ref="AF68" authorId="0" shapeId="0" xr:uid="{DF7A2769-9FA4-1346-A943-E86104226385}">
      <text>
        <r>
          <rPr>
            <sz val="10"/>
            <color rgb="FF000000"/>
            <rFont val="Tahoma"/>
            <family val="2"/>
          </rPr>
          <t>count-related</t>
        </r>
      </text>
    </comment>
    <comment ref="D69" authorId="0" shapeId="0" xr:uid="{C15FD40B-8494-9844-9D71-B3F0143680C2}">
      <text>
        <r>
          <rPr>
            <sz val="10"/>
            <color rgb="FF000000"/>
            <rFont val="Tahoma"/>
            <family val="2"/>
          </rPr>
          <t>self-testing was conducted on people with unknown SARS-CoV-2 status</t>
        </r>
      </text>
    </comment>
    <comment ref="G69" authorId="0" shapeId="0" xr:uid="{63BD4E0F-15B6-3F4A-AA6E-3AD5F8E49199}">
      <text>
        <r>
          <rPr>
            <sz val="10"/>
            <color rgb="FF000000"/>
            <rFont val="Tahoma"/>
            <family val="2"/>
          </rPr>
          <t>before-after comparison</t>
        </r>
      </text>
    </comment>
    <comment ref="J69" authorId="0" shapeId="0" xr:uid="{080BCB6C-3877-3048-9896-7A7AB3FEFC26}">
      <text>
        <r>
          <rPr>
            <sz val="10"/>
            <color rgb="FF000000"/>
            <rFont val="Tahoma"/>
            <family val="2"/>
          </rPr>
          <t>before-after comparison</t>
        </r>
      </text>
    </comment>
    <comment ref="M69" authorId="0" shapeId="0" xr:uid="{AB54DCF2-B8F9-CC4D-B402-2C8E9DD83016}">
      <text>
        <r>
          <rPr>
            <sz val="10"/>
            <color rgb="FF000000"/>
            <rFont val="Tahoma"/>
            <family val="2"/>
          </rPr>
          <t>before-after comparison</t>
        </r>
      </text>
    </comment>
    <comment ref="P69" authorId="0" shapeId="0" xr:uid="{420B565D-21A9-244C-ADF1-03B246349070}">
      <text>
        <r>
          <rPr>
            <sz val="10"/>
            <color rgb="FF000000"/>
            <rFont val="Tahoma"/>
            <family val="2"/>
          </rPr>
          <t>daily testing for one week</t>
        </r>
      </text>
    </comment>
    <comment ref="S69" authorId="0" shapeId="0" xr:uid="{12CE4E07-9EB1-F448-9CDB-74FFCD152076}">
      <text>
        <r>
          <rPr>
            <sz val="10"/>
            <color rgb="FF000000"/>
            <rFont val="Tahoma"/>
            <family val="2"/>
          </rPr>
          <t>total # of Ag-RDTs reported</t>
        </r>
      </text>
    </comment>
    <comment ref="X69" authorId="0" shapeId="0" xr:uid="{95E0D352-F17A-1D4C-8ACF-C0F3E774B633}">
      <text>
        <r>
          <rPr>
            <sz val="10"/>
            <color rgb="FF000000"/>
            <rFont val="Tahoma"/>
            <family val="2"/>
          </rPr>
          <t>Unclear antigen test, sample type, and testing regime.</t>
        </r>
      </text>
    </comment>
    <comment ref="AA69" authorId="0" shapeId="0" xr:uid="{60DD15DC-DB31-DC4F-AA39-03164CB76D15}">
      <text>
        <r>
          <rPr>
            <sz val="10"/>
            <color rgb="FF000000"/>
            <rFont val="Tahoma"/>
            <family val="2"/>
          </rPr>
          <t>supervised testing</t>
        </r>
      </text>
    </comment>
    <comment ref="AF69" authorId="0" shapeId="0" xr:uid="{1AE1DF90-A4A1-0D4D-A3C3-956199AAB0BC}">
      <text>
        <r>
          <rPr>
            <sz val="10"/>
            <color rgb="FF000000"/>
            <rFont val="Tahoma"/>
            <family val="2"/>
          </rPr>
          <t>count-related</t>
        </r>
      </text>
    </comment>
    <comment ref="A70" authorId="0" shapeId="0" xr:uid="{5255FD23-7007-1F4E-8B40-43AFC733F3EB}">
      <text>
        <r>
          <rPr>
            <sz val="10"/>
            <color rgb="FF000000"/>
            <rFont val="Tahoma"/>
            <family val="2"/>
          </rPr>
          <t>Smartphone study</t>
        </r>
      </text>
    </comment>
    <comment ref="F70" authorId="0" shapeId="0" xr:uid="{F756B77A-C7A0-5845-8D40-32B730D363B1}">
      <text>
        <r>
          <rPr>
            <sz val="10"/>
            <color rgb="FF000000"/>
            <rFont val="Tahoma"/>
            <family val="2"/>
          </rPr>
          <t>testing was voluntary</t>
        </r>
      </text>
    </comment>
    <comment ref="I70" authorId="0" shapeId="0" xr:uid="{F940B53E-B927-D149-AEF7-0F31D4617886}">
      <text>
        <r>
          <rPr>
            <sz val="10"/>
            <color rgb="FF000000"/>
            <rFont val="Tahoma"/>
            <family val="2"/>
          </rPr>
          <t>before-after comparison</t>
        </r>
      </text>
    </comment>
    <comment ref="L70" authorId="0" shapeId="0" xr:uid="{30527B01-2FBF-9D40-B070-21756BBF8523}">
      <text>
        <r>
          <rPr>
            <sz val="10"/>
            <color rgb="FF000000"/>
            <rFont val="Tahoma"/>
            <family val="2"/>
          </rPr>
          <t>before-after comparison</t>
        </r>
      </text>
    </comment>
    <comment ref="O70" authorId="0" shapeId="0" xr:uid="{F9D78C7D-3C4F-9849-8DFA-78E7F133C540}">
      <text>
        <r>
          <rPr>
            <sz val="10"/>
            <color rgb="FF000000"/>
            <rFont val="Tahoma"/>
            <family val="2"/>
          </rPr>
          <t>before-after comparison</t>
        </r>
      </text>
    </comment>
    <comment ref="V70" authorId="0" shapeId="0" xr:uid="{CE38A1D2-B6AD-4948-AD8C-84B76F651553}">
      <text>
        <r>
          <rPr>
            <sz val="10"/>
            <color rgb="FF000000"/>
            <rFont val="Tahoma"/>
            <family val="2"/>
          </rPr>
          <t># of people eligible reported</t>
        </r>
      </text>
    </comment>
    <comment ref="W70" authorId="0" shapeId="0" xr:uid="{E91C1357-A0B9-E844-8401-E6516B6A42EC}">
      <text>
        <r>
          <rPr>
            <sz val="10"/>
            <color rgb="FF000000"/>
            <rFont val="Tahoma"/>
            <family val="2"/>
          </rPr>
          <t>number of people reporting self-testing defined</t>
        </r>
      </text>
    </comment>
    <comment ref="AD70" authorId="0" shapeId="0" xr:uid="{EF2E7308-35BE-B647-806F-FD1493083A05}">
      <text>
        <r>
          <rPr>
            <sz val="10"/>
            <color rgb="FF000000"/>
            <rFont val="Tahoma"/>
            <family val="2"/>
          </rPr>
          <t>test kits were sent via mail by study team</t>
        </r>
      </text>
    </comment>
    <comment ref="AE70" authorId="0" shapeId="0" xr:uid="{656087E6-1AAC-A44D-8007-B69805FEC846}">
      <text>
        <r>
          <rPr>
            <sz val="10"/>
            <color rgb="FF000000"/>
            <rFont val="Tahoma"/>
            <family val="2"/>
          </rPr>
          <t>no details on manner of result reporting</t>
        </r>
      </text>
    </comment>
    <comment ref="AH70" authorId="0" shapeId="0" xr:uid="{9F96C96D-A768-A745-87B0-DFE3178872F6}">
      <text>
        <r>
          <rPr>
            <sz val="10"/>
            <color rgb="FF000000"/>
            <rFont val="Tahoma"/>
            <family val="2"/>
          </rPr>
          <t>count-related</t>
        </r>
      </text>
    </comment>
    <comment ref="F71" authorId="0" shapeId="0" xr:uid="{4EC348DB-71C0-F24A-8EEA-BFF7A8EED444}">
      <text>
        <r>
          <rPr>
            <sz val="10"/>
            <color rgb="FF000000"/>
            <rFont val="Tahoma"/>
            <family val="2"/>
          </rPr>
          <t>testing was voluntary</t>
        </r>
      </text>
    </comment>
    <comment ref="I71" authorId="0" shapeId="0" xr:uid="{C88674EB-5163-AF47-AFBB-2113CF4F8B65}">
      <text>
        <r>
          <rPr>
            <sz val="10"/>
            <color rgb="FF000000"/>
            <rFont val="Tahoma"/>
            <family val="2"/>
          </rPr>
          <t>before-after comparison</t>
        </r>
      </text>
    </comment>
    <comment ref="L71" authorId="0" shapeId="0" xr:uid="{0619F408-D12C-F342-AF62-177A523F83FE}">
      <text>
        <r>
          <rPr>
            <sz val="10"/>
            <color rgb="FF000000"/>
            <rFont val="Tahoma"/>
            <family val="2"/>
          </rPr>
          <t>before-after comparison</t>
        </r>
      </text>
    </comment>
    <comment ref="O71" authorId="0" shapeId="0" xr:uid="{25F379B8-FEFD-AB41-8104-F7FD2C8D3B5C}">
      <text>
        <r>
          <rPr>
            <sz val="10"/>
            <color rgb="FF000000"/>
            <rFont val="Tahoma"/>
            <family val="2"/>
          </rPr>
          <t>before-after comparison</t>
        </r>
      </text>
    </comment>
    <comment ref="V71" authorId="0" shapeId="0" xr:uid="{A3150CE6-8718-A848-9BBA-516142C7A95F}">
      <text>
        <r>
          <rPr>
            <sz val="10"/>
            <color rgb="FF000000"/>
            <rFont val="Tahoma"/>
            <family val="2"/>
          </rPr>
          <t># of people eligible reported</t>
        </r>
      </text>
    </comment>
    <comment ref="AD71" authorId="0" shapeId="0" xr:uid="{4E6493EC-1016-AB4B-A568-EE867C2AECDA}">
      <text>
        <r>
          <rPr>
            <sz val="10"/>
            <color rgb="FF000000"/>
            <rFont val="Tahoma"/>
            <family val="2"/>
          </rPr>
          <t>no details on the mode of test distribution</t>
        </r>
      </text>
    </comment>
    <comment ref="AH71" authorId="0" shapeId="0" xr:uid="{C06298D3-7D10-2645-AF06-B86E301ED7B6}">
      <text>
        <r>
          <rPr>
            <sz val="10"/>
            <color rgb="FF000000"/>
            <rFont val="Tahoma"/>
            <family val="2"/>
          </rPr>
          <t>count-related</t>
        </r>
      </text>
    </comment>
    <comment ref="D72" authorId="0" shapeId="0" xr:uid="{496B2D71-C942-CA4D-91E0-619058DFFE68}">
      <text>
        <r>
          <rPr>
            <sz val="10"/>
            <color rgb="FF000000"/>
            <rFont val="Tahoma"/>
            <family val="2"/>
          </rPr>
          <t>self-testing was conducted on people with unknown SARS-CoV-2 status</t>
        </r>
      </text>
    </comment>
    <comment ref="F72" authorId="0" shapeId="0" xr:uid="{42234B26-A2AE-F14E-8996-9F6D2F9F0A6B}">
      <text>
        <r>
          <rPr>
            <sz val="10"/>
            <color rgb="FF000000"/>
            <rFont val="Tahoma"/>
            <family val="2"/>
          </rPr>
          <t>testing was voluntary</t>
        </r>
      </text>
    </comment>
    <comment ref="G72" authorId="0" shapeId="0" xr:uid="{9F486FA7-AA3C-E64D-97D9-7A77D432880A}">
      <text>
        <r>
          <rPr>
            <sz val="10"/>
            <color rgb="FF000000"/>
            <rFont val="Tahoma"/>
            <family val="2"/>
          </rPr>
          <t>before-after comparison</t>
        </r>
      </text>
    </comment>
    <comment ref="I72" authorId="0" shapeId="0" xr:uid="{D0B514EC-2B81-3645-B2BC-7F4F4CA3770C}">
      <text>
        <r>
          <rPr>
            <sz val="10"/>
            <color rgb="FF000000"/>
            <rFont val="Tahoma"/>
            <family val="2"/>
          </rPr>
          <t>before-after comparison</t>
        </r>
      </text>
    </comment>
    <comment ref="J72" authorId="0" shapeId="0" xr:uid="{8C32E400-2505-7D44-A88A-2FC0FF6418AD}">
      <text>
        <r>
          <rPr>
            <sz val="10"/>
            <color rgb="FF000000"/>
            <rFont val="Tahoma"/>
            <family val="2"/>
          </rPr>
          <t>before-after comparison</t>
        </r>
      </text>
    </comment>
    <comment ref="L72" authorId="0" shapeId="0" xr:uid="{B0056E36-B652-EA44-B246-E38AC9C89E18}">
      <text>
        <r>
          <rPr>
            <sz val="10"/>
            <color rgb="FF000000"/>
            <rFont val="Tahoma"/>
            <family val="2"/>
          </rPr>
          <t>before-after comparison</t>
        </r>
      </text>
    </comment>
    <comment ref="M72" authorId="0" shapeId="0" xr:uid="{B0BC161F-E149-4548-BA46-8D956311075A}">
      <text>
        <r>
          <rPr>
            <sz val="10"/>
            <color rgb="FF000000"/>
            <rFont val="Tahoma"/>
            <family val="2"/>
          </rPr>
          <t>before-after comparison</t>
        </r>
      </text>
    </comment>
    <comment ref="O72" authorId="0" shapeId="0" xr:uid="{89703FC1-A231-7F43-9960-637B5B6A78BC}">
      <text>
        <r>
          <rPr>
            <sz val="10"/>
            <color rgb="FF000000"/>
            <rFont val="Tahoma"/>
            <family val="2"/>
          </rPr>
          <t>before-after comparison</t>
        </r>
      </text>
    </comment>
    <comment ref="P72" authorId="0" shapeId="0" xr:uid="{4155C32D-1548-BA42-BF90-1DF8518771BC}">
      <text>
        <r>
          <rPr>
            <sz val="10"/>
            <color rgb="FF000000"/>
            <rFont val="Tahoma"/>
            <family val="2"/>
          </rPr>
          <t>testing only occured once</t>
        </r>
      </text>
    </comment>
    <comment ref="S72" authorId="0" shapeId="0" xr:uid="{54ABA307-2A5C-074B-AD71-3BDC70070E45}">
      <text>
        <r>
          <rPr>
            <sz val="10"/>
            <color rgb="FF000000"/>
            <rFont val="Tahoma"/>
            <family val="2"/>
          </rPr>
          <t>total # of Ag-RDTs reported</t>
        </r>
      </text>
    </comment>
    <comment ref="W72" authorId="0" shapeId="0" xr:uid="{B030E3BE-5590-CA46-875F-71A5397A2A9A}">
      <text>
        <r>
          <rPr>
            <sz val="10"/>
            <color rgb="FF000000"/>
            <rFont val="Tahoma"/>
            <family val="2"/>
          </rPr>
          <t>number of individuals reporting test result defined</t>
        </r>
      </text>
    </comment>
    <comment ref="X72" authorId="0" shapeId="0" xr:uid="{C724DC57-73A4-6949-959B-B3C7AE37BDB1}">
      <text>
        <r>
          <rPr>
            <sz val="10"/>
            <color rgb="FF000000"/>
            <rFont val="Tahoma"/>
            <family val="2"/>
          </rPr>
          <t>Same type of Ag-RDT and sample type for all study participants. Study participants were only tested once.</t>
        </r>
      </text>
    </comment>
    <comment ref="AA72" authorId="0" shapeId="0" xr:uid="{161F0856-AFBC-8245-87EE-2B9E8D7E9012}">
      <text>
        <r>
          <rPr>
            <sz val="10"/>
            <color rgb="FF000000"/>
            <rFont val="Tahoma"/>
            <family val="2"/>
          </rPr>
          <t>participants had to submit a picture of their test result</t>
        </r>
      </text>
    </comment>
    <comment ref="AE72" authorId="0" shapeId="0" xr:uid="{A00E1654-2C14-9745-A442-58FD56358BC7}">
      <text>
        <r>
          <rPr>
            <sz val="10"/>
            <color rgb="FF000000"/>
            <rFont val="Tahoma"/>
            <family val="2"/>
          </rPr>
          <t>participants had to submit a picture of their test result</t>
        </r>
      </text>
    </comment>
    <comment ref="AF72" authorId="0" shapeId="0" xr:uid="{75CFD4AB-ACA6-914A-ABD7-792E40FF6D91}">
      <text>
        <r>
          <rPr>
            <sz val="10"/>
            <color rgb="FF000000"/>
            <rFont val="Tahoma"/>
            <family val="2"/>
          </rPr>
          <t>count-related</t>
        </r>
      </text>
    </comment>
    <comment ref="AH72" authorId="0" shapeId="0" xr:uid="{A7F26738-F806-504D-B255-650F46D9E5CC}">
      <text>
        <r>
          <rPr>
            <sz val="10"/>
            <color rgb="FF000000"/>
            <rFont val="Tahoma"/>
            <family val="2"/>
          </rPr>
          <t>count-related</t>
        </r>
      </text>
    </comment>
    <comment ref="D73" authorId="0" shapeId="0" xr:uid="{7E9048BF-4EE6-964A-80D1-EFF4041400A8}">
      <text>
        <r>
          <rPr>
            <sz val="10"/>
            <color rgb="FF000000"/>
            <rFont val="Tahoma"/>
            <family val="2"/>
          </rPr>
          <t>self-testing was conducted on people with unknown SARS-CoV-2 status</t>
        </r>
      </text>
    </comment>
    <comment ref="G73" authorId="0" shapeId="0" xr:uid="{8B10EBA2-71DE-7740-AB74-D87CB4F479C4}">
      <text>
        <r>
          <rPr>
            <sz val="10"/>
            <color rgb="FF000000"/>
            <rFont val="Tahoma"/>
            <family val="2"/>
          </rPr>
          <t>before-after comparison</t>
        </r>
      </text>
    </comment>
    <comment ref="J73" authorId="0" shapeId="0" xr:uid="{F17D63B9-6509-EF4E-B5D3-E330E67B398F}">
      <text>
        <r>
          <rPr>
            <sz val="10"/>
            <color rgb="FF000000"/>
            <rFont val="Tahoma"/>
            <family val="2"/>
          </rPr>
          <t>before-after comparison</t>
        </r>
      </text>
    </comment>
    <comment ref="M73" authorId="0" shapeId="0" xr:uid="{0D72C6BE-7E32-0A4F-B9F6-081035669169}">
      <text>
        <r>
          <rPr>
            <sz val="10"/>
            <color rgb="FF000000"/>
            <rFont val="Tahoma"/>
            <family val="2"/>
          </rPr>
          <t>before-after comparison</t>
        </r>
      </text>
    </comment>
    <comment ref="P73" authorId="0" shapeId="0" xr:uid="{E821AFB9-6F63-ED43-BE19-2CB1CF6382D3}">
      <text>
        <r>
          <rPr>
            <sz val="10"/>
            <color rgb="FF000000"/>
            <rFont val="Tahoma"/>
            <family val="2"/>
          </rPr>
          <t>testing only occured once</t>
        </r>
      </text>
    </comment>
    <comment ref="S73" authorId="0" shapeId="0" xr:uid="{5F3E7F52-2F69-DF4E-A0C1-4585E20DB8B0}">
      <text>
        <r>
          <rPr>
            <sz val="10"/>
            <color rgb="FF000000"/>
            <rFont val="Tahoma"/>
            <family val="2"/>
          </rPr>
          <t>total # of Ag-RDTs reported</t>
        </r>
      </text>
    </comment>
    <comment ref="X73" authorId="0" shapeId="0" xr:uid="{174453BB-D3A9-4440-83CA-077D7B0F5203}">
      <text>
        <r>
          <rPr>
            <sz val="10"/>
            <color rgb="FF000000"/>
            <rFont val="Tahoma"/>
            <family val="2"/>
          </rPr>
          <t>Same type of Ag-RDT and sample type for all study participants. Study participants were only tested once.</t>
        </r>
      </text>
    </comment>
    <comment ref="AA73" authorId="0" shapeId="0" xr:uid="{26732718-D756-924C-8F3E-FEDADC4686E3}">
      <text>
        <r>
          <rPr>
            <sz val="10"/>
            <color rgb="FF000000"/>
            <rFont val="Tahoma"/>
            <family val="2"/>
          </rPr>
          <t>participants had to submit a picture of their test result</t>
        </r>
      </text>
    </comment>
    <comment ref="AF73" authorId="0" shapeId="0" xr:uid="{2B604E6F-A88C-8F46-BE6D-443CBA727A81}">
      <text>
        <r>
          <rPr>
            <sz val="10"/>
            <color rgb="FF000000"/>
            <rFont val="Tahoma"/>
            <family val="2"/>
          </rPr>
          <t>count-related</t>
        </r>
      </text>
    </comment>
    <comment ref="D74" authorId="0" shapeId="0" xr:uid="{AC01DA19-8D91-6A4D-92F3-AD5126B69D09}">
      <text>
        <r>
          <rPr>
            <sz val="10"/>
            <color rgb="FF000000"/>
            <rFont val="Tahoma"/>
            <family val="2"/>
          </rPr>
          <t>self-testing was conducted on people with unknown SARS-CoV-2 status</t>
        </r>
      </text>
    </comment>
    <comment ref="G74" authorId="0" shapeId="0" xr:uid="{9C252F89-2B2F-974E-8224-8AA7D8C63829}">
      <text>
        <r>
          <rPr>
            <sz val="10"/>
            <color rgb="FF000000"/>
            <rFont val="Tahoma"/>
            <family val="2"/>
          </rPr>
          <t>before-after comparison</t>
        </r>
      </text>
    </comment>
    <comment ref="J74" authorId="0" shapeId="0" xr:uid="{04BD382C-5CA0-A84D-AEDA-5C97257B3BFA}">
      <text>
        <r>
          <rPr>
            <sz val="10"/>
            <color rgb="FF000000"/>
            <rFont val="Tahoma"/>
            <family val="2"/>
          </rPr>
          <t>before-after comparison</t>
        </r>
      </text>
    </comment>
    <comment ref="M74" authorId="0" shapeId="0" xr:uid="{2C53E2FE-3157-FB4C-8880-D3B8FABD2A2A}">
      <text>
        <r>
          <rPr>
            <sz val="10"/>
            <color rgb="FF000000"/>
            <rFont val="Tahoma"/>
            <family val="2"/>
          </rPr>
          <t>before-after comparison</t>
        </r>
      </text>
    </comment>
    <comment ref="P74" authorId="0" shapeId="0" xr:uid="{4119D639-D7A6-5A40-AFAD-2B975881FD26}">
      <text>
        <r>
          <rPr>
            <sz val="10"/>
            <color rgb="FF000000"/>
            <rFont val="Tahoma"/>
            <family val="2"/>
          </rPr>
          <t>unclear testing frequency</t>
        </r>
      </text>
    </comment>
    <comment ref="S74" authorId="0" shapeId="0" xr:uid="{5F5EAC85-F317-F540-A83F-6CD209D7491F}">
      <text>
        <r>
          <rPr>
            <sz val="10"/>
            <color rgb="FF000000"/>
            <rFont val="Tahoma"/>
            <family val="2"/>
          </rPr>
          <t>total # of Ag-RDTs reported</t>
        </r>
      </text>
    </comment>
    <comment ref="X74" authorId="0" shapeId="0" xr:uid="{ADDBE091-2BF6-7344-B879-77952FF27E79}">
      <text>
        <r>
          <rPr>
            <sz val="10"/>
            <color rgb="FF000000"/>
            <rFont val="Tahoma"/>
            <family val="2"/>
          </rPr>
          <t>Unclear antigen test, sample type, and testing regime.</t>
        </r>
      </text>
    </comment>
    <comment ref="AA74" authorId="0" shapeId="0" xr:uid="{73BE26F2-756F-EA4E-9DA9-2CA49189CAF0}">
      <text>
        <r>
          <rPr>
            <sz val="10"/>
            <color rgb="FF000000"/>
            <rFont val="Tahoma"/>
            <family val="2"/>
          </rPr>
          <t>results were reported via an online survey, requiring a picture or similar was not mentioned</t>
        </r>
      </text>
    </comment>
    <comment ref="AF74" authorId="0" shapeId="0" xr:uid="{931CFE69-532B-AD44-A339-CAD8CEAE2BDD}">
      <text>
        <r>
          <rPr>
            <sz val="10"/>
            <color rgb="FF000000"/>
            <rFont val="Tahoma"/>
            <family val="2"/>
          </rPr>
          <t>count-related</t>
        </r>
      </text>
    </comment>
    <comment ref="F75" authorId="0" shapeId="0" xr:uid="{D2C2DF91-15B9-1D4D-995B-BE28B4C190F0}">
      <text>
        <r>
          <rPr>
            <sz val="10"/>
            <color rgb="FF000000"/>
            <rFont val="Tahoma"/>
            <family val="2"/>
          </rPr>
          <t>testing was voluntary</t>
        </r>
      </text>
    </comment>
    <comment ref="I75" authorId="0" shapeId="0" xr:uid="{B3F61460-EBB8-9B4B-ADBF-F5424BE50EAF}">
      <text>
        <r>
          <rPr>
            <sz val="10"/>
            <color rgb="FF000000"/>
            <rFont val="Tahoma"/>
            <family val="2"/>
          </rPr>
          <t>before-after comparison</t>
        </r>
      </text>
    </comment>
    <comment ref="L75" authorId="0" shapeId="0" xr:uid="{C3FD60EE-C8FC-B748-892E-43DC2BA6A7C4}">
      <text>
        <r>
          <rPr>
            <sz val="10"/>
            <color rgb="FF000000"/>
            <rFont val="Tahoma"/>
            <family val="2"/>
          </rPr>
          <t>before-after comparison</t>
        </r>
      </text>
    </comment>
    <comment ref="O75" authorId="0" shapeId="0" xr:uid="{BF339B5C-546D-4D45-A908-1C52658A61CB}">
      <text>
        <r>
          <rPr>
            <sz val="10"/>
            <color rgb="FF000000"/>
            <rFont val="Tahoma"/>
            <family val="2"/>
          </rPr>
          <t>before-after comparison</t>
        </r>
      </text>
    </comment>
    <comment ref="V75" authorId="0" shapeId="0" xr:uid="{1D7FD37A-9963-4748-9F7F-34DA681C5873}">
      <text>
        <r>
          <rPr>
            <sz val="10"/>
            <color rgb="FF000000"/>
            <rFont val="Tahoma"/>
            <family val="2"/>
          </rPr>
          <t># of people eligible reported</t>
        </r>
      </text>
    </comment>
    <comment ref="AD75" authorId="0" shapeId="0" xr:uid="{7A83FE18-B6B5-CD41-8071-1C7045DBD003}">
      <text>
        <r>
          <rPr>
            <sz val="10"/>
            <color rgb="FF000000"/>
            <rFont val="Tahoma"/>
            <family val="2"/>
          </rPr>
          <t>no details on the mode of test distribution</t>
        </r>
      </text>
    </comment>
    <comment ref="AH75" authorId="0" shapeId="0" xr:uid="{7C41358A-E5BB-D748-A13B-7C2D6DE412B6}">
      <text>
        <r>
          <rPr>
            <sz val="10"/>
            <color rgb="FF000000"/>
            <rFont val="Tahoma"/>
            <family val="2"/>
          </rPr>
          <t>count-related</t>
        </r>
      </text>
    </comment>
    <comment ref="F76" authorId="0" shapeId="0" xr:uid="{977CE136-8AC9-2F4B-BE3D-8C1844BAF810}">
      <text>
        <r>
          <rPr>
            <sz val="10"/>
            <color rgb="FF000000"/>
            <rFont val="Tahoma"/>
            <family val="2"/>
          </rPr>
          <t>testing was voluntary</t>
        </r>
      </text>
    </comment>
    <comment ref="I76" authorId="0" shapeId="0" xr:uid="{781E7847-50D1-8543-8B8F-B23451206719}">
      <text>
        <r>
          <rPr>
            <sz val="10"/>
            <color rgb="FF000000"/>
            <rFont val="Tahoma"/>
            <family val="2"/>
          </rPr>
          <t>before-after comparison</t>
        </r>
      </text>
    </comment>
    <comment ref="L76" authorId="0" shapeId="0" xr:uid="{38C21B3E-3CC7-184D-AF99-74CDEC5EB56E}">
      <text>
        <r>
          <rPr>
            <sz val="10"/>
            <color rgb="FF000000"/>
            <rFont val="Tahoma"/>
            <family val="2"/>
          </rPr>
          <t>before-after comparison</t>
        </r>
      </text>
    </comment>
    <comment ref="O76" authorId="0" shapeId="0" xr:uid="{5BA7EB07-7FA0-CD41-8E98-C11CFBA9FE2D}">
      <text>
        <r>
          <rPr>
            <sz val="10"/>
            <color rgb="FF000000"/>
            <rFont val="Tahoma"/>
            <family val="2"/>
          </rPr>
          <t>before-after comparison</t>
        </r>
      </text>
    </comment>
    <comment ref="V76" authorId="0" shapeId="0" xr:uid="{E0E156D8-13C8-664D-A5C5-4E89925019BE}">
      <text>
        <r>
          <rPr>
            <sz val="10"/>
            <color rgb="FF000000"/>
            <rFont val="Tahoma"/>
            <family val="2"/>
          </rPr>
          <t># of people eligible reported</t>
        </r>
      </text>
    </comment>
    <comment ref="AD76" authorId="0" shapeId="0" xr:uid="{E66731D6-6AD1-0545-A55C-FCC920967970}">
      <text>
        <r>
          <rPr>
            <sz val="10"/>
            <color rgb="FF000000"/>
            <rFont val="Tahoma"/>
            <family val="2"/>
          </rPr>
          <t>no details on the mode of test distribution</t>
        </r>
      </text>
    </comment>
    <comment ref="AH76" authorId="0" shapeId="0" xr:uid="{173B60D4-A750-124B-9133-662FF3737D3A}">
      <text>
        <r>
          <rPr>
            <sz val="10"/>
            <color rgb="FF000000"/>
            <rFont val="Tahoma"/>
            <family val="2"/>
          </rPr>
          <t>count-related</t>
        </r>
      </text>
    </comment>
    <comment ref="F77" authorId="0" shapeId="0" xr:uid="{A2CE5119-2638-5448-AF44-F3C4869C0787}">
      <text>
        <r>
          <rPr>
            <sz val="10"/>
            <color rgb="FF000000"/>
            <rFont val="Tahoma"/>
            <family val="2"/>
          </rPr>
          <t>testing was voluntary</t>
        </r>
      </text>
    </comment>
    <comment ref="I77" authorId="0" shapeId="0" xr:uid="{C35274CA-FCB9-8C46-B565-81A1B9975635}">
      <text>
        <r>
          <rPr>
            <sz val="10"/>
            <color rgb="FF000000"/>
            <rFont val="Tahoma"/>
            <family val="2"/>
          </rPr>
          <t>before-after comparison</t>
        </r>
      </text>
    </comment>
    <comment ref="L77" authorId="0" shapeId="0" xr:uid="{363F638E-2CA4-7C4A-9DE8-664929A7104E}">
      <text>
        <r>
          <rPr>
            <sz val="10"/>
            <color rgb="FF000000"/>
            <rFont val="Tahoma"/>
            <family val="2"/>
          </rPr>
          <t>before-after comparison</t>
        </r>
      </text>
    </comment>
    <comment ref="O77" authorId="0" shapeId="0" xr:uid="{501B3D37-D0CC-FF4B-851D-2CF63B819740}">
      <text>
        <r>
          <rPr>
            <sz val="10"/>
            <color rgb="FF000000"/>
            <rFont val="Tahoma"/>
            <family val="2"/>
          </rPr>
          <t>before-after comparison</t>
        </r>
      </text>
    </comment>
    <comment ref="V77" authorId="0" shapeId="0" xr:uid="{1E4DF8FE-A5B2-C549-9700-60F0769FC669}">
      <text>
        <r>
          <rPr>
            <sz val="10"/>
            <color rgb="FF000000"/>
            <rFont val="Tahoma"/>
            <family val="2"/>
          </rPr>
          <t># of people eligible reported</t>
        </r>
      </text>
    </comment>
    <comment ref="AD77" authorId="0" shapeId="0" xr:uid="{9906736E-6F71-EE43-8999-6D6BC4F80BD0}">
      <text>
        <r>
          <rPr>
            <sz val="10"/>
            <color rgb="FF000000"/>
            <rFont val="Tahoma"/>
            <family val="2"/>
          </rPr>
          <t>no details on the mode of test distribution</t>
        </r>
      </text>
    </comment>
    <comment ref="AH77" authorId="0" shapeId="0" xr:uid="{77740BA8-27A9-C04A-BF0E-616DFA00D748}">
      <text>
        <r>
          <rPr>
            <sz val="10"/>
            <color rgb="FF000000"/>
            <rFont val="Tahoma"/>
            <family val="2"/>
          </rPr>
          <t>count-related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Lukas Brümmer</author>
    <author>Ana-Mihaela Bora</author>
    <author>Karina Worbes</author>
  </authors>
  <commentList>
    <comment ref="G3" authorId="0" shapeId="0" xr:uid="{C964782B-6B18-734F-8B48-7695FC0F9F28}">
      <text>
        <r>
          <rPr>
            <sz val="10"/>
            <color rgb="FF000000"/>
            <rFont val="Tahoma"/>
            <family val="2"/>
          </rPr>
          <t xml:space="preserve">Classification of study locations
</t>
        </r>
        <r>
          <rPr>
            <sz val="10"/>
            <color rgb="FF000000"/>
            <rFont val="Tahoma"/>
            <family val="2"/>
          </rPr>
          <t xml:space="preserve">UK = United Kingdom
</t>
        </r>
        <r>
          <rPr>
            <sz val="10"/>
            <color rgb="FF000000"/>
            <rFont val="Tahoma"/>
            <family val="2"/>
          </rPr>
          <t xml:space="preserve">EU = Europe ex UK
</t>
        </r>
        <r>
          <rPr>
            <sz val="10"/>
            <color rgb="FF000000"/>
            <rFont val="Tahoma"/>
            <family val="2"/>
          </rPr>
          <t xml:space="preserve">NA = North America
</t>
        </r>
        <r>
          <rPr>
            <sz val="10"/>
            <color rgb="FF000000"/>
            <rFont val="Tahoma"/>
            <family val="2"/>
          </rPr>
          <t xml:space="preserve">AS = Asia
</t>
        </r>
        <r>
          <rPr>
            <sz val="10"/>
            <color rgb="FF000000"/>
            <rFont val="Tahoma"/>
            <family val="2"/>
          </rPr>
          <t>Other = countries that don't fall into the categories listed above</t>
        </r>
      </text>
    </comment>
    <comment ref="H3" authorId="0" shapeId="0" xr:uid="{0DC4324B-DE78-9940-B034-F29F8FB2E671}">
      <text>
        <r>
          <rPr>
            <sz val="10"/>
            <color rgb="FF000000"/>
            <rFont val="Tahoma"/>
            <family val="2"/>
          </rPr>
          <t xml:space="preserve">https://www.who.int/publications/i/item/9789240060883
</t>
        </r>
        <r>
          <rPr>
            <sz val="10"/>
            <color rgb="FF000000"/>
            <rFont val="Tahoma"/>
            <family val="2"/>
          </rPr>
          <t xml:space="preserve">
</t>
        </r>
        <r>
          <rPr>
            <sz val="10"/>
            <color rgb="FF000000"/>
            <rFont val="Tahoma"/>
            <family val="2"/>
          </rPr>
          <t>Differentiate between cities (densly populated areas), semi-dense areas and towns (intermediate density ares), and rural ares (thinly populated areas)</t>
        </r>
      </text>
    </comment>
    <comment ref="I3" authorId="0" shapeId="0" xr:uid="{CAFA18AA-4C76-6B46-9BAA-1D5241434472}">
      <text>
        <r>
          <rPr>
            <sz val="10"/>
            <color rgb="FF000000"/>
            <rFont val="Tahoma"/>
            <family val="2"/>
          </rPr>
          <t>https://www.imf.org/external/datamapper/NGDPDPC@WEO/ADVEC/WEOWORLD/TWN/CHN</t>
        </r>
      </text>
    </comment>
    <comment ref="AD3" authorId="0" shapeId="0" xr:uid="{E561788C-D234-ED42-8972-BAF7F49AA8FA}">
      <text>
        <r>
          <rPr>
            <sz val="10"/>
            <color rgb="FF000000"/>
            <rFont val="Tahoma"/>
            <family val="2"/>
          </rPr>
          <t xml:space="preserve">1 = all asymptomatic
</t>
        </r>
        <r>
          <rPr>
            <sz val="10"/>
            <color rgb="FF000000"/>
            <rFont val="Tahoma"/>
            <family val="2"/>
          </rPr>
          <t>0 = mixed / unknown</t>
        </r>
      </text>
    </comment>
    <comment ref="BH3" authorId="0" shapeId="0" xr:uid="{693E25EC-E357-7049-8BDE-CC3D17AF556C}">
      <text>
        <r>
          <rPr>
            <sz val="10"/>
            <color rgb="FF000000"/>
            <rFont val="Tahoma"/>
            <family val="2"/>
          </rPr>
          <t>only extracted if confirmatory testing was performed on all negative Ag-RDT results</t>
        </r>
      </text>
    </comment>
    <comment ref="BU3" authorId="0" shapeId="0" xr:uid="{30D8B762-EC94-2243-B1BA-0F185CB6E310}">
      <text>
        <r>
          <rPr>
            <sz val="10"/>
            <color rgb="FF000000"/>
            <rFont val="Tahoma"/>
            <family val="2"/>
          </rPr>
          <t>only extracted if all Ag-RDT negative individuals received confirmatory testing</t>
        </r>
      </text>
    </comment>
    <comment ref="DG3" authorId="0" shapeId="0" xr:uid="{D85A2B44-0C38-4F48-A45B-22FB28873D59}">
      <text>
        <r>
          <rPr>
            <sz val="10"/>
            <color rgb="FF000000"/>
            <rFont val="Tahoma"/>
            <family val="2"/>
          </rPr>
          <t>Baseline analysis: only include studies with a # in column DG. As a sensitivity analysis, also include those labeled as 'Include'</t>
        </r>
      </text>
    </comment>
    <comment ref="DH3" authorId="0" shapeId="0" xr:uid="{9AA1BB16-FA7F-1449-A0C1-C0330A7A56C0}">
      <text>
        <r>
          <rPr>
            <sz val="10"/>
            <color rgb="FF000000"/>
            <rFont val="Calibri"/>
            <family val="2"/>
          </rPr>
          <t>Baseline analysis: only include studies with a # in column DH. As a sensitivity analysis, also include those labeled as 'Include'</t>
        </r>
      </text>
    </comment>
    <comment ref="Z4" authorId="0" shapeId="0" xr:uid="{AF8ACE7B-EAE6-614E-BCA4-D084553EA1E7}">
      <text>
        <r>
          <rPr>
            <sz val="10"/>
            <color rgb="FF000000"/>
            <rFont val="Tahoma"/>
            <family val="34"/>
          </rPr>
          <t xml:space="preserve">Staff of the Catalan Institute of Oncology (ICO), a public non-profit organization attached to the Catalan Health Service focused on can- cer care </t>
        </r>
      </text>
    </comment>
    <comment ref="BC4" authorId="0" shapeId="0" xr:uid="{55ECACD1-9D59-7242-BE98-2076577B2A10}">
      <text>
        <r>
          <rPr>
            <sz val="10"/>
            <color rgb="FF000000"/>
            <rFont val="Calibri"/>
            <family val="2"/>
          </rPr>
          <t>2 test results were identified as negative by participants and positive by the research team, but not clear if those were from education or health care professionals</t>
        </r>
      </text>
    </comment>
    <comment ref="CA4" authorId="0" shapeId="0" xr:uid="{A018559B-05C0-0146-85F4-A96548BC707F}">
      <text>
        <r>
          <rPr>
            <sz val="10"/>
            <color rgb="FF000000"/>
            <rFont val="Tahoma"/>
            <family val="2"/>
          </rPr>
          <t>Participants were called based on the Ag-RDT result they uploaded, but time difference between test result and call not further specified</t>
        </r>
      </text>
    </comment>
    <comment ref="CL4" authorId="0" shapeId="0" xr:uid="{29074951-0D1D-034D-A4CE-2DA2BB2A956D}">
      <text>
        <r>
          <rPr>
            <sz val="10"/>
            <color rgb="FF000000"/>
            <rFont val="Tahoma"/>
            <family val="2"/>
          </rPr>
          <t>3.6% prevalence, but only based on Ag-RDTs result</t>
        </r>
      </text>
    </comment>
    <comment ref="Z5" authorId="0" shapeId="0" xr:uid="{8643CAFE-E4CA-9B47-A7C9-820D083EA5A7}">
      <text>
        <r>
          <rPr>
            <sz val="10"/>
            <color rgb="FF000000"/>
            <rFont val="Tahoma"/>
            <family val="34"/>
          </rPr>
          <t xml:space="preserve">Staff of the schools belonging to the COVID Sentinel School Network of Catalonia (CSSNC) </t>
        </r>
      </text>
    </comment>
    <comment ref="BC5" authorId="0" shapeId="0" xr:uid="{7BC04780-300E-5D4A-8BB9-A424A9FF1D61}">
      <text>
        <r>
          <rPr>
            <sz val="10"/>
            <color rgb="FF000000"/>
            <rFont val="Calibri"/>
            <family val="2"/>
          </rPr>
          <t>2 test results were identified as negative by participants and positive by the research team, but not clear if those were from education or health care professionals</t>
        </r>
      </text>
    </comment>
    <comment ref="CA5" authorId="0" shapeId="0" xr:uid="{4E33ABA7-5314-D049-88C8-C6AADEA40245}">
      <text>
        <r>
          <rPr>
            <sz val="10"/>
            <color rgb="FF000000"/>
            <rFont val="Tahoma"/>
            <family val="2"/>
          </rPr>
          <t>Participants were called based on the Ag-RDT result they uploaded, but time difference between test result and call not further specified</t>
        </r>
      </text>
    </comment>
    <comment ref="CL5" authorId="0" shapeId="0" xr:uid="{9CE01D94-12D9-2647-9318-D063D0B9A64F}">
      <text>
        <r>
          <rPr>
            <sz val="10"/>
            <color rgb="FF000000"/>
            <rFont val="Tahoma"/>
            <family val="2"/>
          </rPr>
          <t>7.29% prevalence, but only based on Ag-RDT results</t>
        </r>
      </text>
    </comment>
    <comment ref="AT6" authorId="0" shapeId="0" xr:uid="{89FBCAB7-31DE-1649-A75F-34A96E048635}">
      <text>
        <r>
          <rPr>
            <sz val="10"/>
            <color rgb="FF000000"/>
            <rFont val="Tahoma"/>
            <family val="2"/>
          </rPr>
          <t>Based on number of tests reported in the study's results section</t>
        </r>
      </text>
    </comment>
    <comment ref="AV6" authorId="0" shapeId="0" xr:uid="{2E208955-4855-AE43-A74A-B053EFB30A7D}">
      <text>
        <r>
          <rPr>
            <sz val="10"/>
            <color rgb="FF000000"/>
            <rFont val="Calibri"/>
            <family val="2"/>
          </rPr>
          <t xml:space="preserve">During  the self-testing process, participants were observed by a designated observer who completed an observational form if key steps according to the manufacturer's IFU were conducted appropriately by the participant. The observer was not allowed to assist or interact with the participant during the process. </t>
        </r>
      </text>
    </comment>
    <comment ref="BH6" authorId="0" shapeId="0" xr:uid="{1D96D5EA-3FFF-AB46-8256-7C755ABAB762}">
      <text>
        <r>
          <rPr>
            <sz val="10"/>
            <color rgb="FF000000"/>
            <rFont val="Calibri"/>
            <family val="2"/>
          </rPr>
          <t>1 result was positive on confirmatory testing, but invalid when self-testing</t>
        </r>
      </text>
    </comment>
    <comment ref="BJ6" authorId="0" shapeId="0" xr:uid="{B0F5C67C-FBF9-C542-923C-F64E318681B8}">
      <text>
        <r>
          <rPr>
            <sz val="10"/>
            <color rgb="FF000000"/>
            <rFont val="Tahoma"/>
            <family val="2"/>
          </rPr>
          <t>4 results were negative on confirmatory testing, but invalid when self-testing</t>
        </r>
      </text>
    </comment>
    <comment ref="BU6" authorId="0" shapeId="0" xr:uid="{149D7587-5A0B-E449-ADC8-E1B614BBA611}">
      <text>
        <r>
          <rPr>
            <sz val="10"/>
            <color rgb="FF000000"/>
            <rFont val="Tahoma"/>
            <family val="34"/>
          </rPr>
          <t>1 result was positive on confirmatory testing, but invalid when self-testing</t>
        </r>
      </text>
    </comment>
    <comment ref="BW6" authorId="0" shapeId="0" xr:uid="{0B6630FD-7AC6-D34F-AF78-4BB90EFCEE71}">
      <text>
        <r>
          <rPr>
            <sz val="10"/>
            <color rgb="FF000000"/>
            <rFont val="Tahoma"/>
            <family val="2"/>
          </rPr>
          <t>4 results were negative on confirmatory testing, but invalid when self-testing</t>
        </r>
      </text>
    </comment>
    <comment ref="BY6" authorId="0" shapeId="0" xr:uid="{47DB48B6-8545-C442-81DC-72D88B143848}">
      <text>
        <r>
          <rPr>
            <sz val="10"/>
            <color rgb="FF000000"/>
            <rFont val="Tahoma"/>
            <family val="2"/>
          </rPr>
          <t>Study participants were tested both by C19ST and professional Ag-RDT. They were considered a SARS-CoV-2 case if either one of the tests was positive</t>
        </r>
      </text>
    </comment>
    <comment ref="AA7" authorId="0" shapeId="0" xr:uid="{193A69DF-31DE-EE47-83AD-1FAC5456AF45}">
      <text>
        <r>
          <rPr>
            <sz val="10"/>
            <color rgb="FF000000"/>
            <rFont val="Tahoma"/>
            <family val="2"/>
          </rPr>
          <t>832 individuals report a history of COVID-19 symptoms, but it was unclear whether these symptoms occured at the time of testing</t>
        </r>
      </text>
    </comment>
    <comment ref="AO7" authorId="0" shapeId="0" xr:uid="{A87D6D9F-AAD8-2941-AF19-97013F743AA6}">
      <text>
        <r>
          <rPr>
            <sz val="10"/>
            <color rgb="FF000000"/>
            <rFont val="Tahoma"/>
            <family val="34"/>
          </rPr>
          <t>Participants should conduct a self-test if they experienced COVID-19-like symptoms, were a contact of a positive COVID-19 case, or in other specified circumstances, such as prior to or after attending a mass gathering</t>
        </r>
      </text>
    </comment>
    <comment ref="J8" authorId="0" shapeId="0" xr:uid="{B37F127B-FFC3-8248-AE2B-A32E140BB0FD}">
      <text>
        <r>
          <rPr>
            <sz val="10"/>
            <color rgb="FF000000"/>
            <rFont val="Tahoma"/>
            <family val="2"/>
          </rPr>
          <t>"allowed individuals to purchase test kits with their national health insurance card at regualted price in Taiwan"</t>
        </r>
      </text>
    </comment>
    <comment ref="Z8" authorId="0" shapeId="0" xr:uid="{F7ED7C93-A12F-2940-A1BC-5191239353B5}">
      <text>
        <r>
          <rPr>
            <sz val="10"/>
            <color rgb="FF000000"/>
            <rFont val="Tahoma"/>
            <family val="2"/>
          </rPr>
          <t>Visitors / patients of COVID-19 family clinic; "specifically for childrend and their household caregivers who had confirmed or suspected COVID-19 infection"</t>
        </r>
      </text>
    </comment>
    <comment ref="AE8" authorId="0" shapeId="0" xr:uid="{A23D8031-887A-ED4E-92EE-870CAF6C6692}">
      <text>
        <r>
          <rPr>
            <sz val="10"/>
            <color rgb="FF000000"/>
            <rFont val="Tahoma"/>
            <family val="2"/>
          </rPr>
          <t>people with "underlying disease"</t>
        </r>
      </text>
    </comment>
    <comment ref="AF8" authorId="0" shapeId="0" xr:uid="{E07D9DBF-19B1-7D41-B741-F1E86F586581}">
      <text>
        <r>
          <rPr>
            <sz val="10"/>
            <color rgb="FF000000"/>
            <rFont val="Tahoma"/>
            <family val="2"/>
          </rPr>
          <t>"with contact history", with 244 people having a household contact and 100 people a school or occupation contact</t>
        </r>
      </text>
    </comment>
    <comment ref="AH8" authorId="0" shapeId="0" xr:uid="{8CEDEF39-A1D2-7943-9ADB-3D0336682153}">
      <text>
        <r>
          <rPr>
            <sz val="10"/>
            <color rgb="FF000000"/>
            <rFont val="Tahoma"/>
            <family val="2"/>
          </rPr>
          <t xml:space="preserve">"fully vaccinated", meaning they've received two dose of vaccines at lest two weeks ago
</t>
        </r>
        <r>
          <rPr>
            <sz val="10"/>
            <color rgb="FF000000"/>
            <rFont val="Tahoma"/>
            <family val="2"/>
          </rPr>
          <t xml:space="preserve">
</t>
        </r>
        <r>
          <rPr>
            <sz val="10"/>
            <color rgb="FF000000"/>
            <rFont val="Tahoma"/>
            <family val="2"/>
          </rPr>
          <t>34 additional people were partially vaccinated</t>
        </r>
      </text>
    </comment>
    <comment ref="AZ8" authorId="0" shapeId="0" xr:uid="{DEB271B5-27DD-7445-B54E-ED5D112BB3FD}">
      <text>
        <r>
          <rPr>
            <sz val="10"/>
            <color rgb="FF000000"/>
            <rFont val="Tahoma"/>
            <family val="2"/>
          </rPr>
          <t>Not possible to extract, given that the proportion of individuals that were included in the study only due to a positive self-test was unclear</t>
        </r>
      </text>
    </comment>
    <comment ref="BA8" authorId="0" shapeId="0" xr:uid="{F4632FAD-1E39-FC4C-A0F5-654A97B04DEB}">
      <text>
        <r>
          <rPr>
            <sz val="10"/>
            <color rgb="FF000000"/>
            <rFont val="Tahoma"/>
            <family val="2"/>
          </rPr>
          <t>Not possible to extract, given that the proportion of individuals that were included in the study only due to a positive self-test was unclear</t>
        </r>
      </text>
    </comment>
    <comment ref="BH8" authorId="0" shapeId="0" xr:uid="{8454B488-428D-B349-80E1-BDA9D444568C}">
      <text>
        <r>
          <rPr>
            <sz val="10"/>
            <color rgb="FF000000"/>
            <rFont val="Tahoma"/>
            <family val="2"/>
          </rPr>
          <t>38 individuals tested false-negative, but confirmatory testing was not performed for every test</t>
        </r>
      </text>
    </comment>
    <comment ref="BM8" authorId="0" shapeId="0" xr:uid="{E87CBACC-9CA8-D742-A2C3-B5655CBB9F1E}">
      <text>
        <r>
          <rPr>
            <sz val="10"/>
            <color rgb="FF000000"/>
            <rFont val="Tahoma"/>
            <family val="2"/>
          </rPr>
          <t>Not possible to extract, given that the proportion of individuals that were included in the study only due to a positive self-test was unclear</t>
        </r>
      </text>
    </comment>
    <comment ref="BN8" authorId="0" shapeId="0" xr:uid="{E52D5B2B-C67B-E94D-A2FF-5A0CFDE18472}">
      <text>
        <r>
          <rPr>
            <sz val="10"/>
            <color rgb="FF000000"/>
            <rFont val="Tahoma"/>
            <family val="2"/>
          </rPr>
          <t>Not possible to extract, given that the proportion of individuals that were included in the study only due to a positive self-test was unclear</t>
        </r>
      </text>
    </comment>
    <comment ref="BU8" authorId="0" shapeId="0" xr:uid="{3F389EE3-92CE-EB4A-9E2D-A732B1FEB413}">
      <text>
        <r>
          <rPr>
            <sz val="10"/>
            <color rgb="FF000000"/>
            <rFont val="Tahoma"/>
            <family val="2"/>
          </rPr>
          <t>C19ST and RT-PCR were most likely conducted on the same day</t>
        </r>
      </text>
    </comment>
    <comment ref="J9" authorId="0" shapeId="0" xr:uid="{0D1199E9-FF2C-7E48-AF15-E19A6D60579D}">
      <text>
        <r>
          <rPr>
            <sz val="10"/>
            <color rgb="FF000000"/>
            <rFont val="Tahoma"/>
            <family val="2"/>
          </rPr>
          <t>"allowed individuals to purchase test kits with their national health insurance card at regualted price in Taiwan"</t>
        </r>
      </text>
    </comment>
    <comment ref="Z9" authorId="0" shapeId="0" xr:uid="{BE61E57D-098C-EE47-8C3F-825369CCBE56}">
      <text>
        <r>
          <rPr>
            <sz val="10"/>
            <color rgb="FF000000"/>
            <rFont val="Tahoma"/>
            <family val="2"/>
          </rPr>
          <t>Visitors / patients of COVID-19 family clinic; "specifically for childrend and their household caregivers who had confirmed or suspected COVID-19 infection"</t>
        </r>
      </text>
    </comment>
    <comment ref="AE9" authorId="0" shapeId="0" xr:uid="{449237CD-C148-7A40-B28B-093615909FAD}">
      <text>
        <r>
          <rPr>
            <sz val="10"/>
            <color rgb="FF000000"/>
            <rFont val="Tahoma"/>
            <family val="2"/>
          </rPr>
          <t>people with "underlying disease"</t>
        </r>
      </text>
    </comment>
    <comment ref="AF9" authorId="0" shapeId="0" xr:uid="{B364F242-3AC0-A641-934F-476954B07E12}">
      <text>
        <r>
          <rPr>
            <sz val="10"/>
            <color rgb="FF000000"/>
            <rFont val="Tahoma"/>
            <family val="2"/>
          </rPr>
          <t>"with contact history", with 140 people having a household contact and 22 peopel a school or occupation contact</t>
        </r>
      </text>
    </comment>
    <comment ref="AH9" authorId="0" shapeId="0" xr:uid="{1F990F35-3E75-3145-8C2C-3978DE45D6A6}">
      <text>
        <r>
          <rPr>
            <sz val="10"/>
            <color rgb="FF000000"/>
            <rFont val="Tahoma"/>
            <family val="2"/>
          </rPr>
          <t xml:space="preserve">"fully vaccinated", meaning they've received two dose of vaccines at lest two weeks ago
</t>
        </r>
        <r>
          <rPr>
            <sz val="10"/>
            <color rgb="FF000000"/>
            <rFont val="Tahoma"/>
            <family val="2"/>
          </rPr>
          <t xml:space="preserve">
</t>
        </r>
        <r>
          <rPr>
            <sz val="10"/>
            <color rgb="FF000000"/>
            <rFont val="Tahoma"/>
            <family val="2"/>
          </rPr>
          <t>1 additional person was partially vaccinated</t>
        </r>
      </text>
    </comment>
    <comment ref="AZ9" authorId="0" shapeId="0" xr:uid="{CD7C1AF6-7BA6-6E40-97F9-6CC827F05AF0}">
      <text>
        <r>
          <rPr>
            <sz val="10"/>
            <color rgb="FF000000"/>
            <rFont val="Tahoma"/>
            <family val="2"/>
          </rPr>
          <t>Not possible to extract, given that the proportion of individuals that were included in the study only due to a positive self-test was unclear</t>
        </r>
      </text>
    </comment>
    <comment ref="BA9" authorId="0" shapeId="0" xr:uid="{8108B8A9-B3A4-0A45-B9EA-58DDA3C18022}">
      <text>
        <r>
          <rPr>
            <sz val="10"/>
            <color rgb="FF000000"/>
            <rFont val="Tahoma"/>
            <family val="2"/>
          </rPr>
          <t>Not possible to extract, given that the proportion of individuals that were included in the study only due to a positive self-test was unclear</t>
        </r>
      </text>
    </comment>
    <comment ref="BH9" authorId="0" shapeId="0" xr:uid="{E490E98B-988E-E34A-A210-CDB346DC1111}">
      <text>
        <r>
          <rPr>
            <sz val="10"/>
            <color rgb="FF000000"/>
            <rFont val="Tahoma"/>
            <family val="34"/>
          </rPr>
          <t>29 individuals tested false-negative, but confirmatory testing was not performed for every test</t>
        </r>
      </text>
    </comment>
    <comment ref="BM9" authorId="0" shapeId="0" xr:uid="{7488389C-5452-E745-8EDA-3139E6690967}">
      <text>
        <r>
          <rPr>
            <sz val="10"/>
            <color rgb="FF000000"/>
            <rFont val="Tahoma"/>
            <family val="2"/>
          </rPr>
          <t>Not possible to extract, given that the proportion of individuals that were included in the study only due to a positive self-test was unclear</t>
        </r>
      </text>
    </comment>
    <comment ref="BN9" authorId="0" shapeId="0" xr:uid="{5CE8C471-DC52-B443-A792-9E3ED413D931}">
      <text>
        <r>
          <rPr>
            <sz val="10"/>
            <color rgb="FF000000"/>
            <rFont val="Tahoma"/>
            <family val="2"/>
          </rPr>
          <t>Not possible to extract, given that the proportion of individuals that were included in the study only due to a positive self-test was unclear</t>
        </r>
      </text>
    </comment>
    <comment ref="BU9" authorId="0" shapeId="0" xr:uid="{899FAC00-0C79-4943-864E-17D74AE7AC8D}">
      <text>
        <r>
          <rPr>
            <sz val="10"/>
            <color rgb="FF000000"/>
            <rFont val="Tahoma"/>
            <family val="34"/>
          </rPr>
          <t>C19ST and RT-PCR were most likely conducted on the same day</t>
        </r>
      </text>
    </comment>
    <comment ref="Z10" authorId="0" shapeId="0" xr:uid="{7473CF50-61E1-E948-9DCA-5F3A549C43E5}">
      <text>
        <r>
          <rPr>
            <sz val="10"/>
            <color rgb="FF000000"/>
            <rFont val="Tahoma"/>
            <family val="2"/>
          </rPr>
          <t>Household contacts of SARS-CoV-2 cases</t>
        </r>
      </text>
    </comment>
    <comment ref="AF10" authorId="0" shapeId="0" xr:uid="{6F6D8346-04C8-5B4B-ADC1-A5F3CAD3D2AD}">
      <text>
        <r>
          <rPr>
            <sz val="10"/>
            <color rgb="FF000000"/>
            <rFont val="Tahoma"/>
            <family val="2"/>
          </rPr>
          <t>Household contacts of SARS-CoV-2 cases</t>
        </r>
      </text>
    </comment>
    <comment ref="AM10" authorId="0" shapeId="0" xr:uid="{438B35C9-68F6-164B-A43B-395EEEC08B7A}">
      <text>
        <r>
          <rPr>
            <sz val="10"/>
            <color rgb="FF000000"/>
            <rFont val="Tahoma"/>
            <family val="2"/>
          </rPr>
          <t>Vending machines</t>
        </r>
      </text>
    </comment>
    <comment ref="AW10" authorId="0" shapeId="0" xr:uid="{21212A2D-5480-7D41-9F4F-1E963563D65B}">
      <text>
        <r>
          <rPr>
            <sz val="10"/>
            <color rgb="FF000000"/>
            <rFont val="Tahoma"/>
            <family val="2"/>
          </rPr>
          <t>Prior to study begin, contacts of cases had to test via RT-PCR once developing symptoms or requiring medical attention</t>
        </r>
      </text>
    </comment>
    <comment ref="Z11" authorId="0" shapeId="0" xr:uid="{E335B909-E6E2-8B4F-AB2D-B15561A78416}">
      <text>
        <r>
          <rPr>
            <sz val="10"/>
            <color rgb="FF000000"/>
            <rFont val="Calibri"/>
            <family val="2"/>
          </rPr>
          <t>Social contacts of SARS-CoV-2 cases</t>
        </r>
      </text>
    </comment>
    <comment ref="AF11" authorId="0" shapeId="0" xr:uid="{A1AD7CC2-F24F-114A-96AF-330FB8047A09}">
      <text>
        <r>
          <rPr>
            <sz val="10"/>
            <color rgb="FF000000"/>
            <rFont val="Tahoma"/>
            <family val="34"/>
          </rPr>
          <t>Social contacts of SARS-CoV-2 cases</t>
        </r>
      </text>
    </comment>
    <comment ref="AM11" authorId="0" shapeId="0" xr:uid="{256CDC58-5C5C-434D-87A0-2614992D8F04}">
      <text>
        <r>
          <rPr>
            <sz val="10"/>
            <color rgb="FF000000"/>
            <rFont val="Tahoma"/>
            <family val="2"/>
          </rPr>
          <t>Vending machines</t>
        </r>
      </text>
    </comment>
    <comment ref="AW11" authorId="0" shapeId="0" xr:uid="{082F954F-3CBF-B349-965A-95808D9AE395}">
      <text>
        <r>
          <rPr>
            <sz val="10"/>
            <color rgb="FF000000"/>
            <rFont val="Tahoma"/>
            <family val="2"/>
          </rPr>
          <t>Prior to study begin, contacts of cases had to test via RT-PCR once developing symptoms or requiring medical attention</t>
        </r>
      </text>
    </comment>
    <comment ref="Z12" authorId="0" shapeId="0" xr:uid="{66B02E61-E687-E748-AA38-01242F91BB70}">
      <text>
        <r>
          <rPr>
            <sz val="10"/>
            <color rgb="FF000000"/>
            <rFont val="Calibri"/>
            <family val="2"/>
          </rPr>
          <t>School contacts of SARS-CoV-2 cases</t>
        </r>
      </text>
    </comment>
    <comment ref="AF12" authorId="0" shapeId="0" xr:uid="{2CD8C200-0117-A249-B089-C0678A30874F}">
      <text>
        <r>
          <rPr>
            <sz val="10"/>
            <color rgb="FF000000"/>
            <rFont val="Tahoma"/>
            <family val="34"/>
          </rPr>
          <t>School contacts of SARS-CoV-2 cases</t>
        </r>
      </text>
    </comment>
    <comment ref="AM12" authorId="0" shapeId="0" xr:uid="{6901CC20-4252-DE4D-A920-C39B3DCB65D9}">
      <text>
        <r>
          <rPr>
            <sz val="10"/>
            <color rgb="FF000000"/>
            <rFont val="Tahoma"/>
            <family val="2"/>
          </rPr>
          <t>Vending machines</t>
        </r>
      </text>
    </comment>
    <comment ref="AW12" authorId="0" shapeId="0" xr:uid="{F0C8AF4E-9D89-7A40-BC71-1905CC968102}">
      <text>
        <r>
          <rPr>
            <sz val="10"/>
            <color rgb="FF000000"/>
            <rFont val="Tahoma"/>
            <family val="2"/>
          </rPr>
          <t>Prior to study begin, contacts of cases had to test via RT-PCR once developing symptoms or requiring medical attention</t>
        </r>
      </text>
    </comment>
    <comment ref="Z13" authorId="0" shapeId="0" xr:uid="{CB3CFEE9-EC44-1548-8D26-47C96F716998}">
      <text>
        <r>
          <rPr>
            <sz val="10"/>
            <color rgb="FF000000"/>
            <rFont val="Tahoma"/>
            <family val="34"/>
          </rPr>
          <t>Individuals who had contact with SARS-CoV-2 cases in a nursing / welfare home seeting</t>
        </r>
      </text>
    </comment>
    <comment ref="AF13" authorId="0" shapeId="0" xr:uid="{E7196335-C10D-A842-9C1B-572AD6E4C1E6}">
      <text>
        <r>
          <rPr>
            <sz val="10"/>
            <color rgb="FF000000"/>
            <rFont val="Tahoma"/>
            <family val="34"/>
          </rPr>
          <t xml:space="preserve">Individuals who had contact with SARS-CoV-2 cases in a 
</t>
        </r>
        <r>
          <rPr>
            <sz val="10"/>
            <color rgb="FF000000"/>
            <rFont val="Tahoma"/>
            <family val="34"/>
          </rPr>
          <t>nursing / welfare home seeting</t>
        </r>
      </text>
    </comment>
    <comment ref="AM13" authorId="0" shapeId="0" xr:uid="{50D8B122-B2FA-6B4C-8A1F-6833CCB27AC5}">
      <text>
        <r>
          <rPr>
            <sz val="10"/>
            <color rgb="FF000000"/>
            <rFont val="Tahoma"/>
            <family val="2"/>
          </rPr>
          <t>Vending machines</t>
        </r>
      </text>
    </comment>
    <comment ref="AW13" authorId="0" shapeId="0" xr:uid="{C229CE18-F815-1247-AAFD-2D7EF3D561A3}">
      <text>
        <r>
          <rPr>
            <sz val="10"/>
            <color rgb="FF000000"/>
            <rFont val="Tahoma"/>
            <family val="2"/>
          </rPr>
          <t>Prior to study begin, contacts of cases had to test via RT-PCR once developing symptoms or requiring medical attention</t>
        </r>
      </text>
    </comment>
    <comment ref="O14" authorId="0" shapeId="0" xr:uid="{4FF5F5B5-1B60-524F-B8CE-1AE361611F40}">
      <text>
        <r>
          <rPr>
            <sz val="10"/>
            <color rgb="FF000000"/>
            <rFont val="Tahoma"/>
            <family val="2"/>
          </rPr>
          <t>Study population was composed of all individuals who responded to the survey (n = 2591)</t>
        </r>
      </text>
    </comment>
    <comment ref="AA14" authorId="0" shapeId="0" xr:uid="{C6DB2C10-F723-134D-8604-CB512050A671}">
      <text>
        <r>
          <rPr>
            <sz val="10"/>
            <color rgb="FF000000"/>
            <rFont val="Tahoma"/>
            <family val="2"/>
          </rPr>
          <t>technically 465 but not clear how many of those reported a self-testing result</t>
        </r>
      </text>
    </comment>
    <comment ref="AB14" authorId="0" shapeId="0" xr:uid="{35F4F9EF-3E8C-554A-AD1F-3CA1451777FF}">
      <text>
        <r>
          <rPr>
            <sz val="10"/>
            <color rgb="FF000000"/>
            <rFont val="Calibri"/>
            <family val="2"/>
          </rPr>
          <t>technically 2,126 but not clear how many of those reported a self-testing result</t>
        </r>
      </text>
    </comment>
    <comment ref="AF14" authorId="0" shapeId="0" xr:uid="{D43446A9-856B-4642-8B79-C9D6073278EA}">
      <text>
        <r>
          <rPr>
            <sz val="10"/>
            <color rgb="FF000000"/>
            <rFont val="Tahoma"/>
            <family val="2"/>
          </rPr>
          <t>reported close contact with a confirmed COVID-19 case</t>
        </r>
      </text>
    </comment>
    <comment ref="AH14" authorId="0" shapeId="0" xr:uid="{1CE41A4A-6CAD-5748-9A1C-50E0A79BC21A}">
      <text>
        <r>
          <rPr>
            <sz val="10"/>
            <color rgb="FF000000"/>
            <rFont val="Tahoma"/>
            <family val="2"/>
          </rPr>
          <t>plus 457 not vaccinated and 76 unknown</t>
        </r>
      </text>
    </comment>
    <comment ref="AJ14" authorId="0" shapeId="0" xr:uid="{9D728391-E3BA-2345-BCD7-BC224245F2E9}">
      <text>
        <r>
          <rPr>
            <sz val="10"/>
            <color rgb="FF000000"/>
            <rFont val="Tahoma"/>
            <family val="2"/>
          </rPr>
          <t>QuickVue At-Home OTC COVID-19 Test; Quidel Corporation)</t>
        </r>
      </text>
    </comment>
    <comment ref="AM14" authorId="0" shapeId="0" xr:uid="{D4CA83EE-172B-024E-9974-BADEC252ED4C}">
      <text>
        <r>
          <rPr>
            <sz val="10"/>
            <color rgb="FF000000"/>
            <rFont val="Tahoma"/>
            <family val="2"/>
          </rPr>
          <t>Supported through You &amp; Me COVID-Free (YMCF) research program and United Way of Merced Country (UWMC)</t>
        </r>
      </text>
    </comment>
    <comment ref="AW14" authorId="0" shapeId="0" xr:uid="{2E0A1FFC-C63F-3341-A39B-8EC85A2EC658}">
      <text>
        <r>
          <rPr>
            <sz val="10"/>
            <color rgb="FF000000"/>
            <rFont val="Tahoma"/>
            <family val="2"/>
          </rPr>
          <t>study participants were provided incentives in the form of Amazon gift card s to participate in the study</t>
        </r>
      </text>
    </comment>
    <comment ref="Z15" authorId="0" shapeId="0" xr:uid="{41B9F65C-43C9-0744-B9ED-F0F69E510CD6}">
      <text>
        <r>
          <rPr>
            <sz val="10"/>
            <color rgb="FF000000"/>
            <rFont val="Tahoma"/>
            <family val="2"/>
          </rPr>
          <t>Hospital staff</t>
        </r>
      </text>
    </comment>
    <comment ref="AZ16" authorId="0" shapeId="0" xr:uid="{BFFF8E0C-3DD1-204D-9A27-ED5D3DB22D87}">
      <text>
        <r>
          <rPr>
            <sz val="10"/>
            <color rgb="FF000000"/>
            <rFont val="Tahoma"/>
            <family val="2"/>
          </rPr>
          <t>on March 3rd 2022, 20,164 cases were diagnosed by antigen testing, but unclear if cumulative until this date or point-prevalence</t>
        </r>
      </text>
    </comment>
    <comment ref="Z17" authorId="0" shapeId="0" xr:uid="{13CD0099-0079-8D40-B311-8C9E67A21E8A}">
      <text>
        <r>
          <rPr>
            <sz val="10"/>
            <color rgb="FF000000"/>
            <rFont val="Tahoma"/>
            <family val="2"/>
          </rPr>
          <t>Children; testing was done with the help of care givers</t>
        </r>
      </text>
    </comment>
    <comment ref="AE17" authorId="0" shapeId="0" xr:uid="{76096959-488E-CE4F-BD20-F82F8E09446E}">
      <text>
        <r>
          <rPr>
            <sz val="10"/>
            <color rgb="FF000000"/>
            <rFont val="Tahoma"/>
            <family val="2"/>
          </rPr>
          <t>chronic health condition</t>
        </r>
      </text>
    </comment>
    <comment ref="AI17" authorId="0" shapeId="0" xr:uid="{4C98481E-B557-6645-8B62-68F45EC4E706}">
      <text>
        <r>
          <rPr>
            <sz val="10"/>
            <color rgb="FF000000"/>
            <rFont val="Tahoma"/>
            <family val="2"/>
          </rPr>
          <t>had antibodies at the beginning of the study</t>
        </r>
      </text>
    </comment>
    <comment ref="AJ17" authorId="0" shapeId="0" xr:uid="{1F939034-EBBC-1B42-9E0E-042C98472FAA}">
      <text>
        <r>
          <rPr>
            <sz val="10"/>
            <color rgb="FF000000"/>
            <rFont val="Tahoma"/>
            <family val="34"/>
          </rPr>
          <t>AESKU.RAPID SARS-CoV-2 Rapid Test, Wendelsheim, Germany</t>
        </r>
      </text>
    </comment>
    <comment ref="AU17" authorId="0" shapeId="0" xr:uid="{4159CBF8-EBB7-CB49-89F3-A7F79D73883C}">
      <text>
        <r>
          <rPr>
            <sz val="10"/>
            <color rgb="FF000000"/>
            <rFont val="Tahoma"/>
            <family val="2"/>
          </rPr>
          <t>Children received assistance by personal care-givers</t>
        </r>
      </text>
    </comment>
    <comment ref="BU17" authorId="0" shapeId="0" xr:uid="{47F19E04-3A9F-5E4A-878B-9409F1AA5D57}">
      <text>
        <r>
          <rPr>
            <sz val="10"/>
            <color rgb="FF000000"/>
            <rFont val="Tahoma"/>
            <family val="2"/>
          </rPr>
          <t>No individual missed by C19ST was reported based on pre-post-antibody testing, but not all individuals received pre-post-antibody testing</t>
        </r>
      </text>
    </comment>
    <comment ref="CH17" authorId="0" shapeId="0" xr:uid="{EAC82B24-1D9B-B84E-B824-0C315FB41DA6}">
      <text>
        <r>
          <rPr>
            <sz val="10"/>
            <color rgb="FF000000"/>
            <rFont val="Tahoma"/>
            <family val="2"/>
          </rPr>
          <t>Reported in Krauthausen et al.</t>
        </r>
      </text>
    </comment>
    <comment ref="CK17" authorId="0" shapeId="0" xr:uid="{0545B8AD-5FCC-CD48-B6D8-E559D1B93608}">
      <text>
        <r>
          <rPr>
            <sz val="10"/>
            <color rgb="FF000000"/>
            <rFont val="Tahoma"/>
            <family val="2"/>
          </rPr>
          <t>eFigure2 reports data on incidence, but nothing specific to self-testing</t>
        </r>
      </text>
    </comment>
    <comment ref="CZ17" authorId="0" shapeId="0" xr:uid="{527DB80B-FA09-B74A-A78F-EDB339A63362}">
      <text>
        <r>
          <rPr>
            <sz val="10"/>
            <color rgb="FF000000"/>
            <rFont val="Tahoma"/>
            <family val="2"/>
          </rPr>
          <t>Reported in Krauthausen et al.</t>
        </r>
      </text>
    </comment>
    <comment ref="DD17" authorId="0" shapeId="0" xr:uid="{48616A42-1168-0340-A74D-38CBB24E8933}">
      <text>
        <r>
          <rPr>
            <sz val="10"/>
            <color rgb="FF000000"/>
            <rFont val="Tahoma"/>
            <family val="2"/>
          </rPr>
          <t>Reported in Krauthausen et al.</t>
        </r>
      </text>
    </comment>
    <comment ref="Z18" authorId="0" shapeId="0" xr:uid="{ED8C2CCC-E854-3F4B-86B0-F0A449390DB0}">
      <text>
        <r>
          <rPr>
            <sz val="10"/>
            <color rgb="FF000000"/>
            <rFont val="Tahoma"/>
            <family val="2"/>
          </rPr>
          <t>Child care workers</t>
        </r>
      </text>
    </comment>
    <comment ref="AE18" authorId="0" shapeId="0" xr:uid="{82FFE32B-B1CB-B142-BE65-F8B1D4232984}">
      <text>
        <r>
          <rPr>
            <sz val="10"/>
            <color rgb="FF000000"/>
            <rFont val="Tahoma"/>
            <family val="2"/>
          </rPr>
          <t>chronic health condition</t>
        </r>
      </text>
    </comment>
    <comment ref="AI18" authorId="0" shapeId="0" xr:uid="{A177ADDF-A2DF-054E-8241-B4940F55A2D6}">
      <text>
        <r>
          <rPr>
            <sz val="10"/>
            <color rgb="FF000000"/>
            <rFont val="Tahoma"/>
            <family val="2"/>
          </rPr>
          <t>had antibodies at the beginning of the study</t>
        </r>
      </text>
    </comment>
    <comment ref="AJ18" authorId="0" shapeId="0" xr:uid="{A90767A8-3CAC-2343-ABA9-8DD531412FDA}">
      <text>
        <r>
          <rPr>
            <sz val="10"/>
            <color rgb="FF000000"/>
            <rFont val="Tahoma"/>
            <family val="34"/>
          </rPr>
          <t>AESKU.RAPID SARS-CoV-2 Rapid Test, Wendelsheim, Germany</t>
        </r>
      </text>
    </comment>
    <comment ref="CH18" authorId="0" shapeId="0" xr:uid="{6B58C5EF-87CF-604A-A144-965DDD19922F}">
      <text>
        <r>
          <rPr>
            <sz val="10"/>
            <color rgb="FF000000"/>
            <rFont val="Tahoma"/>
            <family val="2"/>
          </rPr>
          <t>Reported in Krauthausen et al.</t>
        </r>
      </text>
    </comment>
    <comment ref="CZ18" authorId="0" shapeId="0" xr:uid="{2D4BDEB5-FD43-B544-A414-97EFB64C5D43}">
      <text>
        <r>
          <rPr>
            <sz val="10"/>
            <color rgb="FF000000"/>
            <rFont val="Tahoma"/>
            <family val="2"/>
          </rPr>
          <t>Reported in Krauthausen et al.</t>
        </r>
      </text>
    </comment>
    <comment ref="DD18" authorId="0" shapeId="0" xr:uid="{2CB5A6CD-5387-1049-941E-8BB88BC99DAE}">
      <text>
        <r>
          <rPr>
            <sz val="10"/>
            <color rgb="FF000000"/>
            <rFont val="Tahoma"/>
            <family val="2"/>
          </rPr>
          <t>Reported in Krauthausen et al.</t>
        </r>
      </text>
    </comment>
    <comment ref="M19" authorId="0" shapeId="0" xr:uid="{6390A15C-9B13-8648-81F7-CB8D44E91845}">
      <text>
        <r>
          <rPr>
            <sz val="10"/>
            <color rgb="FF000000"/>
            <rFont val="Tahoma"/>
            <family val="2"/>
          </rPr>
          <t>Only results from individuals with a positive C19ST result were included (3599894 people)</t>
        </r>
      </text>
    </comment>
    <comment ref="Z19" authorId="0" shapeId="0" xr:uid="{E51E4A9A-28FC-944D-9C92-8DA56D1DE344}">
      <text>
        <r>
          <rPr>
            <sz val="10"/>
            <color rgb="FF000000"/>
            <rFont val="Tahoma"/>
            <family val="2"/>
          </rPr>
          <t xml:space="preserve">- 7,401 worker
</t>
        </r>
        <r>
          <rPr>
            <sz val="10"/>
            <color rgb="FF000000"/>
            <rFont val="Tahoma"/>
            <family val="2"/>
          </rPr>
          <t xml:space="preserve">- 4,956 independent profession (including famers)
</t>
        </r>
        <r>
          <rPr>
            <sz val="10"/>
            <color rgb="FF000000"/>
            <rFont val="Tahoma"/>
            <family val="2"/>
          </rPr>
          <t xml:space="preserve">- 35,232 employee
</t>
        </r>
        <r>
          <rPr>
            <sz val="10"/>
            <color rgb="FF000000"/>
            <rFont val="Tahoma"/>
            <family val="2"/>
          </rPr>
          <t xml:space="preserve">- 40,067 intermediate profession
</t>
        </r>
        <r>
          <rPr>
            <sz val="10"/>
            <color rgb="FF000000"/>
            <rFont val="Tahoma"/>
            <family val="2"/>
          </rPr>
          <t xml:space="preserve">- 53,720 senior executive
</t>
        </r>
        <r>
          <rPr>
            <sz val="10"/>
            <color rgb="FF000000"/>
            <rFont val="Tahoma"/>
            <family val="2"/>
          </rPr>
          <t xml:space="preserve">- 11,452 unemployed or inactive people
</t>
        </r>
        <r>
          <rPr>
            <sz val="10"/>
            <color rgb="FF000000"/>
            <rFont val="Tahoma"/>
            <family val="2"/>
          </rPr>
          <t>- 26,337 retired</t>
        </r>
      </text>
    </comment>
    <comment ref="CY19" authorId="0" shapeId="0" xr:uid="{592558E5-CC5A-4745-9423-3443F4405D4D}">
      <text>
        <r>
          <rPr>
            <sz val="10"/>
            <color rgb="FF000000"/>
            <rFont val="Tahoma"/>
            <family val="34"/>
          </rPr>
          <t>study: "We estimated that by detecting false positive Ag-RDT’s by RT-PCR confirmation the societal costs of approximately 1.5 million days of unnecessary isolation were prevented"</t>
        </r>
      </text>
    </comment>
    <comment ref="CZ19" authorId="0" shapeId="0" xr:uid="{F0FC752D-2337-1741-A390-1DC9ED250AAE}">
      <text>
        <r>
          <rPr>
            <sz val="10"/>
            <color rgb="FF000000"/>
            <rFont val="Tahoma"/>
            <family val="34"/>
          </rPr>
          <t>study: "We estimated that by detecting false positive Ag-RDT’s by RT-PCR confirmation the societal costs of approximately 1.5 million days of unnecessary isolation were prevented"</t>
        </r>
      </text>
    </comment>
    <comment ref="F20" authorId="0" shapeId="0" xr:uid="{83AE6596-4274-3849-B82C-8E7A9A40DBD5}">
      <text>
        <r>
          <rPr>
            <sz val="10"/>
            <color rgb="FF000000"/>
            <rFont val="Tahoma"/>
            <family val="34"/>
          </rPr>
          <t xml:space="preserve">Cambridge and Boston, Massachusetts </t>
        </r>
      </text>
    </comment>
    <comment ref="Z20" authorId="0" shapeId="0" xr:uid="{95E05448-F88B-2C4C-A586-672897FDE1AD}">
      <text>
        <r>
          <rPr>
            <sz val="10"/>
            <color rgb="FF000000"/>
            <rFont val="Tahoma"/>
            <family val="2"/>
          </rPr>
          <t>Laboratory staff</t>
        </r>
      </text>
    </comment>
    <comment ref="AQ20" authorId="0" shapeId="0" xr:uid="{B4A71274-2068-8045-A3E3-598F90269B93}">
      <text>
        <r>
          <rPr>
            <sz val="10"/>
            <color rgb="FF000000"/>
            <rFont val="Tahoma"/>
            <family val="2"/>
          </rPr>
          <t>"6 months", but exact number of weeks unclear</t>
        </r>
      </text>
    </comment>
    <comment ref="BH20" authorId="0" shapeId="0" xr:uid="{36F242C6-F13D-FB40-9196-1668FAD24FF3}">
      <text>
        <r>
          <rPr>
            <sz val="10"/>
            <color rgb="FF000000"/>
            <rFont val="Tahoma"/>
            <family val="2"/>
          </rPr>
          <t>same day testing of C19ST and RT-PCR</t>
        </r>
      </text>
    </comment>
    <comment ref="CA20" authorId="0" shapeId="0" xr:uid="{3D0ACD1F-3C31-1D44-BA3C-8259B895FBCF}">
      <text>
        <r>
          <rPr>
            <sz val="10"/>
            <color rgb="FF000000"/>
            <rFont val="Tahoma"/>
            <family val="2"/>
          </rPr>
          <t>assuming average time to complete a COVID-19 antigen-based self-test</t>
        </r>
      </text>
    </comment>
    <comment ref="J21" authorId="0" shapeId="0" xr:uid="{79E94E13-27B7-7149-A5D7-D739FA801E47}">
      <text>
        <r>
          <rPr>
            <sz val="10"/>
            <color rgb="FF000000"/>
            <rFont val="Tahoma"/>
            <family val="2"/>
          </rPr>
          <t>The app evaluated in addition to the self-testing program was for free, but nothing stated in regards to the tests itself</t>
        </r>
      </text>
    </comment>
    <comment ref="P21" authorId="0" shapeId="0" xr:uid="{BBD3A7AB-1ADC-E442-B4D5-12E842E839FB}">
      <text>
        <r>
          <rPr>
            <sz val="10"/>
            <color rgb="FF000000"/>
            <rFont val="Tahoma"/>
            <family val="2"/>
          </rPr>
          <t xml:space="preserve">8-17 years: 202 people
</t>
        </r>
        <r>
          <rPr>
            <sz val="10"/>
            <color rgb="FF000000"/>
            <rFont val="Tahoma"/>
            <family val="2"/>
          </rPr>
          <t xml:space="preserve">18-30 years: 106 people
</t>
        </r>
        <r>
          <rPr>
            <sz val="10"/>
            <color rgb="FF000000"/>
            <rFont val="Tahoma"/>
            <family val="2"/>
          </rPr>
          <t xml:space="preserve">31-45 years: 375 people
</t>
        </r>
        <r>
          <rPr>
            <sz val="10"/>
            <color rgb="FF000000"/>
            <rFont val="Tahoma"/>
            <family val="2"/>
          </rPr>
          <t xml:space="preserve">46-60 years: 214 people
</t>
        </r>
        <r>
          <rPr>
            <sz val="10"/>
            <color rgb="FF000000"/>
            <rFont val="Tahoma"/>
            <family val="2"/>
          </rPr>
          <t xml:space="preserve">61-75 years: 145 people
</t>
        </r>
        <r>
          <rPr>
            <sz val="10"/>
            <color rgb="FF000000"/>
            <rFont val="Tahoma"/>
            <family val="2"/>
          </rPr>
          <t xml:space="preserve">&gt; 75 years: 19 people
</t>
        </r>
        <r>
          <rPr>
            <sz val="10"/>
            <color rgb="FF000000"/>
            <rFont val="Tahoma"/>
            <family val="2"/>
          </rPr>
          <t>missing: 22 people</t>
        </r>
      </text>
    </comment>
    <comment ref="Z21" authorId="0" shapeId="0" xr:uid="{2FC9F362-833A-7B4A-A7F1-2A7C1A36D070}">
      <text>
        <r>
          <rPr>
            <sz val="10"/>
            <color rgb="FF000000"/>
            <rFont val="Tahoma"/>
            <family val="2"/>
          </rPr>
          <t xml:space="preserve">Working now, permanently: 1982 people
</t>
        </r>
        <r>
          <rPr>
            <sz val="10"/>
            <color rgb="FF000000"/>
            <rFont val="Tahoma"/>
            <family val="2"/>
          </rPr>
          <t xml:space="preserve">Working now, temporarily: 136 people
</t>
        </r>
        <r>
          <rPr>
            <sz val="10"/>
            <color rgb="FF000000"/>
            <rFont val="Tahoma"/>
            <family val="2"/>
          </rPr>
          <t xml:space="preserve">Student: 522 people
</t>
        </r>
        <r>
          <rPr>
            <sz val="10"/>
            <color rgb="FF000000"/>
            <rFont val="Tahoma"/>
            <family val="2"/>
          </rPr>
          <t xml:space="preserve">Retired: 242 people
</t>
        </r>
        <r>
          <rPr>
            <sz val="10"/>
            <color rgb="FF000000"/>
            <rFont val="Tahoma"/>
            <family val="2"/>
          </rPr>
          <t xml:space="preserve">Keeping house: 176 people
</t>
        </r>
        <r>
          <rPr>
            <sz val="10"/>
            <color rgb="FF000000"/>
            <rFont val="Tahoma"/>
            <family val="2"/>
          </rPr>
          <t xml:space="preserve">Unemployed: 98 people
</t>
        </r>
        <r>
          <rPr>
            <sz val="10"/>
            <color rgb="FF000000"/>
            <rFont val="Tahoma"/>
            <family val="2"/>
          </rPr>
          <t>Missing: 340 people</t>
        </r>
      </text>
    </comment>
    <comment ref="AJ21" authorId="0" shapeId="0" xr:uid="{490A726E-4710-F242-8F2A-F824FB11FA62}">
      <text>
        <r>
          <rPr>
            <sz val="10"/>
            <color rgb="FF000000"/>
            <rFont val="Tahoma"/>
            <family val="2"/>
          </rPr>
          <t>QuickVue At-Home OTC COVID-19 Test; Quidel Corporation)</t>
        </r>
      </text>
    </comment>
    <comment ref="AM21" authorId="0" shapeId="0" xr:uid="{83DB54E4-0B8F-D041-9A79-CF1DEFE4E2FD}">
      <text>
        <r>
          <rPr>
            <sz val="10"/>
            <color rgb="FF000000"/>
            <rFont val="Tahoma"/>
            <family val="2"/>
          </rPr>
          <t>participants ordered tests through study app</t>
        </r>
      </text>
    </comment>
    <comment ref="AQ21" authorId="0" shapeId="0" xr:uid="{595F5101-CAF7-8143-BC55-010E8342EDEB}">
      <text>
        <r>
          <rPr>
            <sz val="10"/>
            <color rgb="FF000000"/>
            <rFont val="Tahoma"/>
            <family val="2"/>
          </rPr>
          <t>Duration for which study participants were asked to test twice weekly</t>
        </r>
      </text>
    </comment>
    <comment ref="AR21" authorId="0" shapeId="0" xr:uid="{4FD4E9E9-644E-A64F-94B0-37475D7FEE8C}">
      <text>
        <r>
          <rPr>
            <sz val="10"/>
            <color rgb="FF000000"/>
            <rFont val="Calibri"/>
            <family val="2"/>
          </rPr>
          <t>Based on those n=622 that are described in Table 2 of the publication</t>
        </r>
      </text>
    </comment>
    <comment ref="AT21" authorId="0" shapeId="0" xr:uid="{D669BC53-A098-5D41-A33B-F5CB79952394}">
      <text>
        <r>
          <rPr>
            <sz val="10"/>
            <color rgb="FF000000"/>
            <rFont val="Tahoma"/>
            <family val="2"/>
          </rPr>
          <t>Only includes those n=622 that are described in Table 2 of the publication</t>
        </r>
      </text>
    </comment>
    <comment ref="AZ21" authorId="0" shapeId="0" xr:uid="{CBDFF9CE-8DBF-0A44-BA05-F6AB7A604B97}">
      <text>
        <r>
          <rPr>
            <sz val="10"/>
            <color rgb="FF000000"/>
            <rFont val="Tahoma"/>
            <family val="2"/>
          </rPr>
          <t>7.5% of all Ag-RDTs were positive, but not clear how many test were conducted in each group in total</t>
        </r>
      </text>
    </comment>
    <comment ref="CA21" authorId="0" shapeId="0" xr:uid="{277E3EBA-05FE-254A-8C98-10FB21A1BC79}">
      <text>
        <r>
          <rPr>
            <sz val="10"/>
            <color rgb="FF000000"/>
            <rFont val="Tahoma"/>
            <family val="2"/>
          </rPr>
          <t>As per screenshot of the mystudy-app presented in Supplement 1, slide 4</t>
        </r>
      </text>
    </comment>
    <comment ref="J22" authorId="0" shapeId="0" xr:uid="{F2C58AA9-9B8B-D34A-B39C-BAAC4AB53D68}">
      <text>
        <r>
          <rPr>
            <sz val="10"/>
            <color rgb="FF000000"/>
            <rFont val="Tahoma"/>
            <family val="2"/>
          </rPr>
          <t>The app evaluated in addition to the self-testing program was for free, but nothing stated in regards to the tests itself</t>
        </r>
      </text>
    </comment>
    <comment ref="P22" authorId="0" shapeId="0" xr:uid="{E36FC761-AB39-5C42-9B52-B8E36432ECDF}">
      <text>
        <r>
          <rPr>
            <sz val="10"/>
            <color rgb="FF000000"/>
            <rFont val="Tahoma"/>
            <family val="2"/>
          </rPr>
          <t xml:space="preserve">8-17 years: 202 people
</t>
        </r>
        <r>
          <rPr>
            <sz val="10"/>
            <color rgb="FF000000"/>
            <rFont val="Tahoma"/>
            <family val="2"/>
          </rPr>
          <t xml:space="preserve">18-30 years: 106 people
</t>
        </r>
        <r>
          <rPr>
            <sz val="10"/>
            <color rgb="FF000000"/>
            <rFont val="Tahoma"/>
            <family val="2"/>
          </rPr>
          <t xml:space="preserve">31-45 years: 375 people
</t>
        </r>
        <r>
          <rPr>
            <sz val="10"/>
            <color rgb="FF000000"/>
            <rFont val="Tahoma"/>
            <family val="2"/>
          </rPr>
          <t xml:space="preserve">46-60 years: 214 people
</t>
        </r>
        <r>
          <rPr>
            <sz val="10"/>
            <color rgb="FF000000"/>
            <rFont val="Tahoma"/>
            <family val="2"/>
          </rPr>
          <t xml:space="preserve">61-75 years: 145 people
</t>
        </r>
        <r>
          <rPr>
            <sz val="10"/>
            <color rgb="FF000000"/>
            <rFont val="Tahoma"/>
            <family val="2"/>
          </rPr>
          <t xml:space="preserve">&gt; 75 years: 19 people
</t>
        </r>
        <r>
          <rPr>
            <sz val="10"/>
            <color rgb="FF000000"/>
            <rFont val="Tahoma"/>
            <family val="2"/>
          </rPr>
          <t>missing: 22 people</t>
        </r>
      </text>
    </comment>
    <comment ref="Z22" authorId="0" shapeId="0" xr:uid="{BA5E37E7-33E8-8144-88DC-2523E001BE9D}">
      <text>
        <r>
          <rPr>
            <sz val="10"/>
            <color rgb="FF000000"/>
            <rFont val="Tahoma"/>
            <family val="2"/>
          </rPr>
          <t xml:space="preserve">Working now, permanently: 1982 people
</t>
        </r>
        <r>
          <rPr>
            <sz val="10"/>
            <color rgb="FF000000"/>
            <rFont val="Tahoma"/>
            <family val="2"/>
          </rPr>
          <t xml:space="preserve">Working now, temporarily: 136 people
</t>
        </r>
        <r>
          <rPr>
            <sz val="10"/>
            <color rgb="FF000000"/>
            <rFont val="Tahoma"/>
            <family val="2"/>
          </rPr>
          <t xml:space="preserve">Student: 522 people
</t>
        </r>
        <r>
          <rPr>
            <sz val="10"/>
            <color rgb="FF000000"/>
            <rFont val="Tahoma"/>
            <family val="2"/>
          </rPr>
          <t xml:space="preserve">Retired: 242 people
</t>
        </r>
        <r>
          <rPr>
            <sz val="10"/>
            <color rgb="FF000000"/>
            <rFont val="Tahoma"/>
            <family val="2"/>
          </rPr>
          <t xml:space="preserve">Keeping house: 176 people
</t>
        </r>
        <r>
          <rPr>
            <sz val="10"/>
            <color rgb="FF000000"/>
            <rFont val="Tahoma"/>
            <family val="2"/>
          </rPr>
          <t xml:space="preserve">Unemployed: 98 people
</t>
        </r>
        <r>
          <rPr>
            <sz val="10"/>
            <color rgb="FF000000"/>
            <rFont val="Tahoma"/>
            <family val="2"/>
          </rPr>
          <t>Missing: 340 people</t>
        </r>
      </text>
    </comment>
    <comment ref="AJ22" authorId="0" shapeId="0" xr:uid="{1E21B9C3-B92E-4848-A36D-043710B9156F}">
      <text>
        <r>
          <rPr>
            <sz val="10"/>
            <color rgb="FF000000"/>
            <rFont val="Tahoma"/>
            <family val="2"/>
          </rPr>
          <t>QuickVue At-Home OTC COVID-19 Test; Quidel Corporation)</t>
        </r>
      </text>
    </comment>
    <comment ref="AM22" authorId="0" shapeId="0" xr:uid="{4CD68710-06B7-F149-8393-A692A184F3D8}">
      <text>
        <r>
          <rPr>
            <sz val="10"/>
            <color rgb="FF000000"/>
            <rFont val="Tahoma"/>
            <family val="2"/>
          </rPr>
          <t>participants ordered tests through study app</t>
        </r>
      </text>
    </comment>
    <comment ref="AQ22" authorId="0" shapeId="0" xr:uid="{C60E446A-06D4-6646-9F2B-F4AC00768804}">
      <text>
        <r>
          <rPr>
            <sz val="10"/>
            <color rgb="FF000000"/>
            <rFont val="Tahoma"/>
            <family val="2"/>
          </rPr>
          <t>Duration for which study participants were asked to test twice weekly</t>
        </r>
      </text>
    </comment>
    <comment ref="AZ22" authorId="0" shapeId="0" xr:uid="{E173947C-E8C0-734C-85B4-C7A711E1391B}">
      <text>
        <r>
          <rPr>
            <sz val="10"/>
            <color rgb="FF000000"/>
            <rFont val="Tahoma"/>
            <family val="2"/>
          </rPr>
          <t>11% of all Ag-RDTs were positive, but not clear how many test were conducted in each group in total</t>
        </r>
      </text>
    </comment>
    <comment ref="CA22" authorId="0" shapeId="0" xr:uid="{012E2F20-291A-B046-9DB1-B64D2607ADC1}">
      <text>
        <r>
          <rPr>
            <sz val="10"/>
            <color rgb="FF000000"/>
            <rFont val="Tahoma"/>
            <family val="2"/>
          </rPr>
          <t>As per screenshot of the mystudy-app presented in Supplement 1, slide 4</t>
        </r>
      </text>
    </comment>
    <comment ref="AM23" authorId="0" shapeId="0" xr:uid="{15FD12BA-3D00-ED45-87A7-E19CDAAA477E}">
      <text>
        <r>
          <rPr>
            <sz val="10"/>
            <color rgb="FF000000"/>
            <rFont val="Tahoma"/>
            <family val="2"/>
          </rPr>
          <t>participants ordered tests online from study staff</t>
        </r>
      </text>
    </comment>
    <comment ref="AT23" authorId="0" shapeId="0" xr:uid="{7360F231-97F4-8E49-83A1-C6CD9E1D9F39}">
      <text>
        <r>
          <rPr>
            <sz val="10"/>
            <color rgb="FF000000"/>
            <rFont val="Calibri"/>
            <family val="2"/>
          </rPr>
          <t xml:space="preserve">Sites with complete incentivization, Indiana and Kentucky, reported a higher proportion of test results to the DoH (90.5%; 95% CI, 89.9%-91.2%) than unincentivized or partially incentivized sites (70.5% 95% CI, 70.0%-71.0%) </t>
        </r>
      </text>
    </comment>
    <comment ref="AM24" authorId="0" shapeId="0" xr:uid="{146B5EBE-BFC3-0B4E-AC96-7BDA41F19012}">
      <text>
        <r>
          <rPr>
            <sz val="10"/>
            <color rgb="FF000000"/>
            <rFont val="Tahoma"/>
            <family val="2"/>
          </rPr>
          <t>participants ordered tests online from study staff</t>
        </r>
      </text>
    </comment>
    <comment ref="AT24" authorId="0" shapeId="0" xr:uid="{B055245B-3AE9-5D47-8FC8-0B05F319D476}">
      <text>
        <r>
          <rPr>
            <sz val="10"/>
            <color rgb="FF000000"/>
            <rFont val="Calibri"/>
            <family val="2"/>
          </rPr>
          <t xml:space="preserve">Sites with complete incentivization, Indiana and Kentucky, reported a higher proportion of test results to the DoH (90.5%; 95% CI, 89.9%-91.2%) than unincentivized or partially incentivized sites (70.5% 95% CI, 70.0%-71.0%) </t>
        </r>
      </text>
    </comment>
    <comment ref="AM25" authorId="0" shapeId="0" xr:uid="{5B12BD64-AD02-CD42-AD56-EDE927477447}">
      <text>
        <r>
          <rPr>
            <sz val="10"/>
            <color rgb="FF000000"/>
            <rFont val="Tahoma"/>
            <family val="2"/>
          </rPr>
          <t>participants ordered tests online from study staff</t>
        </r>
      </text>
    </comment>
    <comment ref="AT25" authorId="0" shapeId="0" xr:uid="{E6093926-2C95-9D4C-94E6-004BACE54028}">
      <text>
        <r>
          <rPr>
            <sz val="10"/>
            <color rgb="FF000000"/>
            <rFont val="Calibri"/>
            <family val="2"/>
          </rPr>
          <t xml:space="preserve">Sites with complete incentivization, Indiana and Kentucky, reported a higher proportion of test results to the DoH (90.5%; 95% CI, 89.9%-91.2%) than unincentivized or partially incentivized sites (70.5% 95% CI, 70.0%-71.0%) </t>
        </r>
      </text>
    </comment>
    <comment ref="AM26" authorId="0" shapeId="0" xr:uid="{3B2DBC2B-CE79-254B-8520-03BD03474661}">
      <text>
        <r>
          <rPr>
            <sz val="10"/>
            <color rgb="FF000000"/>
            <rFont val="Tahoma"/>
            <family val="2"/>
          </rPr>
          <t>participants ordered tests online from study staff</t>
        </r>
      </text>
    </comment>
    <comment ref="AT26" authorId="0" shapeId="0" xr:uid="{BF6BEF1F-6005-B340-A20B-8DFC2F7748E1}">
      <text>
        <r>
          <rPr>
            <sz val="10"/>
            <color rgb="FF000000"/>
            <rFont val="Calibri"/>
            <family val="2"/>
          </rPr>
          <t xml:space="preserve">Sites with complete incentivization, Indiana and Kentucky, reported a higher proportion of test results to the DoH (90.5%; 95% CI, 89.9%-91.2%) than unincentivized or partially incentivized sites (70.5% 95% CI, 70.0%-71.0%) </t>
        </r>
      </text>
    </comment>
    <comment ref="AM27" authorId="0" shapeId="0" xr:uid="{57D715B8-D0C3-0C47-9956-59FF99D0F699}">
      <text>
        <r>
          <rPr>
            <sz val="10"/>
            <color rgb="FF000000"/>
            <rFont val="Tahoma"/>
            <family val="2"/>
          </rPr>
          <t>participants ordered tests online from study staff</t>
        </r>
      </text>
    </comment>
    <comment ref="AT27" authorId="0" shapeId="0" xr:uid="{0A5693C5-22D6-FE40-A3D2-B61C3313EC01}">
      <text>
        <r>
          <rPr>
            <sz val="10"/>
            <color rgb="FF000000"/>
            <rFont val="Calibri"/>
            <family val="2"/>
          </rPr>
          <t xml:space="preserve">Sites with complete incentivization, Indiana and Kentucky, reported a higher proportion of test results to the DoH (90.5%; 95% CI, 89.9%-91.2%) than unincentivized or partially incentivized sites (70.5% 95% CI, 70.0%-71.0%) </t>
        </r>
      </text>
    </comment>
    <comment ref="AT28" authorId="0" shapeId="0" xr:uid="{2F2C52B7-AE4C-9E44-87AD-05D332948F5A}">
      <text>
        <r>
          <rPr>
            <sz val="10"/>
            <color rgb="FF000000"/>
            <rFont val="Tahoma"/>
            <family val="2"/>
          </rPr>
          <t>Including three inconclusive results</t>
        </r>
      </text>
    </comment>
    <comment ref="AV28" authorId="0" shapeId="0" xr:uid="{9159BB95-BB2F-D343-8238-C09DC442761D}">
      <text>
        <r>
          <rPr>
            <sz val="10"/>
            <color rgb="FF000000"/>
            <rFont val="Tahoma"/>
            <family val="2"/>
          </rPr>
          <t>only the first test</t>
        </r>
      </text>
    </comment>
    <comment ref="AX28" authorId="0" shapeId="0" xr:uid="{29BB87DB-DAE4-1045-ABE7-5AAFF3C12B16}">
      <text>
        <r>
          <rPr>
            <sz val="10"/>
            <color rgb="FF000000"/>
            <rFont val="Tahoma"/>
            <family val="2"/>
          </rPr>
          <t>In the manuscript it is stated that individuals should stop self-testing after a positive RT-PCR result. However, in Suppl Fig 1, three positive C19ST 1-7 days after a positive RT-PCR are reported.</t>
        </r>
      </text>
    </comment>
    <comment ref="BU28" authorId="0" shapeId="0" xr:uid="{B097087E-9562-EA47-A811-4F7A2266A97C}">
      <text>
        <r>
          <rPr>
            <sz val="10"/>
            <color rgb="FF000000"/>
            <rFont val="Tahoma"/>
            <family val="2"/>
          </rPr>
          <t>5 individuals were missed by C19ST, but confirmatory testing was not conducted for every individual</t>
        </r>
      </text>
    </comment>
    <comment ref="CA28" authorId="0" shapeId="0" xr:uid="{9CFA5E73-956B-054A-98B6-3CFE6D73FDC8}">
      <text>
        <r>
          <rPr>
            <sz val="10"/>
            <color rgb="FF000000"/>
            <rFont val="Tahoma"/>
            <family val="2"/>
          </rPr>
          <t>time after which the test result should be interpreted, as reported in the methods of the study</t>
        </r>
      </text>
    </comment>
    <comment ref="AV29" authorId="0" shapeId="0" xr:uid="{B22EF3FA-5A9A-424C-AD94-9A04B7459815}">
      <text>
        <r>
          <rPr>
            <sz val="10"/>
            <color rgb="FF000000"/>
            <rFont val="Tahoma"/>
            <family val="2"/>
          </rPr>
          <t>only the first test</t>
        </r>
      </text>
    </comment>
    <comment ref="CA29" authorId="0" shapeId="0" xr:uid="{09601D81-07CF-BC46-88C3-6B55AB15215E}">
      <text>
        <r>
          <rPr>
            <sz val="10"/>
            <color rgb="FF000000"/>
            <rFont val="Calibri"/>
            <family val="2"/>
          </rPr>
          <t>time after which the test result should be interpreted, as reported in the methods of the study</t>
        </r>
      </text>
    </comment>
    <comment ref="Z30" authorId="0" shapeId="0" xr:uid="{2B3F6E13-BF6B-0447-A530-DDC9A0DDD778}">
      <text>
        <r>
          <rPr>
            <sz val="10"/>
            <color rgb="FF000000"/>
            <rFont val="Tahoma"/>
            <family val="2"/>
          </rPr>
          <t>School teachers</t>
        </r>
      </text>
    </comment>
    <comment ref="AQ30" authorId="0" shapeId="0" xr:uid="{F9EF9134-AA68-684A-9F60-7E7166800A05}">
      <text>
        <r>
          <rPr>
            <sz val="10"/>
            <color rgb="FF000000"/>
            <rFont val="Tahoma"/>
            <family val="2"/>
          </rPr>
          <t>As defined in the study, exact study dates are not provided</t>
        </r>
      </text>
    </comment>
    <comment ref="AX30" authorId="0" shapeId="0" xr:uid="{6A53F448-269F-EC40-BBC5-0E29E4C327BE}">
      <text>
        <r>
          <rPr>
            <sz val="10"/>
            <color rgb="FF000000"/>
            <rFont val="Tahoma"/>
            <family val="2"/>
          </rPr>
          <t>After personal communication with the study author</t>
        </r>
      </text>
    </comment>
    <comment ref="BU30" authorId="0" shapeId="0" xr:uid="{D87C004D-4400-E14D-BC74-E24BF6486A25}">
      <text>
        <r>
          <rPr>
            <sz val="10"/>
            <color rgb="FF000000"/>
            <rFont val="Tahoma"/>
            <family val="2"/>
          </rPr>
          <t>4 individuals were missed by C19ST, but not all individuals received confirmatory testing</t>
        </r>
      </text>
    </comment>
    <comment ref="H31" authorId="0" shapeId="0" xr:uid="{79DB194F-326C-DE48-83D9-A47E2BF2E0D7}">
      <text>
        <r>
          <rPr>
            <sz val="10"/>
            <color rgb="FF000000"/>
            <rFont val="Tahoma"/>
            <family val="2"/>
          </rPr>
          <t>Postcode had to be in Wales, but unclear what part of Wales</t>
        </r>
      </text>
    </comment>
    <comment ref="M31" authorId="0" shapeId="0" xr:uid="{E0C1535F-A20A-7A45-B91D-D6DFDDE82A3D}">
      <text>
        <r>
          <rPr>
            <sz val="10"/>
            <color rgb="FF000000"/>
            <rFont val="Tahoma"/>
            <family val="2"/>
          </rPr>
          <t>115,593 tests reported, but some individuals tested multiple times and this is not differentiated</t>
        </r>
      </text>
    </comment>
    <comment ref="R31" authorId="0" shapeId="0" xr:uid="{A11CEAB5-99C7-A747-9AEB-1B2092E9BC94}">
      <text>
        <r>
          <rPr>
            <sz val="10"/>
            <color rgb="FF000000"/>
            <rFont val="Calibri"/>
            <family val="2"/>
          </rPr>
          <t>48 reported. However, some individuals tested multiple times but were included as distinct individuals!</t>
        </r>
      </text>
    </comment>
    <comment ref="S31" authorId="0" shapeId="0" xr:uid="{4FA65689-6186-6B4E-A997-681FC97281CE}">
      <text>
        <r>
          <rPr>
            <sz val="10"/>
            <color rgb="FF000000"/>
            <rFont val="Calibri"/>
            <family val="2"/>
          </rPr>
          <t>26 reported. However, some individuals tested multiple times but were included as distinct individuals!</t>
        </r>
      </text>
    </comment>
    <comment ref="T31" authorId="0" shapeId="0" xr:uid="{EE83391A-342B-5A41-88AB-F3A2E968537D}">
      <text>
        <r>
          <rPr>
            <sz val="10"/>
            <color rgb="FF000000"/>
            <rFont val="Calibri"/>
            <family val="2"/>
          </rPr>
          <t>70 reported. However, some individuals tested multiple times but were included as distinct individuals!</t>
        </r>
      </text>
    </comment>
    <comment ref="W31" authorId="0" shapeId="0" xr:uid="{CB17B24B-12E2-B244-8DB7-362EA18C320A}">
      <text>
        <r>
          <rPr>
            <sz val="10"/>
            <color rgb="FF000000"/>
            <rFont val="Calibri"/>
            <family val="2"/>
          </rPr>
          <t>98741 reported. However, some individuals tested multiple times but were included as distinct individuals!</t>
        </r>
      </text>
    </comment>
    <comment ref="Z31" authorId="0" shapeId="0" xr:uid="{D4C1EBB3-D607-434C-8478-B730A9EB2B8C}">
      <text>
        <r>
          <rPr>
            <sz val="10"/>
            <color rgb="FF000000"/>
            <rFont val="Tahoma"/>
            <family val="2"/>
          </rPr>
          <t>Staff of care homes</t>
        </r>
      </text>
    </comment>
    <comment ref="AB31" authorId="0" shapeId="0" xr:uid="{BD4D8E24-5831-B842-A23E-34A61F89AF54}">
      <text>
        <r>
          <rPr>
            <sz val="10"/>
            <color rgb="FF000000"/>
            <rFont val="Tahoma"/>
            <family val="2"/>
          </rPr>
          <t>Given that symptomatic individuals were supposed to directly perform RT-PCR, study population is most likely asymptomatic, but no respective proof was provided</t>
        </r>
      </text>
    </comment>
    <comment ref="AO31" authorId="0" shapeId="0" xr:uid="{EB591054-3559-6A41-8829-1634B0AFEC4B}">
      <text>
        <r>
          <rPr>
            <sz val="10"/>
            <color rgb="FF000000"/>
            <rFont val="Tahoma"/>
            <family val="2"/>
          </rPr>
          <t>Only the first test for each day of testing was included</t>
        </r>
      </text>
    </comment>
    <comment ref="AP31" authorId="0" shapeId="0" xr:uid="{3216FF24-0DBF-EC49-8790-41E47A399D16}">
      <text>
        <r>
          <rPr>
            <sz val="10"/>
            <color rgb="FF000000"/>
            <rFont val="Tahoma"/>
            <family val="2"/>
          </rPr>
          <t>Testing twice or more weekly</t>
        </r>
      </text>
    </comment>
    <comment ref="AR31" authorId="0" shapeId="0" xr:uid="{7D00D193-033D-3742-91E5-77820B366893}">
      <text>
        <r>
          <rPr>
            <sz val="10"/>
            <color rgb="FF000000"/>
            <rFont val="Tahoma"/>
            <family val="2"/>
          </rPr>
          <t>Not possible to calculate given that only those self-tests were reported in the study that also had an RT-PCR on the same day</t>
        </r>
      </text>
    </comment>
    <comment ref="BH31" authorId="0" shapeId="0" xr:uid="{2685EA8A-E987-694A-8909-A8C4A2EA5B19}">
      <text>
        <r>
          <rPr>
            <sz val="10"/>
            <color rgb="FF000000"/>
            <rFont val="Tahoma"/>
            <family val="2"/>
          </rPr>
          <t>RT-PCR and C19ST were taken on the same day</t>
        </r>
      </text>
    </comment>
    <comment ref="Z32" authorId="0" shapeId="0" xr:uid="{E9477197-031D-6042-9F8B-0A37E60DB8B7}">
      <text>
        <r>
          <rPr>
            <sz val="10"/>
            <color rgb="FF000000"/>
            <rFont val="Tahoma"/>
            <family val="2"/>
          </rPr>
          <t>Residents of the Chongqing Medical University Campus</t>
        </r>
      </text>
    </comment>
    <comment ref="CN32" authorId="0" shapeId="0" xr:uid="{3E2CB7BC-CE34-3F4C-8747-2181ED81AB40}">
      <text>
        <r>
          <rPr>
            <sz val="10"/>
            <color rgb="FF000000"/>
            <rFont val="Tahoma"/>
            <family val="34"/>
          </rPr>
          <t>11 versus 1225 cases in the self-isolation group</t>
        </r>
      </text>
    </comment>
    <comment ref="CO32" authorId="0" shapeId="0" xr:uid="{C1CE5A6D-BD86-AF46-A338-3AF196E628AA}">
      <text>
        <r>
          <rPr>
            <sz val="10"/>
            <color rgb="FF000000"/>
            <rFont val="Tahoma"/>
            <family val="34"/>
          </rPr>
          <t>57 versus 2286 individuals in the self-isolation group</t>
        </r>
      </text>
    </comment>
    <comment ref="L33" authorId="0" shapeId="0" xr:uid="{9B9DADB7-3E18-2F4F-871A-82E60C00F053}">
      <text>
        <r>
          <rPr>
            <sz val="10"/>
            <color rgb="FF000000"/>
            <rFont val="Tahoma"/>
            <family val="2"/>
          </rPr>
          <t>sum of all four data sets</t>
        </r>
      </text>
    </comment>
    <comment ref="M33" authorId="0" shapeId="0" xr:uid="{2D4A6E55-158B-D14A-8CAE-D1ADC5F5EFBD}">
      <text>
        <r>
          <rPr>
            <sz val="10"/>
            <color rgb="FF000000"/>
            <rFont val="Tahoma"/>
            <family val="2"/>
          </rPr>
          <t xml:space="preserve">sum of all four data sets
</t>
        </r>
        <r>
          <rPr>
            <sz val="10"/>
            <color rgb="FF000000"/>
            <rFont val="Tahoma"/>
            <family val="2"/>
          </rPr>
          <t xml:space="preserve">
</t>
        </r>
        <r>
          <rPr>
            <sz val="10"/>
            <color rgb="FF000000"/>
            <rFont val="Tahoma"/>
            <family val="2"/>
          </rPr>
          <t>Out of 1015 study participants, 67 did not provide a response and one subject didi not self-report the test result on the form</t>
        </r>
      </text>
    </comment>
    <comment ref="Z33" authorId="0" shapeId="0" xr:uid="{1D6DF2A5-00D7-2440-B43C-F7AA34BE6C02}">
      <text>
        <r>
          <rPr>
            <sz val="10"/>
            <color rgb="FF000000"/>
            <rFont val="Tahoma"/>
            <family val="2"/>
          </rPr>
          <t>Employees of the University Hospital Tübingen</t>
        </r>
      </text>
    </comment>
    <comment ref="AA33" authorId="0" shapeId="0" xr:uid="{1EF8F782-C470-FA42-B5B2-582B433374A1}">
      <text>
        <r>
          <rPr>
            <sz val="10"/>
            <color rgb="FF000000"/>
            <rFont val="Tahoma"/>
            <family val="2"/>
          </rPr>
          <t>Sum of all four data sets</t>
        </r>
      </text>
    </comment>
    <comment ref="AB33" authorId="0" shapeId="0" xr:uid="{3CF28622-D40C-9F44-90FB-C0CA33025FAB}">
      <text>
        <r>
          <rPr>
            <sz val="10"/>
            <color rgb="FF000000"/>
            <rFont val="Tahoma"/>
            <family val="2"/>
          </rPr>
          <t>sum of all four data sets</t>
        </r>
      </text>
    </comment>
    <comment ref="Z34" authorId="0" shapeId="0" xr:uid="{F96D080C-A65E-5344-A0BC-FD1F967E9066}">
      <text>
        <r>
          <rPr>
            <sz val="10"/>
            <color rgb="FF000000"/>
            <rFont val="Tahoma"/>
            <family val="2"/>
          </rPr>
          <t>Employees of the University Hospital Tübingen</t>
        </r>
      </text>
    </comment>
    <comment ref="Z35" authorId="0" shapeId="0" xr:uid="{1BAF31F0-CF3B-3847-8360-911A70AED93C}">
      <text>
        <r>
          <rPr>
            <sz val="10"/>
            <color rgb="FF000000"/>
            <rFont val="Tahoma"/>
            <family val="2"/>
          </rPr>
          <t>Employees of the University Hospital Tübingen</t>
        </r>
      </text>
    </comment>
    <comment ref="Z36" authorId="0" shapeId="0" xr:uid="{B994CFAA-71BE-EC4C-9526-7542EEDE909A}">
      <text>
        <r>
          <rPr>
            <sz val="10"/>
            <color rgb="FF000000"/>
            <rFont val="Tahoma"/>
            <family val="2"/>
          </rPr>
          <t>Employees of the University Hospital Tübingen</t>
        </r>
      </text>
    </comment>
    <comment ref="L37" authorId="0" shapeId="0" xr:uid="{30926F21-FC60-FB4D-9276-6291EFF04806}">
      <text>
        <r>
          <rPr>
            <sz val="10"/>
            <color rgb="FF000000"/>
            <rFont val="Tahoma"/>
            <family val="2"/>
          </rPr>
          <t>A total of 16808 individuals participated in the study. However, this number of participants changed throughout the course of the study (see caption of Table 2 in the manuscript) and it is uncertain whether all individuals actually collected / were sent self-tests</t>
        </r>
      </text>
    </comment>
    <comment ref="Z37" authorId="0" shapeId="0" xr:uid="{13C47968-DCD8-6B44-A782-6389B37649E0}">
      <text>
        <r>
          <rPr>
            <sz val="10"/>
            <color rgb="FF000000"/>
            <rFont val="Tahoma"/>
            <family val="2"/>
          </rPr>
          <t>Pupils (all grades)</t>
        </r>
      </text>
    </comment>
    <comment ref="AZ37" authorId="0" shapeId="0" xr:uid="{88A7CC1C-7969-4045-A902-FFBAC0AA0451}">
      <text>
        <r>
          <rPr>
            <sz val="10"/>
            <color rgb="FF000000"/>
            <rFont val="Calibri"/>
            <family val="2"/>
          </rPr>
          <t xml:space="preserve">In Table 2 of the manuscript, results from the study's pilot and the study's main phase are presented. The study's pilot phase included 4 positive pools, relating to sample IDs 1-5. The main phase included 16 postive pools, relating to sample IDs 6-22. Given that only the results from the main phase are relevant to our analysis, only data pertaining sample IDs 6-22 was considered. </t>
        </r>
      </text>
    </comment>
    <comment ref="BA37" authorId="0" shapeId="0" xr:uid="{9F5CCFE7-7D2D-DF4A-B728-9FBFB5240CF6}">
      <text>
        <r>
          <rPr>
            <sz val="10"/>
            <color rgb="FF000000"/>
            <rFont val="Tahoma"/>
            <family val="2"/>
          </rPr>
          <t xml:space="preserve">In Table 2 of the manuscript, results from the study's pilot and the study's main phase are presented. The study's pilot phase included 4 positive pools, relating to sample IDs 1-5. The main phase included 16 postive pools, relating to sample IDs 6-22. Given that only the results from the main phase are relevant to our analysis, only data pertaining sample IDs 6-22 was considered.  </t>
        </r>
      </text>
    </comment>
    <comment ref="BG37" authorId="0" shapeId="0" xr:uid="{6BFDE883-3377-E84B-B5CE-A863AAF98FC8}">
      <text>
        <r>
          <rPr>
            <sz val="10"/>
            <color rgb="FF000000"/>
            <rFont val="Calibri"/>
            <family val="2"/>
          </rPr>
          <t xml:space="preserve">In Table 2 of the manuscript, results from the study's pilot and the study's main phase are presented. The study's pilot phase included 4 positive pools, relating to sample IDs 1-5. The main phase included 16 postive pools, relating to sample IDs 6-22. Given that only the results from the main phase are relevant to our analysis, only data pertaining sample IDs 6-22 was considered. </t>
        </r>
      </text>
    </comment>
    <comment ref="BH37" authorId="0" shapeId="0" xr:uid="{CDCF4D0B-0457-2845-8EFA-F87370157E10}">
      <text>
        <r>
          <rPr>
            <sz val="10"/>
            <color rgb="FF000000"/>
            <rFont val="Tahoma"/>
            <family val="2"/>
          </rPr>
          <t xml:space="preserve">In Table 2 of the manuscript, results from the study's pilot and the study's main phase are presented. The study's pilot phase included 4 positive pools, relating to sample IDs 1-5. The main phase included 16 postive pools, relating to sample IDs 6-22. Given that only the results from the main phase are relevant to our analysis, only data pertaining sample IDs 6-22 was considered.
</t>
        </r>
        <r>
          <rPr>
            <sz val="10"/>
            <color rgb="FF000000"/>
            <rFont val="Tahoma"/>
            <family val="2"/>
          </rPr>
          <t xml:space="preserve">
</t>
        </r>
        <r>
          <rPr>
            <sz val="10"/>
            <color rgb="FF000000"/>
            <rFont val="Tahoma"/>
            <family val="2"/>
          </rPr>
          <t>C19ST and RT-PCR were performed within one day.</t>
        </r>
      </text>
    </comment>
    <comment ref="BM37" authorId="0" shapeId="0" xr:uid="{15BD55D7-9318-E94B-AC33-C44C30246DBA}">
      <text>
        <r>
          <rPr>
            <sz val="10"/>
            <color rgb="FF000000"/>
            <rFont val="Calibri"/>
            <family val="2"/>
          </rPr>
          <t xml:space="preserve">In Table 2 of the manuscript, results from the study's pilot and the study's main phase are presented. The study's pilot phase included 4 positive pools, relating to sample IDs 1-5. The main phase included 16 postive pools, relating to sample IDs 6-22. Given that only the results from the main phase are relevant to our analysis, only data pertaining sample IDs 6-22 was considered. </t>
        </r>
      </text>
    </comment>
    <comment ref="BN37" authorId="0" shapeId="0" xr:uid="{A40C0BAF-1B9C-CA4A-8AED-BBDCC43217FF}">
      <text>
        <r>
          <rPr>
            <sz val="10"/>
            <color rgb="FF000000"/>
            <rFont val="Tahoma"/>
            <family val="2"/>
          </rPr>
          <t xml:space="preserve">In Table 2 of the manuscript, results from the study's pilot and the study's main phase are presented. The study's pilot phase included 4 positive pools, relating to sample IDs 1-5. The main phase included 16 postive pools, relating to sample IDs 6-22. Given that only the results from the main phase are relevant to our analysis, only data pertaining sample IDs 6-22 was considered.  </t>
        </r>
      </text>
    </comment>
    <comment ref="BT37" authorId="0" shapeId="0" xr:uid="{8930C09B-1251-414C-AE5A-AAB825EA10DE}">
      <text>
        <r>
          <rPr>
            <sz val="10"/>
            <color rgb="FF000000"/>
            <rFont val="Calibri"/>
            <family val="2"/>
          </rPr>
          <t xml:space="preserve">In Table 2 of the manuscript, results from the study's pilot and the study's main phase are presented. The study's pilot phase included 4 positive pools, relating to sample IDs 1-5. The main phase included 16 postive pools, relating to sample IDs 6-22. Given that only the results from the main phase are relevant to our analysis, only data pertaining sample IDs 6-22 was considered. </t>
        </r>
      </text>
    </comment>
    <comment ref="BU37" authorId="0" shapeId="0" xr:uid="{8D9EAF34-5860-ED41-ADEF-E443128D41E5}">
      <text>
        <r>
          <rPr>
            <sz val="10"/>
            <color rgb="FF000000"/>
            <rFont val="Tahoma"/>
            <family val="2"/>
          </rPr>
          <t xml:space="preserve">In Table 2 of the manuscript, results from the study's pilot and the study's main phase are presented. The study's pilot phase included 4 positive pools, relating to sample IDs 1-5. The main phase included 16 postive pools, relating to sample IDs 6-22. Given that only the results from the main phase are relevant to our analysis, only data pertaining sample IDs 6-22 was considered.
</t>
        </r>
        <r>
          <rPr>
            <sz val="10"/>
            <color rgb="FF000000"/>
            <rFont val="Tahoma"/>
            <family val="2"/>
          </rPr>
          <t xml:space="preserve">
</t>
        </r>
        <r>
          <rPr>
            <sz val="10"/>
            <color rgb="FF000000"/>
            <rFont val="Tahoma"/>
            <family val="2"/>
          </rPr>
          <t>RT-PCR and C19ST were performed within one day.</t>
        </r>
      </text>
    </comment>
    <comment ref="BW37" authorId="0" shapeId="0" xr:uid="{C1521CF7-5478-B84A-9C36-B50E1C2BD43B}">
      <text>
        <r>
          <rPr>
            <sz val="10"/>
            <color rgb="FF000000"/>
            <rFont val="Calibri"/>
            <family val="2"/>
          </rPr>
          <t xml:space="preserve">In Table 2 of the manuscript, results from the study's pilot and the study's main phase are presented. The study's pilot phase included 4 positive pools, relating to sample IDs 1-5. The main phase included 16 postive pools, relating to sample IDs 6-22. Given that only the results from the main phase are relevant to our analysis, only data pertaining sample IDs 6-22 was considered. </t>
        </r>
      </text>
    </comment>
    <comment ref="F38" authorId="0" shapeId="0" xr:uid="{8C362CE5-80F6-044D-AB69-20BC32C119B9}">
      <text>
        <r>
          <rPr>
            <sz val="10"/>
            <color rgb="FF000000"/>
            <rFont val="Tahoma"/>
            <family val="2"/>
          </rPr>
          <t>San Diego County, CA</t>
        </r>
      </text>
    </comment>
    <comment ref="Z38" authorId="0" shapeId="0" xr:uid="{0EDBBDCF-4581-B645-99D1-565FB28E805A}">
      <text>
        <r>
          <rPr>
            <sz val="10"/>
            <color rgb="FF000000"/>
            <rFont val="Tahoma"/>
            <family val="2"/>
          </rPr>
          <t>199 students, 65 staff</t>
        </r>
      </text>
    </comment>
    <comment ref="AI38" authorId="0" shapeId="0" xr:uid="{01183625-7646-2247-BD79-853177C54911}">
      <text>
        <r>
          <rPr>
            <sz val="10"/>
            <color rgb="FF000000"/>
            <rFont val="Tahoma"/>
            <family val="2"/>
          </rPr>
          <t>44 reported to have previously tested positiv for SARS-CoV-2, but no antibody testing was performed and it was unclear whether any asymptomatic infections were missed.</t>
        </r>
      </text>
    </comment>
    <comment ref="AQ38" authorId="0" shapeId="0" xr:uid="{5FF33398-F355-0248-A786-616DAD93C2D8}">
      <text>
        <r>
          <rPr>
            <sz val="10"/>
            <color rgb="FF000000"/>
            <rFont val="Tahoma"/>
            <family val="2"/>
          </rPr>
          <t>However, some individuals (not further specified) left the study prior to the 20 weeks</t>
        </r>
      </text>
    </comment>
    <comment ref="CA38" authorId="0" shapeId="0" xr:uid="{D226232A-396D-5541-87DB-F1CB3E06ACDC}">
      <text>
        <r>
          <rPr>
            <sz val="10"/>
            <color rgb="FF000000"/>
            <rFont val="Tahoma"/>
            <family val="2"/>
          </rPr>
          <t>assuming average time to complete a COVID-19 antigen-based self-test</t>
        </r>
      </text>
    </comment>
    <comment ref="CZ38" authorId="0" shapeId="0" xr:uid="{9783B44F-7A4A-F341-BC45-E70DB49DAD83}">
      <text>
        <r>
          <rPr>
            <sz val="10"/>
            <color rgb="FF000000"/>
            <rFont val="Tahoma"/>
            <family val="2"/>
          </rPr>
          <t>Reported in qualitative Kiene et al. study</t>
        </r>
      </text>
    </comment>
    <comment ref="F39" authorId="0" shapeId="0" xr:uid="{1F50A0EA-17CC-1B44-9D26-E5427220A1CC}">
      <text>
        <r>
          <rPr>
            <sz val="10"/>
            <color rgb="FF000000"/>
            <rFont val="Tahoma"/>
            <family val="2"/>
          </rPr>
          <t>Seatlle, WA</t>
        </r>
      </text>
    </comment>
    <comment ref="J39" authorId="0" shapeId="0" xr:uid="{3A6C9816-5759-EF40-836B-BB344E3BC8B2}">
      <text>
        <r>
          <rPr>
            <sz val="10"/>
            <color rgb="FF000000"/>
            <rFont val="Tahoma"/>
            <family val="2"/>
          </rPr>
          <t>Tests distributed by the university were for free. However, some individuals also received tests from local pharmacies or government-supplied programs at unclear costs</t>
        </r>
      </text>
    </comment>
    <comment ref="Z39" authorId="0" shapeId="0" xr:uid="{7B95B476-177C-6649-B63C-6C52B764BE7C}">
      <text>
        <r>
          <rPr>
            <sz val="10"/>
            <color rgb="FF000000"/>
            <rFont val="Tahoma"/>
            <family val="34"/>
          </rPr>
          <t xml:space="preserve">3026 (54.3) - students
</t>
        </r>
        <r>
          <rPr>
            <sz val="10"/>
            <color rgb="FF000000"/>
            <rFont val="Tahoma"/>
            <family val="34"/>
          </rPr>
          <t xml:space="preserve">108 (1.9) - Greek sorority or fraternity member 
</t>
        </r>
        <r>
          <rPr>
            <sz val="10"/>
            <color rgb="FF000000"/>
            <rFont val="Tahoma"/>
            <family val="34"/>
          </rPr>
          <t xml:space="preserve">1746 (31.3) - staff
</t>
        </r>
        <r>
          <rPr>
            <sz val="10"/>
            <color rgb="FF000000"/>
            <rFont val="Tahoma"/>
            <family val="34"/>
          </rPr>
          <t xml:space="preserve">752 (13.5) - faculty
</t>
        </r>
        <r>
          <rPr>
            <sz val="10"/>
            <color rgb="FF000000"/>
            <rFont val="Tahoma"/>
            <family val="34"/>
          </rPr>
          <t>51 (0.9) - other</t>
        </r>
      </text>
    </comment>
    <comment ref="AG39" authorId="0" shapeId="0" xr:uid="{D96989EF-F188-4E4A-A3EC-BBE1E5220A6D}">
      <text>
        <r>
          <rPr>
            <sz val="10"/>
            <color rgb="FF000000"/>
            <rFont val="Calibri"/>
            <family val="2"/>
          </rPr>
          <t>Individuals conducted self-testing after RT-PCR testing, but were included in the study irrespective of their RT-PCR result</t>
        </r>
      </text>
    </comment>
    <comment ref="AM39" authorId="0" shapeId="0" xr:uid="{B1DA298F-51BA-8644-AFF1-5D8C670F2D8D}">
      <text>
        <r>
          <rPr>
            <sz val="10"/>
            <color rgb="FF000000"/>
            <rFont val="Tahoma"/>
            <family val="2"/>
          </rPr>
          <t>university, pharmacies, and government-supplied programs</t>
        </r>
      </text>
    </comment>
    <comment ref="BH39" authorId="0" shapeId="0" xr:uid="{AA2DD3CB-8090-944E-93AA-690BF49DCB4C}">
      <text>
        <r>
          <rPr>
            <sz val="10"/>
            <color rgb="FF000000"/>
            <rFont val="Tahoma"/>
            <family val="2"/>
          </rPr>
          <t>404 false-negative results were detected, but not every negative Ag-RDT received confirmatory testing</t>
        </r>
      </text>
    </comment>
    <comment ref="CA39" authorId="0" shapeId="0" xr:uid="{7FE93273-8290-204A-88F9-4B2BDCC8BE25}">
      <text>
        <r>
          <rPr>
            <sz val="10"/>
            <color rgb="FF000000"/>
            <rFont val="Tahoma"/>
            <family val="2"/>
          </rPr>
          <t>Ag-RDTs were conducted after the RT-PCR</t>
        </r>
      </text>
    </comment>
    <comment ref="BU40" authorId="0" shapeId="0" xr:uid="{363C43ED-C729-084B-9C99-331ABD9D11E9}">
      <text>
        <r>
          <rPr>
            <sz val="10"/>
            <color rgb="FF000000"/>
            <rFont val="Tahoma"/>
            <family val="2"/>
          </rPr>
          <t>4 individuals were reported to be missed by C19ST, but confirmatory testing was not performed on every individual</t>
        </r>
      </text>
    </comment>
    <comment ref="CA40" authorId="0" shapeId="0" xr:uid="{ECCF610B-3210-B346-9642-73A7EA01E3C5}">
      <text>
        <r>
          <rPr>
            <sz val="10"/>
            <color rgb="FF000000"/>
            <rFont val="Tahoma"/>
            <family val="2"/>
          </rPr>
          <t>assuming average time to complete a COVID-19 antigen-based self-test</t>
        </r>
      </text>
    </comment>
    <comment ref="CN40" authorId="0" shapeId="0" xr:uid="{90990ACF-9314-0E40-9B76-64304D2F60E1}">
      <text>
        <r>
          <rPr>
            <sz val="10"/>
            <color rgb="FF000000"/>
            <rFont val="Tahoma"/>
            <family val="2"/>
          </rPr>
          <t>96 versus 141 contacts who became cases in non-TTS schools</t>
        </r>
      </text>
    </comment>
    <comment ref="CO40" authorId="0" shapeId="0" xr:uid="{0B8511E4-F616-E845-99FC-92AEFE1A4BF6}">
      <text>
        <r>
          <rPr>
            <sz val="10"/>
            <color rgb="FF000000"/>
            <rFont val="Tahoma"/>
            <family val="34"/>
          </rPr>
          <t>2,852 versus 4961 contacts who became cases in non-TTS schools</t>
        </r>
      </text>
    </comment>
    <comment ref="D41" authorId="0" shapeId="0" xr:uid="{E3CCCC49-7E8A-8B46-B4B5-C8418FD3F54B}">
      <text>
        <r>
          <rPr>
            <sz val="10"/>
            <color rgb="FF000000"/>
            <rFont val="Tahoma"/>
            <family val="2"/>
          </rPr>
          <t>This is the time of the survey. The time of the actual self-testing campaign wass April 8 to April 10 2024</t>
        </r>
      </text>
    </comment>
    <comment ref="Z42" authorId="0" shapeId="0" xr:uid="{34B06043-03D9-2243-93FE-91EA456A7E4B}">
      <text>
        <r>
          <rPr>
            <sz val="10"/>
            <color rgb="FF000000"/>
            <rFont val="Tahoma"/>
            <family val="2"/>
          </rPr>
          <t>Hospital staff</t>
        </r>
      </text>
    </comment>
    <comment ref="BH42" authorId="0" shapeId="0" xr:uid="{F75BE1D6-C581-F84F-A365-2D4346C3A3EE}">
      <text>
        <r>
          <rPr>
            <sz val="10"/>
            <color rgb="FF000000"/>
            <rFont val="Tahoma"/>
            <family val="2"/>
          </rPr>
          <t>36 individuals had a positive RT-PCR with a previously negative C19ST, but confirmatory testing was not performed for every negative Ag-RDT</t>
        </r>
      </text>
    </comment>
    <comment ref="BU42" authorId="0" shapeId="0" xr:uid="{0FCE6AE5-42D7-E443-BDDB-A03F2CD3A750}">
      <text>
        <r>
          <rPr>
            <sz val="10"/>
            <color rgb="FF000000"/>
            <rFont val="Tahoma"/>
            <family val="2"/>
          </rPr>
          <t>36 individuals had a positive RT-PCR with a previously negative C19ST, but confirmatory testing was not conducted for every C19ST negative individual</t>
        </r>
      </text>
    </comment>
    <comment ref="CA42" authorId="0" shapeId="0" xr:uid="{21CDEF29-10E0-604B-9727-0CF37E98D07B}">
      <text>
        <r>
          <rPr>
            <sz val="10"/>
            <color rgb="FF000000"/>
            <rFont val="Tahoma"/>
            <family val="2"/>
          </rPr>
          <t>assuming average time to complete a COVID-19 antigen-based self-test</t>
        </r>
      </text>
    </comment>
    <comment ref="Z43" authorId="0" shapeId="0" xr:uid="{0FB7C53F-7118-804B-9F1D-F7CB52D98CE1}">
      <text>
        <r>
          <rPr>
            <sz val="10"/>
            <color rgb="FF000000"/>
            <rFont val="Tahoma"/>
            <family val="2"/>
          </rPr>
          <t>Laboratory staff</t>
        </r>
      </text>
    </comment>
    <comment ref="AP43" authorId="0" shapeId="0" xr:uid="{0856747D-8913-5143-960B-054D5607CF47}">
      <text>
        <r>
          <rPr>
            <sz val="10"/>
            <color rgb="FF000000"/>
            <rFont val="Tahoma"/>
            <family val="2"/>
          </rPr>
          <t>tested 3 times weekly during higher general SARS-CoV-2 incidence (for ca. 2 weeks), 5 times weekly after a positive case was detected (for ca. 2 weeks), twice weekly as a baseline in between (for ca. 3 months)</t>
        </r>
      </text>
    </comment>
    <comment ref="BU43" authorId="0" shapeId="0" xr:uid="{BD004C7B-C7B3-F248-8858-F7C6C09103E6}">
      <text>
        <r>
          <rPr>
            <sz val="10"/>
            <color rgb="FF000000"/>
            <rFont val="Tahoma"/>
            <family val="2"/>
          </rPr>
          <t>One person was detected by RT-PCR but not by C19ST. However, this was during a time-period with unclear RT-PCR testing scheme, wherefor it is not considered in this analysis</t>
        </r>
      </text>
    </comment>
    <comment ref="DF43" authorId="0" shapeId="0" xr:uid="{B4E15A30-694D-EE4E-9DC0-1674C280BFDF}">
      <text>
        <r>
          <rPr>
            <sz val="10"/>
            <color rgb="FF000000"/>
            <rFont val="Tahoma"/>
            <family val="2"/>
          </rPr>
          <t>Could be included from a study-design perspective. However, with TP + FN = 0, statistically not possible</t>
        </r>
      </text>
    </comment>
    <comment ref="M44" authorId="0" shapeId="0" xr:uid="{6FB98C2D-CEF7-564F-887D-AC11363173CE}">
      <text>
        <r>
          <rPr>
            <sz val="10"/>
            <color rgb="FF000000"/>
            <rFont val="Tahoma"/>
            <family val="2"/>
          </rPr>
          <t>An additional 1300 individuals reported at least one test result to the national data base</t>
        </r>
      </text>
    </comment>
    <comment ref="AH44" authorId="0" shapeId="0" xr:uid="{8B7E8A0D-385C-7C43-B312-50761ECDC123}">
      <text>
        <r>
          <rPr>
            <sz val="10"/>
            <color rgb="FF000000"/>
            <rFont val="Tahoma"/>
            <family val="2"/>
          </rPr>
          <t>as self-reported by study participants</t>
        </r>
      </text>
    </comment>
    <comment ref="AQ44" authorId="0" shapeId="0" xr:uid="{C6872B10-11FB-0E48-9145-BC9A33449AD2}">
      <text>
        <r>
          <rPr>
            <sz val="10"/>
            <color rgb="FF000000"/>
            <rFont val="Tahoma"/>
            <family val="2"/>
          </rPr>
          <t>actual study duration was longer, but study participants had to self-test for one week each</t>
        </r>
      </text>
    </comment>
    <comment ref="CA44" authorId="0" shapeId="0" xr:uid="{0FB6F9A0-5DBE-7140-BE41-A7AC68D5A16E}">
      <text>
        <r>
          <rPr>
            <sz val="10"/>
            <color rgb="FF000000"/>
            <rFont val="Tahoma"/>
            <family val="2"/>
          </rPr>
          <t>assuming average time to complete a COVID-19 antigen-based self-test</t>
        </r>
      </text>
    </comment>
    <comment ref="P45" authorId="0" shapeId="0" xr:uid="{1AD40EFB-71E4-3445-BA8C-755BC07E23BD}">
      <text>
        <r>
          <rPr>
            <sz val="10"/>
            <color rgb="FF000000"/>
            <rFont val="Tahoma"/>
            <family val="2"/>
          </rPr>
          <t>Could be approximated as 42 years, but not specifically reported for entire study population</t>
        </r>
      </text>
    </comment>
    <comment ref="AR45" authorId="0" shapeId="0" xr:uid="{1A75B7C0-5A25-3C4C-A26F-73F58785D6FA}">
      <text>
        <r>
          <rPr>
            <sz val="10"/>
            <color rgb="FF000000"/>
            <rFont val="Tahoma"/>
            <family val="2"/>
          </rPr>
          <t>Even though the study took place for five weeks, each individual was only supposed to test for one week</t>
        </r>
      </text>
    </comment>
    <comment ref="BU45" authorId="0" shapeId="0" xr:uid="{C4C60A6F-6AA4-9941-84AD-9B0A155BA039}">
      <text>
        <r>
          <rPr>
            <sz val="10"/>
            <color rgb="FF000000"/>
            <rFont val="Tahoma"/>
            <family val="2"/>
          </rPr>
          <t>11 individuals had a positive RT-PCR with a previously negative C19ST, but not every C19ST negative individual received confirmatory testing</t>
        </r>
      </text>
    </comment>
    <comment ref="BV45" authorId="0" shapeId="0" xr:uid="{A4B2FF5C-2E2D-CB47-A4B5-DB6992D766C0}">
      <text>
        <r>
          <rPr>
            <sz val="10"/>
            <color rgb="FF000000"/>
            <rFont val="Calibri"/>
            <family val="2"/>
          </rPr>
          <t>Based on table 2: „One individual reported a negative LFD on the day they took a negative PCR swab, but the individual had reported five consecutive positive LFDs in the 5 days prior to this negative result. This result is reported as concordant.“</t>
        </r>
      </text>
    </comment>
    <comment ref="CA45" authorId="0" shapeId="0" xr:uid="{8FC08827-9055-6043-B38C-6A81AFDA78AA}">
      <text>
        <r>
          <rPr>
            <sz val="10"/>
            <color rgb="FF000000"/>
            <rFont val="Tahoma"/>
            <family val="2"/>
          </rPr>
          <t>assuming average time to complete a COVID-19 antigen-based self-test</t>
        </r>
      </text>
    </comment>
    <comment ref="D46" authorId="0" shapeId="0" xr:uid="{E3D0EDCD-4AC5-3E40-9D96-0D2E056E7C20}">
      <text>
        <r>
          <rPr>
            <sz val="10"/>
            <color rgb="FF000000"/>
            <rFont val="Tahoma"/>
            <family val="2"/>
          </rPr>
          <t>Exact start date in June not provided</t>
        </r>
      </text>
    </comment>
    <comment ref="W46" authorId="0" shapeId="0" xr:uid="{111354D3-3E94-FC49-B8E6-03EF1071C80F}">
      <text>
        <r>
          <rPr>
            <sz val="10"/>
            <color rgb="FF000000"/>
            <rFont val="Tahoma"/>
            <family val="2"/>
          </rPr>
          <t>For both data sets combined, 1963 females were included</t>
        </r>
      </text>
    </comment>
    <comment ref="X46" authorId="0" shapeId="0" xr:uid="{F72BC8C7-565F-CF4F-9AA3-622ABC1EC086}">
      <text>
        <r>
          <rPr>
            <sz val="10"/>
            <color rgb="FF000000"/>
            <rFont val="Tahoma"/>
            <family val="2"/>
          </rPr>
          <t>For both data sets combined, 775 males were included</t>
        </r>
      </text>
    </comment>
    <comment ref="Z46" authorId="0" shapeId="0" xr:uid="{73FEA1C3-2A67-BB46-884A-66C268B68E58}">
      <text>
        <r>
          <rPr>
            <sz val="10"/>
            <color rgb="FF000000"/>
            <rFont val="Tahoma"/>
            <family val="2"/>
          </rPr>
          <t xml:space="preserve">Healthcare center staff: n = 2,075
</t>
        </r>
        <r>
          <rPr>
            <sz val="10"/>
            <color rgb="FF000000"/>
            <rFont val="Tahoma"/>
            <family val="2"/>
          </rPr>
          <t xml:space="preserve">Nursing home staff: n = 132
</t>
        </r>
        <r>
          <rPr>
            <sz val="10"/>
            <color rgb="FF000000"/>
            <rFont val="Tahoma"/>
            <family val="2"/>
          </rPr>
          <t>School staff: n = 531</t>
        </r>
      </text>
    </comment>
    <comment ref="AA46" authorId="0" shapeId="0" xr:uid="{52851B14-1F57-104E-B866-AF7FCE9D6975}">
      <text>
        <r>
          <rPr>
            <sz val="10"/>
            <color rgb="FF000000"/>
            <rFont val="Tahoma"/>
            <family val="2"/>
          </rPr>
          <t>885 tests were conducted due to symptoms</t>
        </r>
      </text>
    </comment>
    <comment ref="AB46" authorId="0" shapeId="0" xr:uid="{E808D410-38AD-244E-86B5-35EF3361E216}">
      <text>
        <r>
          <rPr>
            <sz val="10"/>
            <color rgb="FF000000"/>
            <rFont val="Tahoma"/>
            <family val="2"/>
          </rPr>
          <t>51,027 tests were conducted for any reason other than symptoms</t>
        </r>
      </text>
    </comment>
    <comment ref="AE46" authorId="0" shapeId="0" xr:uid="{90E1C7BC-667E-1649-AB47-8A84324426CF}">
      <text>
        <r>
          <rPr>
            <sz val="10"/>
            <color rgb="FF000000"/>
            <rFont val="Tahoma"/>
            <family val="2"/>
          </rPr>
          <t>Of 1,305 individuals that filled out the baseline survey</t>
        </r>
      </text>
    </comment>
    <comment ref="AF46" authorId="0" shapeId="0" xr:uid="{0CF29CC7-0162-AB41-A3AC-B22C239DA69D}">
      <text>
        <r>
          <rPr>
            <sz val="10"/>
            <color rgb="FF000000"/>
            <rFont val="Tahoma"/>
            <family val="2"/>
          </rPr>
          <t>435 tests were conducted due to contact with a case</t>
        </r>
      </text>
    </comment>
    <comment ref="AH46" authorId="0" shapeId="0" xr:uid="{9EF20DAB-7BFE-7D40-9342-ED692FDD4CED}">
      <text>
        <r>
          <rPr>
            <sz val="10"/>
            <color rgb="FF000000"/>
            <rFont val="Tahoma"/>
            <family val="2"/>
          </rPr>
          <t>of 1,305 individuals that filled out the baseline survey</t>
        </r>
      </text>
    </comment>
    <comment ref="AI46" authorId="0" shapeId="0" xr:uid="{3F893CA6-F1CC-DA49-8CD1-3AB0AB399E17}">
      <text>
        <r>
          <rPr>
            <sz val="10"/>
            <color rgb="FF000000"/>
            <rFont val="Tahoma"/>
            <family val="2"/>
          </rPr>
          <t>Of 1,305 individuals that filled out the baseline survey</t>
        </r>
      </text>
    </comment>
    <comment ref="AN46" authorId="0" shapeId="0" xr:uid="{2A4B2434-A885-FB4D-BD0D-45DD029C431D}">
      <text>
        <r>
          <rPr>
            <sz val="10"/>
            <color rgb="FF000000"/>
            <rFont val="Tahoma"/>
            <family val="2"/>
          </rPr>
          <t>For both a47 data sets combined, 95.0% of the self-tests were performed at home, 4.7% at work, and 0.3% at another location</t>
        </r>
      </text>
    </comment>
    <comment ref="AP46" authorId="0" shapeId="0" xr:uid="{9FCA0DC2-274E-2F48-8A13-58E8FD85EC6D}">
      <text>
        <r>
          <rPr>
            <sz val="10"/>
            <color rgb="FF000000"/>
            <rFont val="Tahoma"/>
            <family val="2"/>
          </rPr>
          <t>testing once per week (or more often if symptomatic / contact)</t>
        </r>
      </text>
    </comment>
    <comment ref="AT46" authorId="0" shapeId="0" xr:uid="{1D6736C8-FC1C-0049-AEA3-2C4CCA8926FC}">
      <text>
        <r>
          <rPr>
            <sz val="10"/>
            <color rgb="FF000000"/>
            <rFont val="Tahoma"/>
            <family val="2"/>
          </rPr>
          <t>Based on table 6</t>
        </r>
      </text>
    </comment>
    <comment ref="AZ46" authorId="0" shapeId="0" xr:uid="{D8748792-EE12-8544-AD9C-BA6D6B1E3CCE}">
      <text>
        <r>
          <rPr>
            <sz val="10"/>
            <color rgb="FF000000"/>
            <rFont val="Calibri"/>
            <family val="2"/>
          </rPr>
          <t>Based on Table 6</t>
        </r>
      </text>
    </comment>
    <comment ref="BA46" authorId="0" shapeId="0" xr:uid="{91A4CFDB-9522-8B4A-A9E7-B66F8E6829F6}">
      <text>
        <r>
          <rPr>
            <sz val="10"/>
            <color rgb="FF000000"/>
            <rFont val="Calibri"/>
            <family val="2"/>
          </rPr>
          <t>Based on Table 6</t>
        </r>
      </text>
    </comment>
    <comment ref="BB46" authorId="0" shapeId="0" xr:uid="{282CBFCF-41F9-2A42-9A71-55560E626556}">
      <text>
        <r>
          <rPr>
            <sz val="10"/>
            <color rgb="FF000000"/>
            <rFont val="Calibri"/>
            <family val="2"/>
          </rPr>
          <t>Based on Table 6</t>
        </r>
      </text>
    </comment>
    <comment ref="CA46" authorId="0" shapeId="0" xr:uid="{AD942C1C-700A-8041-973D-D4A0999D5E37}">
      <text>
        <r>
          <rPr>
            <sz val="10"/>
            <color rgb="FF000000"/>
            <rFont val="Tahoma"/>
            <family val="2"/>
          </rPr>
          <t>assuming average time to complete a COVID-19 antigen-based self-test</t>
        </r>
      </text>
    </comment>
    <comment ref="D47" authorId="0" shapeId="0" xr:uid="{B6493760-7361-AF49-9D79-1CBEA5A97F9A}">
      <text>
        <r>
          <rPr>
            <sz val="10"/>
            <color rgb="FF000000"/>
            <rFont val="Tahoma"/>
            <family val="2"/>
          </rPr>
          <t>Exact start date in June not provided</t>
        </r>
      </text>
    </comment>
    <comment ref="W47" authorId="0" shapeId="0" xr:uid="{5DDF776F-C2DD-AD43-A8D3-23956B4BFDBD}">
      <text>
        <r>
          <rPr>
            <sz val="10"/>
            <color rgb="FF000000"/>
            <rFont val="Tahoma"/>
            <family val="2"/>
          </rPr>
          <t>For both data sets combined, 1963 females were included</t>
        </r>
      </text>
    </comment>
    <comment ref="X47" authorId="0" shapeId="0" xr:uid="{CEF2D3B7-3E35-DE4A-BD95-2746B0D1E676}">
      <text>
        <r>
          <rPr>
            <sz val="10"/>
            <color rgb="FF000000"/>
            <rFont val="Tahoma"/>
            <family val="2"/>
          </rPr>
          <t>For both data sets combined, 775 males were included</t>
        </r>
      </text>
    </comment>
    <comment ref="Z47" authorId="0" shapeId="0" xr:uid="{224DBD76-13E7-754A-A4CE-74A666E3B5F0}">
      <text>
        <r>
          <rPr>
            <sz val="10"/>
            <color rgb="FF000000"/>
            <rFont val="Tahoma"/>
            <family val="2"/>
          </rPr>
          <t>Household members of the healthcare / school staff from the other Marban-Castro data set (a47_1)</t>
        </r>
      </text>
    </comment>
    <comment ref="AA47" authorId="0" shapeId="0" xr:uid="{ABF7CEF1-F187-F141-82E8-3E12EE351EC5}">
      <text>
        <r>
          <rPr>
            <sz val="10"/>
            <color rgb="FF000000"/>
            <rFont val="Tahoma"/>
            <family val="2"/>
          </rPr>
          <t>919 tests were conducted due to symptoms</t>
        </r>
      </text>
    </comment>
    <comment ref="AB47" authorId="0" shapeId="0" xr:uid="{1D7EA059-F082-4248-B9AF-B7BCE230BD60}">
      <text>
        <r>
          <rPr>
            <sz val="10"/>
            <color rgb="FF000000"/>
            <rFont val="Tahoma"/>
            <family val="2"/>
          </rPr>
          <t>154 tests were conducted for any reason other than symptoms</t>
        </r>
      </text>
    </comment>
    <comment ref="AF47" authorId="0" shapeId="0" xr:uid="{88848EA4-D887-414B-8AA8-58ECFA5F6397}">
      <text>
        <r>
          <rPr>
            <sz val="10"/>
            <color rgb="FF000000"/>
            <rFont val="Tahoma"/>
            <family val="2"/>
          </rPr>
          <t>152 tests were condcuted due to contact with a case</t>
        </r>
      </text>
    </comment>
    <comment ref="AN47" authorId="0" shapeId="0" xr:uid="{26130749-17BD-7749-A9D9-CCCF114A8C1F}">
      <text>
        <r>
          <rPr>
            <sz val="10"/>
            <color rgb="FF000000"/>
            <rFont val="Calibri"/>
            <family val="2"/>
          </rPr>
          <t>For both a47 data sets combined, 95.0% of the self-tests were performed at home, 4.7% at work, and 0.3% at another location</t>
        </r>
      </text>
    </comment>
    <comment ref="AP47" authorId="0" shapeId="0" xr:uid="{3DE9D17B-4648-7547-B64D-97196DF79003}">
      <text>
        <r>
          <rPr>
            <sz val="10"/>
            <color rgb="FF000000"/>
            <rFont val="Tahoma"/>
            <family val="2"/>
          </rPr>
          <t>test if symptomatic (on d1 and d3 of symptoms) or after contact with a case</t>
        </r>
      </text>
    </comment>
    <comment ref="AT47" authorId="0" shapeId="0" xr:uid="{1279B0DA-3636-0C45-8D52-C58AF3CD2E13}">
      <text>
        <r>
          <rPr>
            <sz val="10"/>
            <color rgb="FF000000"/>
            <rFont val="Calibri"/>
            <family val="2"/>
          </rPr>
          <t>Based on Table 6</t>
        </r>
      </text>
    </comment>
    <comment ref="AZ47" authorId="0" shapeId="0" xr:uid="{0E1C5153-7760-EC44-BADA-B9E4C4DD96DD}">
      <text>
        <r>
          <rPr>
            <sz val="10"/>
            <color rgb="FF000000"/>
            <rFont val="Calibri"/>
            <family val="2"/>
          </rPr>
          <t>Based on Table 6</t>
        </r>
      </text>
    </comment>
    <comment ref="BA47" authorId="0" shapeId="0" xr:uid="{A8E65045-DFDF-844D-9007-DCF05B1543D9}">
      <text>
        <r>
          <rPr>
            <sz val="10"/>
            <color rgb="FF000000"/>
            <rFont val="Calibri"/>
            <family val="2"/>
          </rPr>
          <t>Based on Table 6</t>
        </r>
      </text>
    </comment>
    <comment ref="BB47" authorId="0" shapeId="0" xr:uid="{C716E5A0-CDED-024E-A4C0-2EADD7E2F115}">
      <text>
        <r>
          <rPr>
            <sz val="10"/>
            <color rgb="FF000000"/>
            <rFont val="Calibri"/>
            <family val="2"/>
          </rPr>
          <t>Based on Table 6</t>
        </r>
      </text>
    </comment>
    <comment ref="CA47" authorId="0" shapeId="0" xr:uid="{5E03330B-68D5-FD49-B74D-B4924543636E}">
      <text>
        <r>
          <rPr>
            <sz val="10"/>
            <color rgb="FF000000"/>
            <rFont val="Tahoma"/>
            <family val="2"/>
          </rPr>
          <t>assuming average time to complete a COVID-19 antigen-based self-test</t>
        </r>
      </text>
    </comment>
    <comment ref="AR48" authorId="0" shapeId="0" xr:uid="{A144EB12-4E4D-8E4D-AA3B-2D7546393C20}">
      <text>
        <r>
          <rPr>
            <sz val="10"/>
            <color rgb="FF000000"/>
            <rFont val="Tahoma"/>
            <family val="2"/>
          </rPr>
          <t>added all numbers as presented in figure 1</t>
        </r>
      </text>
    </comment>
    <comment ref="W49" authorId="0" shapeId="0" xr:uid="{0AB16991-C1AC-8142-B7B3-609AE92A432C}">
      <text>
        <r>
          <rPr>
            <sz val="10"/>
            <color rgb="FF000000"/>
            <rFont val="Calibri"/>
            <family val="2"/>
          </rPr>
          <t>8026 males reported in the Appendix table, but this would (together with the males) exceed the study popluation reported. Assume some individuals were double counted in the Appendix table</t>
        </r>
      </text>
    </comment>
    <comment ref="X49" authorId="0" shapeId="0" xr:uid="{EFC9071B-1683-244C-B8CB-F019ACFB0089}">
      <text>
        <r>
          <rPr>
            <sz val="10"/>
            <color rgb="FF000000"/>
            <rFont val="Tahoma"/>
            <family val="2"/>
          </rPr>
          <t xml:space="preserve">8141 males reported in the Appendix table, but this would (together with the females) exceed to study popluation reported. </t>
        </r>
        <r>
          <rPr>
            <sz val="10"/>
            <color rgb="FF000000"/>
            <rFont val="Calibri"/>
            <family val="2"/>
          </rPr>
          <t xml:space="preserve">Assume some individuals were double counted in the Appendix table </t>
        </r>
      </text>
    </comment>
    <comment ref="AF49" authorId="0" shapeId="0" xr:uid="{ACC85C50-8851-A04A-A453-AD7E29AA94E4}">
      <text>
        <r>
          <rPr>
            <sz val="10"/>
            <color rgb="FF000000"/>
            <rFont val="Calibri"/>
            <family val="2"/>
          </rPr>
          <t>"5,369 respondents self-reported exposure to a person with COVID-19", but exposure of cases was unclear</t>
        </r>
      </text>
    </comment>
    <comment ref="BM49" authorId="0" shapeId="0" xr:uid="{D4D86B0C-29BC-1A4B-B073-52A3894AB373}">
      <text>
        <r>
          <rPr>
            <sz val="10"/>
            <color rgb="FF000000"/>
            <rFont val="Tahoma"/>
            <family val="2"/>
          </rPr>
          <t>3,500 individuals were reported as cases, but unclear how many of those actually self-tested</t>
        </r>
      </text>
    </comment>
    <comment ref="CA49" authorId="0" shapeId="0" xr:uid="{E2643369-913F-9449-B08A-81BFBC03EC13}">
      <text>
        <r>
          <rPr>
            <sz val="10"/>
            <color rgb="FF000000"/>
            <rFont val="Tahoma"/>
            <family val="2"/>
          </rPr>
          <t>assuming average time to complete a COVID-19 antigen-based self-test</t>
        </r>
      </text>
    </comment>
    <comment ref="D50" authorId="0" shapeId="0" xr:uid="{A08E7F22-D723-9C4B-BFF8-EF078FE4D138}">
      <text>
        <r>
          <rPr>
            <sz val="10"/>
            <color rgb="FF000000"/>
            <rFont val="Tahoma"/>
            <family val="2"/>
          </rPr>
          <t>beginning of the 8th wave as reported in the study</t>
        </r>
      </text>
    </comment>
    <comment ref="E50" authorId="0" shapeId="0" xr:uid="{C7083985-56ED-5545-B5DD-2A4B9C28977B}">
      <text>
        <r>
          <rPr>
            <sz val="10"/>
            <color rgb="FF000000"/>
            <rFont val="Calibri"/>
            <family val="2"/>
          </rPr>
          <t>end of the 9th wave as reported in the study. Of note, there was a six day study break between the 8th and 9th period. However, the 8th and 9th period were extracted as one data set to avoid double counting.</t>
        </r>
      </text>
    </comment>
    <comment ref="Z50" authorId="0" shapeId="0" xr:uid="{63F42F49-0014-9941-8BDF-2B98F430645A}">
      <text>
        <r>
          <rPr>
            <sz val="10"/>
            <color rgb="FF000000"/>
            <rFont val="Tahoma"/>
            <family val="2"/>
          </rPr>
          <t xml:space="preserve">263 doctors
</t>
        </r>
        <r>
          <rPr>
            <sz val="10"/>
            <color rgb="FF000000"/>
            <rFont val="Tahoma"/>
            <family val="2"/>
          </rPr>
          <t xml:space="preserve">806 nurses
</t>
        </r>
        <r>
          <rPr>
            <sz val="10"/>
            <color rgb="FF000000"/>
            <rFont val="Tahoma"/>
            <family val="2"/>
          </rPr>
          <t xml:space="preserve">194 administrative employees
</t>
        </r>
        <r>
          <rPr>
            <sz val="10"/>
            <color rgb="FF000000"/>
            <rFont val="Tahoma"/>
            <family val="2"/>
          </rPr>
          <t>218 clinical laboratory technicians</t>
        </r>
      </text>
    </comment>
    <comment ref="AF50" authorId="0" shapeId="0" xr:uid="{EFC6B970-4F4A-424D-9720-4CF7E10E4EEC}">
      <text>
        <r>
          <rPr>
            <sz val="10"/>
            <color rgb="FF000000"/>
            <rFont val="Tahoma"/>
            <family val="2"/>
          </rPr>
          <t>195 individuals were close contacts during the 8th period and 62 during the 9th, but unclear if anyone was a contact during both periods</t>
        </r>
      </text>
    </comment>
    <comment ref="AM50" authorId="0" shapeId="0" xr:uid="{C7B52F9E-0664-F34D-BC8A-85091ADADABC}">
      <text>
        <r>
          <rPr>
            <sz val="10"/>
            <color rgb="FF000000"/>
            <rFont val="Calibri"/>
            <family val="2"/>
          </rPr>
          <t xml:space="preserve">provided by the Tokyo Metropolitan Government </t>
        </r>
      </text>
    </comment>
    <comment ref="AP50" authorId="0" shapeId="0" xr:uid="{98AEA90B-4B1C-A540-80CE-6C424136EC28}">
      <text>
        <r>
          <rPr>
            <sz val="10"/>
            <color rgb="FF000000"/>
            <rFont val="Tahoma"/>
            <family val="2"/>
          </rPr>
          <t>Tests were supposed to be performed once or twice weekly, as well as after contact (for three days) and after infection (on the 5th day after infection)</t>
        </r>
      </text>
    </comment>
    <comment ref="AQ50" authorId="0" shapeId="0" xr:uid="{BDF5FE47-8575-054F-BF8D-0B3FDA361785}">
      <text>
        <r>
          <rPr>
            <sz val="10"/>
            <color rgb="FF000000"/>
            <rFont val="Tahoma"/>
            <family val="2"/>
          </rPr>
          <t>excluding the one week study break between 8th and 9th wave</t>
        </r>
      </text>
    </comment>
    <comment ref="BM50" authorId="0" shapeId="0" xr:uid="{45C78022-9A3E-2E40-9DDB-80F9C202DEA6}">
      <text>
        <r>
          <rPr>
            <sz val="10"/>
            <color rgb="FF000000"/>
            <rFont val="Tahoma"/>
            <family val="2"/>
          </rPr>
          <t>441 individuals tested positive throughout the entire study period, but unclear whether any of the individuals tested twice</t>
        </r>
      </text>
    </comment>
    <comment ref="BS50" authorId="0" shapeId="0" xr:uid="{F4081801-64F8-924C-8623-EAE13C536794}">
      <text>
        <r>
          <rPr>
            <b/>
            <sz val="10"/>
            <color rgb="FF000000"/>
            <rFont val="Tahoma"/>
            <family val="2"/>
          </rPr>
          <t>Lukas Brümmer:</t>
        </r>
        <r>
          <rPr>
            <sz val="10"/>
            <color rgb="FF000000"/>
            <rFont val="Tahoma"/>
            <family val="2"/>
          </rPr>
          <t xml:space="preserve">
</t>
        </r>
        <r>
          <rPr>
            <sz val="10"/>
            <color rgb="FF000000"/>
            <rFont val="Tahoma"/>
            <family val="2"/>
          </rPr>
          <t>615 individuals were reported to be infected for the 8th and 9th wave, but not possible to distinguish between both waves to avoid double ocunting</t>
        </r>
      </text>
    </comment>
    <comment ref="CA50" authorId="0" shapeId="0" xr:uid="{BB97A695-A22B-EF43-869A-FBEFC405C97C}">
      <text>
        <r>
          <rPr>
            <sz val="10"/>
            <color rgb="FF000000"/>
            <rFont val="Tahoma"/>
            <family val="2"/>
          </rPr>
          <t>assuming average time to complete a COVID-19 antigen-based self-test</t>
        </r>
      </text>
    </comment>
    <comment ref="D51" authorId="0" shapeId="0" xr:uid="{BD155B25-4B9D-C94C-BC3F-70F0B187511A}">
      <text>
        <r>
          <rPr>
            <sz val="10"/>
            <color rgb="FF000000"/>
            <rFont val="Tahoma"/>
            <family val="2"/>
          </rPr>
          <t>Only month, but no exact start date of study provided</t>
        </r>
      </text>
    </comment>
    <comment ref="E51" authorId="0" shapeId="0" xr:uid="{C5B4C36E-8075-4C42-8875-8B4225521CD7}">
      <text>
        <r>
          <rPr>
            <sz val="10"/>
            <color rgb="FF000000"/>
            <rFont val="Calibri"/>
            <family val="2"/>
          </rPr>
          <t>Only month, but no exact start date of study provided</t>
        </r>
      </text>
    </comment>
    <comment ref="P51" authorId="0" shapeId="0" xr:uid="{E6CE5E1C-03DB-8041-A77A-0828C712A611}">
      <text>
        <r>
          <rPr>
            <sz val="10"/>
            <color rgb="FF000000"/>
            <rFont val="Tahoma"/>
            <family val="2"/>
          </rPr>
          <t xml:space="preserve">Age groups:
</t>
        </r>
        <r>
          <rPr>
            <sz val="10"/>
            <color rgb="FF000000"/>
            <rFont val="Tahoma"/>
            <family val="2"/>
          </rPr>
          <t xml:space="preserve">- 8-10 years: 55 individuals
</t>
        </r>
        <r>
          <rPr>
            <sz val="10"/>
            <color rgb="FF000000"/>
            <rFont val="Tahoma"/>
            <family val="2"/>
          </rPr>
          <t xml:space="preserve">- 11-12 years: 59 individuals
</t>
        </r>
        <r>
          <rPr>
            <sz val="10"/>
            <color rgb="FF000000"/>
            <rFont val="Tahoma"/>
            <family val="2"/>
          </rPr>
          <t xml:space="preserve">- 24-30 years: 4 individuals
</t>
        </r>
        <r>
          <rPr>
            <sz val="10"/>
            <color rgb="FF000000"/>
            <rFont val="Tahoma"/>
            <family val="2"/>
          </rPr>
          <t xml:space="preserve">- 31-40 years: 6 individuals
</t>
        </r>
        <r>
          <rPr>
            <sz val="10"/>
            <color rgb="FF000000"/>
            <rFont val="Tahoma"/>
            <family val="2"/>
          </rPr>
          <t xml:space="preserve">- 41-50 years: 7 individuals
</t>
        </r>
        <r>
          <rPr>
            <sz val="10"/>
            <color rgb="FF000000"/>
            <rFont val="Tahoma"/>
            <family val="2"/>
          </rPr>
          <t>- &gt; 50 years: 2 individuals</t>
        </r>
      </text>
    </comment>
    <comment ref="BU51" authorId="0" shapeId="0" xr:uid="{7E23CC24-EF96-FA4F-AE74-C65A3098639F}">
      <text>
        <r>
          <rPr>
            <sz val="10"/>
            <color rgb="FF000000"/>
            <rFont val="Tahoma"/>
            <family val="2"/>
          </rPr>
          <t>2 individuals reported a positive self-swab outside of the study, but this was also an antigen test and such procedures were not followed for every study participant</t>
        </r>
      </text>
    </comment>
    <comment ref="F52" authorId="0" shapeId="0" xr:uid="{82A66D99-DB8B-F444-991D-05077AD6A5F0}">
      <text>
        <r>
          <rPr>
            <sz val="10"/>
            <color rgb="FF000000"/>
            <rFont val="Tahoma"/>
            <family val="2"/>
          </rPr>
          <t>San Diego County, CA</t>
        </r>
      </text>
    </comment>
    <comment ref="P52" authorId="0" shapeId="0" xr:uid="{95CFCDBB-B026-7247-9BC0-4CD737AE0CE7}">
      <text>
        <r>
          <rPr>
            <sz val="10"/>
            <color rgb="FF000000"/>
            <rFont val="Tahoma"/>
            <family val="2"/>
          </rPr>
          <t>In the study, due to missing data, this parameter was only reported for 959 out of the 1013 individuals</t>
        </r>
      </text>
    </comment>
    <comment ref="Q52" authorId="0" shapeId="0" xr:uid="{A1387C97-49CE-4D49-9977-BE51E2B6222E}">
      <text>
        <r>
          <rPr>
            <sz val="10"/>
            <color rgb="FF000000"/>
            <rFont val="Calibri"/>
            <family val="2"/>
          </rPr>
          <t>In the study, due to missing data, this parameter was only reported for 959 out of the 1013 individuals</t>
        </r>
      </text>
    </comment>
    <comment ref="Y52" authorId="0" shapeId="0" xr:uid="{DC6A759E-C23B-454F-840D-2DBF51D44EF4}">
      <text>
        <r>
          <rPr>
            <sz val="10"/>
            <color rgb="FF000000"/>
            <rFont val="Tahoma"/>
            <family val="2"/>
          </rPr>
          <t>54 individuals did not complete the survey</t>
        </r>
      </text>
    </comment>
    <comment ref="AA52" authorId="0" shapeId="0" xr:uid="{5AC68ECA-7530-0748-8234-B461B4533868}">
      <text>
        <r>
          <rPr>
            <sz val="10"/>
            <color rgb="FF000000"/>
            <rFont val="Tahoma"/>
            <family val="2"/>
          </rPr>
          <t>28.8% of the tests were performed due to symptoms</t>
        </r>
      </text>
    </comment>
    <comment ref="AF52" authorId="0" shapeId="0" xr:uid="{2A8F8825-405D-C348-BB47-CC34CB334A34}">
      <text>
        <r>
          <rPr>
            <sz val="10"/>
            <color rgb="FF000000"/>
            <rFont val="Calibri"/>
            <family val="2"/>
          </rPr>
          <t>17.8% of the tests were performed due to exposure to cases</t>
        </r>
      </text>
    </comment>
    <comment ref="AH52" authorId="0" shapeId="0" xr:uid="{CB2628C4-4410-1A4F-8812-F423755110D8}">
      <text>
        <r>
          <rPr>
            <sz val="10"/>
            <color rgb="FF000000"/>
            <rFont val="Tahoma"/>
            <family val="34"/>
          </rPr>
          <t>In the study, due to missing data, this parameter was only reported for 959 out of the 1013 individuals</t>
        </r>
      </text>
    </comment>
    <comment ref="AI52" authorId="0" shapeId="0" xr:uid="{26E00BBF-A0C0-6B4B-9A71-A16636375B45}">
      <text>
        <r>
          <rPr>
            <sz val="10"/>
            <color rgb="FF000000"/>
            <rFont val="Calibri"/>
            <family val="2"/>
          </rPr>
          <t>578 individuals were reported to have previously test positive for SARS-CoV-2, but no antibody testing was performed; due to missing data, this parameter was only reported for 959 out of the 1013 individuals</t>
        </r>
      </text>
    </comment>
    <comment ref="R53" authorId="0" shapeId="0" xr:uid="{AB1260EC-03DA-854A-816B-88C24BEA346C}">
      <text>
        <r>
          <rPr>
            <sz val="9"/>
            <color rgb="FF000000"/>
            <rFont val="Segoe UI"/>
            <charset val="1"/>
          </rPr>
          <t>Refers to the 278 people receiving self-testing</t>
        </r>
      </text>
    </comment>
    <comment ref="Z53" authorId="1" shapeId="0" xr:uid="{4BF485F4-E335-8947-8489-BC9C25AF32B9}">
      <text>
        <r>
          <rPr>
            <sz val="9"/>
            <color rgb="FF000000"/>
            <rFont val="Segoe UI"/>
            <charset val="1"/>
          </rPr>
          <t>manufacturing (43), office (196), retail (27), not reported (12)</t>
        </r>
      </text>
    </comment>
    <comment ref="AE53" authorId="1" shapeId="0" xr:uid="{926F2DF5-57FB-1E4B-81DB-A9A8FDA461DA}">
      <text>
        <r>
          <rPr>
            <sz val="10"/>
            <color rgb="FF000000"/>
            <rFont val="Tahoma"/>
            <family val="34"/>
          </rPr>
          <t xml:space="preserve">Chronic respiratory condition 17 (6.1)
</t>
        </r>
        <r>
          <rPr>
            <sz val="10"/>
            <color rgb="FF000000"/>
            <rFont val="Tahoma"/>
            <family val="34"/>
          </rPr>
          <t xml:space="preserve">Current cigarette smoking 32 (11.5)
</t>
        </r>
        <r>
          <rPr>
            <sz val="10"/>
            <color rgb="FF000000"/>
            <rFont val="Tahoma"/>
            <family val="34"/>
          </rPr>
          <t xml:space="preserve">Past cigarette smoking 41 (14.7)
</t>
        </r>
        <r>
          <rPr>
            <sz val="10"/>
            <color rgb="FF000000"/>
            <rFont val="Tahoma"/>
            <family val="34"/>
          </rPr>
          <t xml:space="preserve">Diabetes 12 (4.3)
</t>
        </r>
        <r>
          <rPr>
            <sz val="10"/>
            <color rgb="FF000000"/>
            <rFont val="Tahoma"/>
            <family val="34"/>
          </rPr>
          <t xml:space="preserve">Heart disease 6 (2.1)
</t>
        </r>
        <r>
          <rPr>
            <sz val="10"/>
            <color rgb="FF000000"/>
            <rFont val="Tahoma"/>
            <family val="34"/>
          </rPr>
          <t xml:space="preserve">Hypertension 17 (6.1)
</t>
        </r>
        <r>
          <rPr>
            <sz val="10"/>
            <color rgb="FF000000"/>
            <rFont val="Tahoma"/>
            <family val="34"/>
          </rPr>
          <t xml:space="preserve">None of the above 145 (52.1)
</t>
        </r>
        <r>
          <rPr>
            <sz val="10"/>
            <color rgb="FF000000"/>
            <rFont val="Tahoma"/>
            <family val="34"/>
          </rPr>
          <t>Other 16 (5.7)</t>
        </r>
      </text>
    </comment>
    <comment ref="AH53" authorId="1" shapeId="0" xr:uid="{48B83DD8-DED4-214A-A798-9AAA76F0D395}">
      <text>
        <r>
          <rPr>
            <sz val="9"/>
            <color rgb="FF000000"/>
            <rFont val="Segoe UI"/>
            <charset val="1"/>
          </rPr>
          <t>1 dose (27); 2 doses (210)</t>
        </r>
      </text>
    </comment>
    <comment ref="AV53" authorId="0" shapeId="0" xr:uid="{0D665D58-DD67-B945-B1C0-EA230BFE98CB}">
      <text>
        <r>
          <rPr>
            <sz val="9"/>
            <color rgb="FF000000"/>
            <rFont val="Segoe UI"/>
            <charset val="1"/>
          </rPr>
          <t>"During self-testing, study personnel assessed 13 RADT procedural steps performed by the participant as correct or incorrect" Study participant was informed about incorrect testing steps after testing and test was redone by study personnel.</t>
        </r>
      </text>
    </comment>
    <comment ref="AW53" authorId="1" shapeId="0" xr:uid="{FE8AA958-1A05-764A-9A52-430EB2AB91C4}">
      <text>
        <r>
          <rPr>
            <sz val="9"/>
            <color rgb="FF000000"/>
            <rFont val="Segoe UI"/>
            <charset val="1"/>
          </rPr>
          <t xml:space="preserve">Participants with a positive RADT result were offered confirmatory laboratory-based polymerase
</t>
        </r>
        <r>
          <rPr>
            <sz val="9"/>
            <color rgb="FF000000"/>
            <rFont val="Segoe UI"/>
            <charset val="1"/>
          </rPr>
          <t>chain reaction (PCR) testing at a local testing center</t>
        </r>
      </text>
    </comment>
    <comment ref="K54" authorId="0" shapeId="0" xr:uid="{847499F2-7E7C-3D4A-85CE-C480666CF883}">
      <text>
        <r>
          <rPr>
            <sz val="10"/>
            <color rgb="FF000000"/>
            <rFont val="Tahoma"/>
            <family val="2"/>
          </rPr>
          <t>based on Figure 1 in Pudasini "Feasibility of school music trips with safe cohorts during high SARS-CoV-2 incidence rates: a longitudinal observation study", ResSq</t>
        </r>
      </text>
    </comment>
    <comment ref="L54" authorId="0" shapeId="0" xr:uid="{AD0426AA-9A1B-FB47-B129-CBB26F8D3B7B}">
      <text>
        <r>
          <rPr>
            <sz val="10"/>
            <color rgb="FF000000"/>
            <rFont val="Tahoma"/>
            <family val="34"/>
          </rPr>
          <t>based on Figure 1 in Pudasini "Feasibility of school music trips with safe cohorts during high SARS-CoV-2 incidence rates: a longitudinal observation study", ResSq</t>
        </r>
      </text>
    </comment>
    <comment ref="M54" authorId="0" shapeId="0" xr:uid="{74D77E8F-7D2D-754A-AC07-62A37CE11A55}">
      <text>
        <r>
          <rPr>
            <sz val="10"/>
            <color rgb="FF000000"/>
            <rFont val="Tahoma"/>
            <family val="34"/>
          </rPr>
          <t>based on Figure 1 in Pudasini "Feasibility of school music trips with safe cohorts during high SARS-CoV-2 incidence rates: a longitudinal observation study", ResSq</t>
        </r>
      </text>
    </comment>
    <comment ref="P54" authorId="0" shapeId="0" xr:uid="{E46EDFCC-C568-DD40-BE15-332AC1596288}">
      <text>
        <r>
          <rPr>
            <sz val="10"/>
            <color rgb="FF000000"/>
            <rFont val="Tahoma"/>
            <family val="2"/>
          </rPr>
          <t>mean age of students</t>
        </r>
      </text>
    </comment>
    <comment ref="AA54" authorId="0" shapeId="0" xr:uid="{66795757-1B2F-EE4C-916C-5F8883DC4898}">
      <text>
        <r>
          <rPr>
            <sz val="10"/>
            <color rgb="FF000000"/>
            <rFont val="Tahoma"/>
            <family val="2"/>
          </rPr>
          <t>minimum number of symptomatic individuals based on table 2</t>
        </r>
      </text>
    </comment>
    <comment ref="AG54" authorId="0" shapeId="0" xr:uid="{263A9701-EE83-5F45-8969-9B06092717CB}">
      <text>
        <r>
          <rPr>
            <sz val="10"/>
            <color rgb="FF000000"/>
            <rFont val="Tahoma"/>
            <family val="2"/>
          </rPr>
          <t>negative RT-PCR at the beginning of the study</t>
        </r>
      </text>
    </comment>
    <comment ref="AQ54" authorId="0" shapeId="0" xr:uid="{5F29CE82-A676-1D4F-A1DD-66EAA05F870F}">
      <text>
        <r>
          <rPr>
            <sz val="10"/>
            <color rgb="FF000000"/>
            <rFont val="Tahoma"/>
            <family val="2"/>
          </rPr>
          <t>unclear whether study period = duration of school music trip</t>
        </r>
      </text>
    </comment>
    <comment ref="W55" authorId="0" shapeId="0" xr:uid="{21054D83-308A-C44C-AEA0-2748262540D9}">
      <text>
        <r>
          <rPr>
            <sz val="10"/>
            <color rgb="FF000000"/>
            <rFont val="Tahoma"/>
            <family val="2"/>
          </rPr>
          <t>83% of individuals were female, but no concrete value given</t>
        </r>
      </text>
    </comment>
    <comment ref="AB55" authorId="0" shapeId="0" xr:uid="{630CB7A3-CEDE-234C-80EB-14BB5CD1C30A}">
      <text>
        <r>
          <rPr>
            <sz val="10"/>
            <color rgb="FF000000"/>
            <rFont val="Tahoma"/>
            <family val="2"/>
          </rPr>
          <t>Asymptomatic at the time of testing</t>
        </r>
      </text>
    </comment>
    <comment ref="AN55" authorId="0" shapeId="0" xr:uid="{FCBB8632-2D70-AF48-B4E8-C0037DDC782F}">
      <text>
        <r>
          <rPr>
            <sz val="10"/>
            <color rgb="FF000000"/>
            <rFont val="Tahoma"/>
            <family val="2"/>
          </rPr>
          <t>Some tests were reported to have been performed at home</t>
        </r>
      </text>
    </comment>
    <comment ref="BH55" authorId="0" shapeId="0" xr:uid="{69E4707C-C2BB-0847-BCD6-5DC0D5A58728}">
      <text>
        <r>
          <rPr>
            <sz val="10"/>
            <color rgb="FF000000"/>
            <rFont val="Tahoma"/>
            <family val="2"/>
          </rPr>
          <t>C19ST and RT-PCR were taken on the same day</t>
        </r>
      </text>
    </comment>
    <comment ref="BZ55" authorId="0" shapeId="0" xr:uid="{377BD808-DA00-8C45-8D73-053AF51A79C5}">
      <text>
        <r>
          <rPr>
            <b/>
            <sz val="10"/>
            <color rgb="FF000000"/>
            <rFont val="Tahoma"/>
            <family val="2"/>
          </rPr>
          <t>Lukas Brümmer:</t>
        </r>
        <r>
          <rPr>
            <sz val="10"/>
            <color rgb="FF000000"/>
            <rFont val="Tahoma"/>
            <family val="2"/>
          </rPr>
          <t xml:space="preserve">
</t>
        </r>
        <r>
          <rPr>
            <sz val="10"/>
            <color rgb="FF000000"/>
            <rFont val="Tahoma"/>
            <family val="2"/>
          </rPr>
          <t>Mean time-difference between mid-week self-test and receiving result of confirmatory RT-PCR: 46.3h</t>
        </r>
      </text>
    </comment>
    <comment ref="CA55" authorId="0" shapeId="0" xr:uid="{B934A8F0-5D6D-C74D-8250-B7AC66EFF4F8}">
      <text>
        <r>
          <rPr>
            <sz val="10"/>
            <color rgb="FF000000"/>
            <rFont val="Tahoma"/>
            <family val="2"/>
          </rPr>
          <t>time after which the test result should be read as defined in the study's methods</t>
        </r>
      </text>
    </comment>
    <comment ref="AA56" authorId="0" shapeId="0" xr:uid="{9FBA496E-A072-FD45-B301-685ED108B523}">
      <text>
        <r>
          <rPr>
            <sz val="10"/>
            <color rgb="FF000000"/>
            <rFont val="Tahoma"/>
            <family val="2"/>
          </rPr>
          <t>Throughout the entire study period, 11,979 individuals reported upper respiratory airways symptoms. However, it was unclear whether these symptoms appeared at the same time they performed the self-test</t>
        </r>
      </text>
    </comment>
    <comment ref="AP56" authorId="0" shapeId="0" xr:uid="{1F193ED9-1166-A641-886C-6EF11E0043E5}">
      <text>
        <r>
          <rPr>
            <sz val="10"/>
            <color rgb="FF000000"/>
            <rFont val="Tahoma"/>
            <family val="2"/>
          </rPr>
          <t>testing once per week, but could also test more often</t>
        </r>
      </text>
    </comment>
    <comment ref="AY56" authorId="0" shapeId="0" xr:uid="{13D5326D-5B8B-8E49-AA7D-85CF2556FD05}">
      <text>
        <r>
          <rPr>
            <b/>
            <sz val="10"/>
            <color rgb="FF000000"/>
            <rFont val="Tahoma"/>
            <family val="2"/>
          </rPr>
          <t>Lukas Brümmer:</t>
        </r>
        <r>
          <rPr>
            <sz val="10"/>
            <color rgb="FF000000"/>
            <rFont val="Tahoma"/>
            <family val="2"/>
          </rPr>
          <t xml:space="preserve">
</t>
        </r>
        <r>
          <rPr>
            <sz val="10"/>
            <color rgb="FF000000"/>
            <rFont val="Calibri"/>
            <family val="2"/>
          </rPr>
          <t>Only reported for those who were asked to send self-tests in</t>
        </r>
      </text>
    </comment>
    <comment ref="BA56" authorId="0" shapeId="0" xr:uid="{69600127-145B-AA44-B63E-7651B45700AB}">
      <text>
        <r>
          <rPr>
            <sz val="10"/>
            <color rgb="FF000000"/>
            <rFont val="Tahoma"/>
            <family val="2"/>
          </rPr>
          <t>Only reported for those who were asked to send self-tests in</t>
        </r>
      </text>
    </comment>
    <comment ref="BH56" authorId="0" shapeId="0" xr:uid="{7ECECDD0-8981-8340-B9DD-FAA3616CCB3A}">
      <text>
        <r>
          <rPr>
            <sz val="10"/>
            <color rgb="FF000000"/>
            <rFont val="Tahoma"/>
            <family val="2"/>
          </rPr>
          <t>negative C19ST result could be up to two days prior to the RT-PCR test</t>
        </r>
      </text>
    </comment>
    <comment ref="AM57" authorId="0" shapeId="0" xr:uid="{1DB41AAA-7143-3546-A496-9E36AF86FC84}">
      <text>
        <r>
          <rPr>
            <sz val="10"/>
            <color rgb="FF000000"/>
            <rFont val="Tahoma"/>
            <family val="2"/>
          </rPr>
          <t>shipped to amazon box / local post office</t>
        </r>
      </text>
    </comment>
    <comment ref="CA57" authorId="0" shapeId="0" xr:uid="{CF54223D-9829-D547-8B3B-490FD804B979}">
      <text>
        <r>
          <rPr>
            <sz val="10"/>
            <color rgb="FF000000"/>
            <rFont val="Tahoma"/>
            <family val="2"/>
          </rPr>
          <t>as mentioned in the study's conclusion</t>
        </r>
      </text>
    </comment>
    <comment ref="P58" authorId="0" shapeId="0" xr:uid="{BEFC9D90-352E-8244-BE8F-B05E2C0373AE}">
      <text>
        <r>
          <rPr>
            <sz val="10"/>
            <color rgb="FF000000"/>
            <rFont val="Calibri"/>
            <family val="2"/>
          </rPr>
          <t xml:space="preserve">Referring to all 7,361 individuals included
</t>
        </r>
        <r>
          <rPr>
            <sz val="10"/>
            <color rgb="FF000000"/>
            <rFont val="Calibri"/>
            <family val="2"/>
          </rPr>
          <t xml:space="preserve">Less than 18 years: 780
</t>
        </r>
        <r>
          <rPr>
            <sz val="10"/>
            <color rgb="FF000000"/>
            <rFont val="Calibri"/>
            <family val="2"/>
          </rPr>
          <t xml:space="preserve">18–45 years: 4,269
</t>
        </r>
        <r>
          <rPr>
            <sz val="10"/>
            <color rgb="FF000000"/>
            <rFont val="Calibri"/>
            <family val="2"/>
          </rPr>
          <t xml:space="preserve">45–65 years: 1,678
</t>
        </r>
        <r>
          <rPr>
            <sz val="10"/>
            <color rgb="FF000000"/>
            <rFont val="Calibri"/>
            <family val="2"/>
          </rPr>
          <t>Over 65 years: 634</t>
        </r>
      </text>
    </comment>
    <comment ref="W58" authorId="0" shapeId="0" xr:uid="{69FA1511-B123-6B4D-9953-30F49236B662}">
      <text>
        <r>
          <rPr>
            <sz val="10"/>
            <color rgb="FF000000"/>
            <rFont val="Calibri"/>
            <family val="2"/>
          </rPr>
          <t>Referring to all 7,361 individuals included</t>
        </r>
        <r>
          <rPr>
            <sz val="10"/>
            <color rgb="FF000000"/>
            <rFont val="Tahoma"/>
            <family val="2"/>
          </rPr>
          <t xml:space="preserve">:
</t>
        </r>
        <r>
          <rPr>
            <sz val="10"/>
            <color rgb="FF000000"/>
            <rFont val="Calibri"/>
            <family val="2"/>
          </rPr>
          <t>- 4,642 females</t>
        </r>
      </text>
    </comment>
    <comment ref="X58" authorId="0" shapeId="0" xr:uid="{5219A2AD-A13B-FC4D-9D50-D815E3216D86}">
      <text>
        <r>
          <rPr>
            <sz val="10"/>
            <color rgb="FF000000"/>
            <rFont val="Calibri"/>
            <family val="2"/>
          </rPr>
          <t xml:space="preserve">Referring to all 7,361 individuals included:
</t>
        </r>
        <r>
          <rPr>
            <sz val="10"/>
            <color rgb="FF000000"/>
            <rFont val="Calibri"/>
            <family val="2"/>
          </rPr>
          <t>- 2,320 males</t>
        </r>
      </text>
    </comment>
    <comment ref="Y58" authorId="0" shapeId="0" xr:uid="{5709AE7F-CBA9-474E-936A-74CC9F16C515}">
      <text>
        <r>
          <rPr>
            <sz val="10"/>
            <color rgb="FF000000"/>
            <rFont val="Calibri"/>
            <family val="2"/>
          </rPr>
          <t xml:space="preserve">Referring to all 7,361 individuals included:
</t>
        </r>
        <r>
          <rPr>
            <sz val="10"/>
            <color rgb="FF000000"/>
            <rFont val="Calibri"/>
            <family val="2"/>
          </rPr>
          <t xml:space="preserve">- 116 nonbinary
</t>
        </r>
        <r>
          <rPr>
            <sz val="10"/>
            <color rgb="FF000000"/>
            <rFont val="Calibri"/>
            <family val="2"/>
          </rPr>
          <t xml:space="preserve">- </t>
        </r>
        <r>
          <rPr>
            <sz val="10"/>
            <color rgb="FF000000"/>
            <rFont val="Tahoma"/>
            <family val="2"/>
          </rPr>
          <t xml:space="preserve">47 transgender
</t>
        </r>
        <r>
          <rPr>
            <sz val="10"/>
            <color rgb="FF000000"/>
            <rFont val="Tahoma"/>
            <family val="2"/>
          </rPr>
          <t>- 236 no answer</t>
        </r>
      </text>
    </comment>
    <comment ref="AH58" authorId="0" shapeId="0" xr:uid="{B3366F46-C830-EE48-B235-B56D021EA0A0}">
      <text>
        <r>
          <rPr>
            <sz val="10"/>
            <color rgb="FF000000"/>
            <rFont val="Tahoma"/>
            <family val="34"/>
          </rPr>
          <t xml:space="preserve">Referring to all 7,361 individuals included:
</t>
        </r>
        <r>
          <rPr>
            <sz val="10"/>
            <color rgb="FF000000"/>
            <rFont val="Tahoma"/>
            <family val="34"/>
          </rPr>
          <t xml:space="preserve">- 1,221 unvaccinated
</t>
        </r>
        <r>
          <rPr>
            <sz val="10"/>
            <color rgb="FF000000"/>
            <rFont val="Tahoma"/>
            <family val="34"/>
          </rPr>
          <t xml:space="preserve">- 2 unclear vaccination status
</t>
        </r>
        <r>
          <rPr>
            <sz val="10"/>
            <color rgb="FF000000"/>
            <rFont val="Tahoma"/>
            <family val="34"/>
          </rPr>
          <t xml:space="preserve">- 1,677 vaccinated once
</t>
        </r>
        <r>
          <rPr>
            <sz val="10"/>
            <color rgb="FF000000"/>
            <rFont val="Tahoma"/>
            <family val="34"/>
          </rPr>
          <t xml:space="preserve">- 3,277 vaccinated twice
</t>
        </r>
        <r>
          <rPr>
            <sz val="10"/>
            <color rgb="FF000000"/>
            <rFont val="Tahoma"/>
            <family val="34"/>
          </rPr>
          <t>- 1,184 vaccinated 3+ times</t>
        </r>
      </text>
    </comment>
    <comment ref="AK58" authorId="0" shapeId="0" xr:uid="{32EC6296-E382-454D-860F-76C1B97AF88D}">
      <text>
        <r>
          <rPr>
            <sz val="10"/>
            <color rgb="FF000000"/>
            <rFont val="Tahoma"/>
            <family val="2"/>
          </rPr>
          <t xml:space="preserve">No reader required for the </t>
        </r>
        <r>
          <rPr>
            <sz val="10"/>
            <color rgb="FF000000"/>
            <rFont val="Calibri"/>
            <family val="2"/>
          </rPr>
          <t>Quidel QuickVue At-Home OTC COVID-19 Test and the Abbott BinaxNOW COVID-19 Antigen Self Test. However, results of the BD VeritorTM At-Home COVID-19 Test could only be read using a certain smart-phone app.</t>
        </r>
      </text>
    </comment>
    <comment ref="AR58" authorId="0" shapeId="0" xr:uid="{4B760009-761A-EA44-8FEF-91E63C21A9D7}">
      <text>
        <r>
          <rPr>
            <sz val="10"/>
            <color rgb="FF000000"/>
            <rFont val="Tahoma"/>
            <family val="2"/>
          </rPr>
          <t>As per Suppl. Fig 8, study participants are supposed to perform 8 self-tests throughout the entire study period</t>
        </r>
      </text>
    </comment>
    <comment ref="D59" authorId="2" shapeId="0" xr:uid="{75CDB60E-E698-5143-9F2A-1FA6AAD7D17E}">
      <text>
        <r>
          <rPr>
            <sz val="9"/>
            <color rgb="FF000000"/>
            <rFont val="Segoe UI"/>
            <charset val="1"/>
          </rPr>
          <t>begin contacting potential study participants</t>
        </r>
      </text>
    </comment>
    <comment ref="E59" authorId="2" shapeId="0" xr:uid="{7807F784-6986-0440-B5E2-2BFFC082EEF0}">
      <text>
        <r>
          <rPr>
            <sz val="9"/>
            <color rgb="FF000000"/>
            <rFont val="Segoe UI"/>
            <charset val="1"/>
          </rPr>
          <t>last day of result collection</t>
        </r>
      </text>
    </comment>
    <comment ref="AH59" authorId="2" shapeId="0" xr:uid="{DF3CD299-51D5-9947-BA25-9EF26351475C}">
      <text>
        <r>
          <rPr>
            <sz val="9"/>
            <color rgb="FF000000"/>
            <rFont val="Segoe UI"/>
            <charset val="1"/>
          </rPr>
          <t>all of the 7 positive cases had at least three doses</t>
        </r>
      </text>
    </comment>
    <comment ref="CL59" authorId="2" shapeId="0" xr:uid="{7A41CF6D-7FEF-FC49-BAF6-DB3C81D69562}">
      <text>
        <r>
          <rPr>
            <sz val="10"/>
            <color rgb="FF000000"/>
            <rFont val="Tahoma"/>
            <family val="34"/>
          </rPr>
          <t>point prevalence rate of 1.67% reported (for a timeslot between July 1st and July 7th), but this value seems to be the proportion of positive individuals</t>
        </r>
      </text>
    </comment>
    <comment ref="BH60" authorId="0" shapeId="0" xr:uid="{B8FD7315-5777-4142-AA7D-36B0B9A0DD6E}">
      <text>
        <r>
          <rPr>
            <sz val="10"/>
            <color rgb="FF000000"/>
            <rFont val="Tahoma"/>
            <family val="2"/>
          </rPr>
          <t>C19ST and RT-PCR were performed on the same day</t>
        </r>
      </text>
    </comment>
    <comment ref="BU60" authorId="0" shapeId="0" xr:uid="{F20CB139-7D0B-A84B-B9AE-DF39EFECBACF}">
      <text>
        <r>
          <rPr>
            <sz val="10"/>
            <color rgb="FF000000"/>
            <rFont val="Tahoma"/>
            <family val="2"/>
          </rPr>
          <t>C19ST and RT-PCR were conducted on the same day</t>
        </r>
      </text>
    </comment>
    <comment ref="BH61" authorId="0" shapeId="0" xr:uid="{88826372-6ECC-E847-AA70-C088AE51D14E}">
      <text>
        <r>
          <rPr>
            <sz val="10"/>
            <color rgb="FF000000"/>
            <rFont val="Tahoma"/>
            <family val="2"/>
          </rPr>
          <t>C19ST and RT-PCR were performed on the same day.</t>
        </r>
      </text>
    </comment>
    <comment ref="BU61" authorId="0" shapeId="0" xr:uid="{49BC9B78-EA86-BE44-B4B6-FA48AB61B950}">
      <text>
        <r>
          <rPr>
            <sz val="10"/>
            <color rgb="FF000000"/>
            <rFont val="Tahoma"/>
            <family val="2"/>
          </rPr>
          <t>C19ST and RT-PCR were conducted on the same day</t>
        </r>
      </text>
    </comment>
    <comment ref="P62" authorId="0" shapeId="0" xr:uid="{45BC5490-CB0D-EB46-B8C9-BD457E76B186}">
      <text>
        <r>
          <rPr>
            <sz val="9"/>
            <color rgb="FF000000"/>
            <rFont val="Segoe UI"/>
            <charset val="1"/>
          </rPr>
          <t xml:space="preserve">&lt; 18: 6 people
</t>
        </r>
        <r>
          <rPr>
            <sz val="9"/>
            <color rgb="FF000000"/>
            <rFont val="Segoe UI"/>
            <charset val="1"/>
          </rPr>
          <t xml:space="preserve">18-22: 963
</t>
        </r>
        <r>
          <rPr>
            <sz val="9"/>
            <color rgb="FF000000"/>
            <rFont val="Segoe UI"/>
            <charset val="1"/>
          </rPr>
          <t xml:space="preserve">23-34: 75
</t>
        </r>
        <r>
          <rPr>
            <sz val="9"/>
            <color rgb="FF000000"/>
            <rFont val="Segoe UI"/>
            <charset val="1"/>
          </rPr>
          <t xml:space="preserve">35-49: 135
</t>
        </r>
        <r>
          <rPr>
            <sz val="9"/>
            <color rgb="FF000000"/>
            <rFont val="Segoe UI"/>
            <charset val="1"/>
          </rPr>
          <t xml:space="preserve">50-64: 142
</t>
        </r>
        <r>
          <rPr>
            <sz val="9"/>
            <color rgb="FF000000"/>
            <rFont val="Segoe UI"/>
            <charset val="1"/>
          </rPr>
          <t>&gt; 65: 26</t>
        </r>
      </text>
    </comment>
    <comment ref="Z62" authorId="0" shapeId="0" xr:uid="{7F4B818E-C86F-204D-884D-FE281A29F60C}">
      <text>
        <r>
          <rPr>
            <sz val="10"/>
            <color rgb="FF000000"/>
            <rFont val="Tahoma"/>
            <family val="2"/>
          </rPr>
          <t>College student, staff and affiliate</t>
        </r>
      </text>
    </comment>
    <comment ref="AI62" authorId="0" shapeId="0" xr:uid="{495BEAE9-5DB2-D64F-BBB9-115346BD5B05}">
      <text>
        <r>
          <rPr>
            <sz val="10"/>
            <color rgb="FF000000"/>
            <rFont val="Tahoma"/>
            <family val="34"/>
          </rPr>
          <t>Of 1081 participants where serology results were avaialble</t>
        </r>
      </text>
    </comment>
    <comment ref="AQ62" authorId="0" shapeId="0" xr:uid="{0E8718A2-988D-FF48-BB2C-5913D4887F8F}">
      <text>
        <r>
          <rPr>
            <sz val="10"/>
            <color rgb="FF000000"/>
            <rFont val="Tahoma"/>
            <family val="2"/>
          </rPr>
          <t>Antigen testing only took place for 7 weeks of the entire study period</t>
        </r>
      </text>
    </comment>
    <comment ref="AW62" authorId="0" shapeId="0" xr:uid="{91845305-E83C-6C40-8E4A-062534794117}">
      <text>
        <r>
          <rPr>
            <sz val="10"/>
            <color rgb="FF000000"/>
            <rFont val="Tahoma"/>
            <family val="34"/>
          </rPr>
          <t xml:space="preserve">mass vaccination increased proportion of staff vaccinated 19.8% -&gt; 75.6% and students 5.4% -&gt; 62.2%
</t>
        </r>
        <r>
          <rPr>
            <sz val="10"/>
            <color rgb="FF000000"/>
            <rFont val="Tahoma"/>
            <family val="34"/>
          </rPr>
          <t xml:space="preserve">
</t>
        </r>
        <r>
          <rPr>
            <sz val="10"/>
            <color rgb="FF000000"/>
            <rFont val="Tahoma"/>
            <family val="34"/>
          </rPr>
          <t xml:space="preserve">COVID-19 prevention strategies:
</t>
        </r>
        <r>
          <rPr>
            <sz val="10"/>
            <color rgb="FF000000"/>
            <rFont val="Tahoma"/>
            <family val="34"/>
          </rPr>
          <t xml:space="preserve">- mask mandates
</t>
        </r>
        <r>
          <rPr>
            <sz val="10"/>
            <color rgb="FF000000"/>
            <rFont val="Tahoma"/>
            <family val="34"/>
          </rPr>
          <t xml:space="preserve">- physical distancing in classrooms
</t>
        </r>
        <r>
          <rPr>
            <sz val="10"/>
            <color rgb="FF000000"/>
            <rFont val="Tahoma"/>
            <family val="34"/>
          </rPr>
          <t xml:space="preserve">- enhance facility cleaning
</t>
        </r>
        <r>
          <rPr>
            <sz val="10"/>
            <color rgb="FF000000"/>
            <rFont val="Tahoma"/>
            <family val="34"/>
          </rPr>
          <t xml:space="preserve">- limiting campus access
</t>
        </r>
        <r>
          <rPr>
            <sz val="10"/>
            <color rgb="FF000000"/>
            <rFont val="Tahoma"/>
            <family val="34"/>
          </rPr>
          <t>- encouring students to form smalll, mutualy exclusive social "bubbles" of =&lt; 5 students</t>
        </r>
      </text>
    </comment>
    <comment ref="BH62" authorId="0" shapeId="0" xr:uid="{9266CB91-7708-F348-9CEC-8242AFAF1A7B}">
      <text>
        <r>
          <rPr>
            <sz val="10"/>
            <color rgb="FF000000"/>
            <rFont val="Tahoma"/>
            <family val="2"/>
          </rPr>
          <t>2 false-negative test results were detected, but not all negative Ag-RDTs received confirmatory testing</t>
        </r>
      </text>
    </comment>
    <comment ref="BT62" authorId="0" shapeId="0" xr:uid="{585A4595-1E3A-AA46-B975-2BE145066D35}">
      <text>
        <r>
          <rPr>
            <sz val="10"/>
            <color rgb="FF000000"/>
            <rFont val="Tahoma"/>
            <family val="2"/>
          </rPr>
          <t>RT-PCR</t>
        </r>
      </text>
    </comment>
    <comment ref="BU62" authorId="0" shapeId="0" xr:uid="{A93375FF-2C90-7C4F-BEBD-7624EC9D4A1B}">
      <text>
        <r>
          <rPr>
            <sz val="10"/>
            <color rgb="FF000000"/>
            <rFont val="Tahoma"/>
            <family val="2"/>
          </rPr>
          <t>4 individuals were missed by C19ST as per antibody testing, but antibody testing was not performed on every individual</t>
        </r>
      </text>
    </comment>
    <comment ref="BV62" authorId="0" shapeId="0" xr:uid="{F60B06C9-951F-E84E-857E-FD271198B4DA}">
      <text>
        <r>
          <rPr>
            <sz val="10"/>
            <color rgb="FF000000"/>
            <rFont val="Tahoma"/>
            <family val="2"/>
          </rPr>
          <t>Antibody testing</t>
        </r>
      </text>
    </comment>
    <comment ref="BW62" authorId="0" shapeId="0" xr:uid="{E82F0A53-FC0F-4542-828E-1F4581D23622}">
      <text>
        <r>
          <rPr>
            <sz val="10"/>
            <color rgb="FF000000"/>
            <rFont val="Tahoma"/>
            <family val="2"/>
          </rPr>
          <t>RT-PCR</t>
        </r>
      </text>
    </comment>
    <comment ref="CA62" authorId="0" shapeId="0" xr:uid="{5B6FC1D9-73F3-DD42-B6D3-08022C56A273}">
      <text>
        <r>
          <rPr>
            <sz val="10"/>
            <color rgb="FF000000"/>
            <rFont val="Tahoma"/>
            <family val="2"/>
          </rPr>
          <t>as defined in the study's methods</t>
        </r>
      </text>
    </comment>
    <comment ref="P63" authorId="0" shapeId="0" xr:uid="{A94E0977-4336-BD4D-A553-392706BB7BE4}">
      <text>
        <r>
          <rPr>
            <sz val="10"/>
            <color rgb="FF000000"/>
            <rFont val="Tahoma"/>
            <family val="2"/>
          </rPr>
          <t xml:space="preserve">Age groups
</t>
        </r>
        <r>
          <rPr>
            <sz val="10"/>
            <color rgb="FF000000"/>
            <rFont val="Tahoma"/>
            <family val="2"/>
          </rPr>
          <t xml:space="preserve">5-17 years: 886 individuals
</t>
        </r>
        <r>
          <rPr>
            <sz val="10"/>
            <color rgb="FF000000"/>
            <rFont val="Tahoma"/>
            <family val="2"/>
          </rPr>
          <t xml:space="preserve">18-59 years: 6,014 individuals
</t>
        </r>
        <r>
          <rPr>
            <sz val="10.5"/>
            <color rgb="FF000000"/>
            <rFont val="Tahoma"/>
            <family val="2"/>
          </rPr>
          <t>≥ 60 years: 1,736 individuals</t>
        </r>
      </text>
    </comment>
    <comment ref="Z64" authorId="0" shapeId="0" xr:uid="{D67B892A-273D-FA4A-B1AD-A9633B34FFC4}">
      <text>
        <r>
          <rPr>
            <sz val="10"/>
            <color rgb="FF000000"/>
            <rFont val="Tahoma"/>
            <family val="2"/>
          </rPr>
          <t>Student athletes</t>
        </r>
      </text>
    </comment>
    <comment ref="AG64" authorId="0" shapeId="0" xr:uid="{1CE7CB27-6A3F-DC46-9B23-7DA42C4F54F5}">
      <text>
        <r>
          <rPr>
            <sz val="10"/>
            <color rgb="FF000000"/>
            <rFont val="Tahoma"/>
            <family val="2"/>
          </rPr>
          <t>No history of SARS-CoV-2 infection in the previous 90 days</t>
        </r>
      </text>
    </comment>
    <comment ref="BH64" authorId="0" shapeId="0" xr:uid="{4E5825EF-51A8-FD4F-96F6-E5E16C2E4B97}">
      <text>
        <r>
          <rPr>
            <sz val="10"/>
            <color rgb="FF000000"/>
            <rFont val="Tahoma"/>
            <family val="2"/>
          </rPr>
          <t>unclear time-frame between self-testing and confirmatory RT-PCR</t>
        </r>
      </text>
    </comment>
    <comment ref="BU64" authorId="0" shapeId="0" xr:uid="{16F61921-55F3-A845-A7E0-0804EB7B8BFF}">
      <text>
        <r>
          <rPr>
            <sz val="10"/>
            <color rgb="FF000000"/>
            <rFont val="Tahoma"/>
            <family val="2"/>
          </rPr>
          <t>unclear time-frame between self-testing and confirmatory RT-PCR</t>
        </r>
      </text>
    </comment>
    <comment ref="CA64" authorId="0" shapeId="0" xr:uid="{5B3D1355-23CD-544A-9D60-41DF4401995A}">
      <text>
        <r>
          <rPr>
            <sz val="10"/>
            <color rgb="FF000000"/>
            <rFont val="Tahoma"/>
            <family val="2"/>
          </rPr>
          <t>assuming average time to complete a COVID-19 antigen-based self-test</t>
        </r>
      </text>
    </comment>
    <comment ref="Z65" authorId="0" shapeId="0" xr:uid="{E9754404-38B3-774A-B6B6-E65A36C1DBAB}">
      <text>
        <r>
          <rPr>
            <sz val="10"/>
            <color rgb="FF000000"/>
            <rFont val="Tahoma"/>
            <family val="2"/>
          </rPr>
          <t>Care home staff</t>
        </r>
      </text>
    </comment>
    <comment ref="BH65" authorId="0" shapeId="0" xr:uid="{0D7F537C-4623-CD44-A8EC-6E6E2C5FF2B8}">
      <text>
        <r>
          <rPr>
            <sz val="10"/>
            <color rgb="FF000000"/>
            <rFont val="Tahoma"/>
            <family val="2"/>
          </rPr>
          <t>0 false negative tests were detected, but confirmatory testing was not performed on every negative Ag-RDT</t>
        </r>
      </text>
    </comment>
    <comment ref="BH66" authorId="0" shapeId="0" xr:uid="{6C9FD824-BA89-A940-AAD7-1EB8CCF3C5AB}">
      <text>
        <r>
          <rPr>
            <sz val="10"/>
            <color rgb="FF000000"/>
            <rFont val="Tahoma"/>
            <family val="2"/>
          </rPr>
          <t>3 false-negative test results were found, but not every negative Ag-RDT received confirmatory testing</t>
        </r>
      </text>
    </comment>
    <comment ref="CA66" authorId="0" shapeId="0" xr:uid="{609C51AD-C00B-5E4F-B911-8F4E3090AF23}">
      <text>
        <r>
          <rPr>
            <sz val="10"/>
            <color rgb="FF000000"/>
            <rFont val="Tahoma"/>
            <family val="2"/>
          </rPr>
          <t>assuming average time to complete a COVID-19 antigen-based self-test</t>
        </r>
      </text>
    </comment>
    <comment ref="CN66" authorId="0" shapeId="0" xr:uid="{EB4865F2-92EC-F24F-9952-65554868DC14}">
      <text>
        <r>
          <rPr>
            <sz val="10"/>
            <color rgb="FF000000"/>
            <rFont val="Tahoma"/>
            <family val="2"/>
          </rPr>
          <t>No outbreaks caused by contacts who performed self-testing were detected</t>
        </r>
      </text>
    </comment>
    <comment ref="CW66" authorId="0" shapeId="0" xr:uid="{AD4C3D15-6F7B-7548-908D-40602A274229}">
      <text>
        <r>
          <rPr>
            <sz val="10"/>
            <color rgb="FF000000"/>
            <rFont val="Tahoma"/>
            <family val="2"/>
          </rPr>
          <t>No outbreaks caused by contacts who performed self-testing were detected, but no specific numbers were reported</t>
        </r>
      </text>
    </comment>
    <comment ref="O69" authorId="0" shapeId="0" xr:uid="{E51FB5E5-21C6-464A-87CB-B4691DC7F4D6}">
      <text>
        <r>
          <rPr>
            <sz val="10"/>
            <color rgb="FF000000"/>
            <rFont val="Tahoma"/>
            <family val="2"/>
          </rPr>
          <t>Study population was the number of people interviewed (6 staff)</t>
        </r>
      </text>
    </comment>
    <comment ref="Z69" authorId="0" shapeId="0" xr:uid="{C993A9D4-0D10-6644-A6FD-8C74FAD864A3}">
      <text>
        <r>
          <rPr>
            <sz val="10"/>
            <color rgb="FF000000"/>
            <rFont val="Tahoma"/>
            <family val="2"/>
          </rPr>
          <t>School teachers</t>
        </r>
      </text>
    </comment>
    <comment ref="CA69" authorId="0" shapeId="0" xr:uid="{543220A2-5B2B-A245-BE31-F1E841E923A2}">
      <text>
        <r>
          <rPr>
            <sz val="10"/>
            <color rgb="FF000000"/>
            <rFont val="Tahoma"/>
            <family val="2"/>
          </rPr>
          <t>As defined in the study, Supplement 1 paragraph 4</t>
        </r>
      </text>
    </comment>
    <comment ref="O70" authorId="0" shapeId="0" xr:uid="{76CBA5A6-62F4-3443-9DBC-19C47265ABD1}">
      <text>
        <r>
          <rPr>
            <sz val="10"/>
            <color rgb="FF000000"/>
            <rFont val="Calibri"/>
            <family val="2"/>
          </rPr>
          <t>Study population was the number of people interviewed (10 pupils and 10 parents)</t>
        </r>
      </text>
    </comment>
    <comment ref="Z70" authorId="0" shapeId="0" xr:uid="{13C9C57E-7F06-B147-A6F8-E39589D53B71}">
      <text>
        <r>
          <rPr>
            <sz val="10"/>
            <color rgb="FF000000"/>
            <rFont val="Tahoma"/>
            <family val="2"/>
          </rPr>
          <t>Pupils and their parents</t>
        </r>
      </text>
    </comment>
    <comment ref="BU70" authorId="0" shapeId="0" xr:uid="{B74F3191-09B3-2541-8E49-A9D5CADB2852}">
      <text>
        <r>
          <rPr>
            <sz val="10"/>
            <color rgb="FF000000"/>
            <rFont val="Tahoma"/>
            <family val="2"/>
          </rPr>
          <t>1 individuals was reported as false-negative, but not all individuals conducting C19ST received confirmatory testing</t>
        </r>
      </text>
    </comment>
    <comment ref="CA70" authorId="0" shapeId="0" xr:uid="{B4C3487F-6C96-6F41-BF5D-16E1BF068928}">
      <text>
        <r>
          <rPr>
            <sz val="10"/>
            <color rgb="FF000000"/>
            <rFont val="Tahoma"/>
            <family val="2"/>
          </rPr>
          <t>As defined in the study, Supplement 1 paragraph 4</t>
        </r>
      </text>
    </comment>
    <comment ref="Z71" authorId="0" shapeId="0" xr:uid="{18F42B50-88B8-274B-840F-4A83FCB949D7}">
      <text>
        <r>
          <rPr>
            <sz val="10"/>
            <color rgb="FF000000"/>
            <rFont val="Tahoma"/>
            <family val="2"/>
          </rPr>
          <t>Pupils (primary school)</t>
        </r>
      </text>
    </comment>
    <comment ref="AT71" authorId="0" shapeId="0" xr:uid="{D5B81DCB-87AA-FE4A-86E2-2FB6CE01C675}">
      <text>
        <r>
          <rPr>
            <sz val="10"/>
            <color rgb="FF000000"/>
            <rFont val="Tahoma"/>
            <family val="2"/>
          </rPr>
          <t>Assuming 98.5% participation as reported in the study</t>
        </r>
      </text>
    </comment>
    <comment ref="BM71" authorId="0" shapeId="0" xr:uid="{EA0EEB18-EA8B-394F-AE15-B800623A3AFB}">
      <text>
        <r>
          <rPr>
            <sz val="10"/>
            <color rgb="FF000000"/>
            <rFont val="Tahoma"/>
            <family val="2"/>
          </rPr>
          <t>computed based on table provided in the manuscript: 360,948 * (0.00088 + 0.0009 + 0.0014)</t>
        </r>
      </text>
    </comment>
    <comment ref="CA71" authorId="0" shapeId="0" xr:uid="{04AF0674-E3F8-E24D-BDF7-DF23CE89EBC4}">
      <text>
        <r>
          <rPr>
            <sz val="10"/>
            <color rgb="FF000000"/>
            <rFont val="Tahoma"/>
            <family val="2"/>
          </rPr>
          <t>assuming average time to complete a COVID-19 antigen-based self-test</t>
        </r>
      </text>
    </comment>
    <comment ref="Z72" authorId="0" shapeId="0" xr:uid="{6C370CE8-9844-9840-A0DA-850BD2E69026}">
      <text>
        <r>
          <rPr>
            <sz val="10"/>
            <color rgb="FF000000"/>
            <rFont val="Tahoma"/>
            <family val="2"/>
          </rPr>
          <t>Pupils (secondary schools)</t>
        </r>
      </text>
    </comment>
    <comment ref="AT72" authorId="0" shapeId="0" xr:uid="{535D7214-54FC-FF48-83B9-6926B9A7D87B}">
      <text>
        <r>
          <rPr>
            <sz val="10"/>
            <color rgb="FF000000"/>
            <rFont val="Calibri"/>
            <family val="2"/>
          </rPr>
          <t xml:space="preserve">Assuming 98.5% participation as reported in the study </t>
        </r>
      </text>
    </comment>
    <comment ref="BM72" authorId="0" shapeId="0" xr:uid="{E11F979A-507F-6B49-BB1A-447557389D91}">
      <text>
        <r>
          <rPr>
            <sz val="10"/>
            <color rgb="FF000000"/>
            <rFont val="Tahoma"/>
            <family val="2"/>
          </rPr>
          <t>computed based on table provided in the manuscript: 319,672 * (0.00055 + 0.00053 + 0.00079)</t>
        </r>
      </text>
    </comment>
    <comment ref="CA72" authorId="0" shapeId="0" xr:uid="{442687B5-B4BA-CE49-A8FA-323DA49CA326}">
      <text>
        <r>
          <rPr>
            <sz val="10"/>
            <color rgb="FF000000"/>
            <rFont val="Tahoma"/>
            <family val="2"/>
          </rPr>
          <t>assuming average time to complete a COVID-19 antigen-based self-test</t>
        </r>
      </text>
    </comment>
    <comment ref="Z73" authorId="0" shapeId="0" xr:uid="{06A7C478-E0EA-0440-B2DC-34376E58538C}">
      <text>
        <r>
          <rPr>
            <sz val="10"/>
            <color rgb="FF000000"/>
            <rFont val="Tahoma"/>
            <family val="2"/>
          </rPr>
          <t>School teachers</t>
        </r>
      </text>
    </comment>
    <comment ref="BM73" authorId="0" shapeId="0" xr:uid="{79826E77-A78A-6343-A1CA-101DC24ECC02}">
      <text>
        <r>
          <rPr>
            <sz val="10"/>
            <color rgb="FF000000"/>
            <rFont val="Tahoma"/>
            <family val="2"/>
          </rPr>
          <t>computed based on table provided in the manuscript: 104,087 * (0.00309 + 0.00313 + 0.00254)</t>
        </r>
      </text>
    </comment>
    <comment ref="CA73" authorId="0" shapeId="0" xr:uid="{FD255DE9-78E8-2041-9EDF-053F27DB09CD}">
      <text>
        <r>
          <rPr>
            <sz val="10"/>
            <color rgb="FF000000"/>
            <rFont val="Tahoma"/>
            <family val="2"/>
          </rPr>
          <t>assuming average time to complete a COVID-19 antigen-based self-test</t>
        </r>
      </text>
    </comment>
    <comment ref="AN74" authorId="0" shapeId="0" xr:uid="{966A9266-BDD5-6D40-A42F-2645E43E4AD6}">
      <text>
        <r>
          <rPr>
            <sz val="10"/>
            <color rgb="FF000000"/>
            <rFont val="Tahoma"/>
            <family val="2"/>
          </rPr>
          <t>perform test "before work"</t>
        </r>
      </text>
    </comment>
    <comment ref="AP74" authorId="0" shapeId="0" xr:uid="{6B7BD0D9-A6ED-7640-A23F-A271083629A4}">
      <text>
        <r>
          <rPr>
            <sz val="10"/>
            <color rgb="FF000000"/>
            <rFont val="Tahoma"/>
            <family val="2"/>
          </rPr>
          <t>Every day prior to work (but unclear how often per week each individual worked)</t>
        </r>
      </text>
    </comment>
    <comment ref="CA74" authorId="0" shapeId="0" xr:uid="{1BD23363-1F6B-CF4A-BA3F-6F2B7ADBFF6B}">
      <text>
        <r>
          <rPr>
            <sz val="10"/>
            <color rgb="FF000000"/>
            <rFont val="Tahoma"/>
            <family val="2"/>
          </rPr>
          <t>60 min. given that a positive self-test had to be confirmed by a second positive self-test</t>
        </r>
      </text>
    </comment>
    <comment ref="Z75" authorId="0" shapeId="0" xr:uid="{30EC09A0-78E6-EA43-B310-2AA5343FA4BA}">
      <text>
        <r>
          <rPr>
            <sz val="10"/>
            <color rgb="FF000000"/>
            <rFont val="Calibri"/>
            <family val="2"/>
          </rPr>
          <t xml:space="preserve">a tertiary academic medical centre employing 8000 clinical staff </t>
        </r>
      </text>
    </comment>
    <comment ref="AJ75" authorId="0" shapeId="0" xr:uid="{74B7DC5F-4329-4C43-8BE8-B53E6898D85E}">
      <text>
        <r>
          <rPr>
            <sz val="10"/>
            <color rgb="FF000000"/>
            <rFont val="Tahoma"/>
            <family val="2"/>
          </rPr>
          <t>QuickVue At-Home OTC COVID-19 Test; Quidel Corporation)</t>
        </r>
      </text>
    </comment>
    <comment ref="CA75" authorId="0" shapeId="0" xr:uid="{B3878BED-5AF1-3E4A-AAD6-736BD627B40F}">
      <text>
        <r>
          <rPr>
            <sz val="10"/>
            <color rgb="FF000000"/>
            <rFont val="Tahoma"/>
            <family val="2"/>
          </rPr>
          <t>as desecribed in the manuscript, Table 1</t>
        </r>
      </text>
    </comment>
    <comment ref="Z76" authorId="0" shapeId="0" xr:uid="{36217FE5-C33C-AE4E-9E85-1558E7B48A9F}">
      <text>
        <r>
          <rPr>
            <sz val="10"/>
            <color rgb="FF000000"/>
            <rFont val="Tahoma"/>
            <family val="2"/>
          </rPr>
          <t>Symptomatic students</t>
        </r>
      </text>
    </comment>
    <comment ref="AJ76" authorId="0" shapeId="0" xr:uid="{3C598F61-C8D8-A244-894C-1A1C86EEA612}">
      <text>
        <r>
          <rPr>
            <sz val="10"/>
            <color rgb="FF000000"/>
            <rFont val="Tahoma"/>
            <family val="2"/>
          </rPr>
          <t>eight different test kits were used</t>
        </r>
      </text>
    </comment>
    <comment ref="AP76" authorId="0" shapeId="0" xr:uid="{60F2174C-87B5-9E4C-B6E7-FE9A7E65A747}">
      <text>
        <r>
          <rPr>
            <sz val="10"/>
            <color rgb="FF000000"/>
            <rFont val="Tahoma"/>
            <family val="34"/>
          </rPr>
          <t>Tests were supposed to be performed twice weekly and after contact. It is not possible to differentiate between those tests performed as part of the routine testing scheme and those performed after contact</t>
        </r>
      </text>
    </comment>
    <comment ref="CA76" authorId="0" shapeId="0" xr:uid="{A1555F3C-55B7-8246-B529-087AB9AB3A33}">
      <text>
        <r>
          <rPr>
            <sz val="10"/>
            <color rgb="FF000000"/>
            <rFont val="Tahoma"/>
            <family val="2"/>
          </rPr>
          <t>assuming average time to complete a COVID-19 antigen-based self-test</t>
        </r>
      </text>
    </comment>
    <comment ref="Z77" authorId="0" shapeId="0" xr:uid="{D9E87CCD-695D-F044-9D44-D24F2B4862CB}">
      <text>
        <r>
          <rPr>
            <sz val="10"/>
            <color rgb="FF000000"/>
            <rFont val="Tahoma"/>
            <family val="2"/>
          </rPr>
          <t>Asymptomatic students</t>
        </r>
      </text>
    </comment>
    <comment ref="AJ77" authorId="0" shapeId="0" xr:uid="{B3C31287-96C8-4141-AC87-51B330EE3FBE}">
      <text>
        <r>
          <rPr>
            <sz val="10"/>
            <color rgb="FF000000"/>
            <rFont val="Tahoma"/>
            <family val="2"/>
          </rPr>
          <t>eight different test kits were used</t>
        </r>
      </text>
    </comment>
    <comment ref="AP77" authorId="0" shapeId="0" xr:uid="{1D6F0887-EB21-B24A-BA71-B7DF3FF80C3F}">
      <text>
        <r>
          <rPr>
            <sz val="10"/>
            <color rgb="FF000000"/>
            <rFont val="Tahoma"/>
            <family val="34"/>
          </rPr>
          <t>Tests were supposed to be performed twice weekly and after contact. It is not possible to differentiate between those tests performed as part of the routine testing scheme and those performed after contact</t>
        </r>
      </text>
    </comment>
    <comment ref="CA77" authorId="0" shapeId="0" xr:uid="{01090E11-CB42-CB4B-A82F-E72DC19ACF1A}">
      <text>
        <r>
          <rPr>
            <sz val="10"/>
            <color rgb="FF000000"/>
            <rFont val="Tahoma"/>
            <family val="2"/>
          </rPr>
          <t>assuming average time to complete a COVID-19 antigen-based self-test</t>
        </r>
      </text>
    </comment>
    <comment ref="Z78" authorId="0" shapeId="0" xr:uid="{43E8F621-984F-B141-935D-0505CA365D1F}">
      <text>
        <r>
          <rPr>
            <sz val="10"/>
            <color rgb="FF000000"/>
            <rFont val="Tahoma"/>
            <family val="2"/>
          </rPr>
          <t>Symptomatic staff</t>
        </r>
      </text>
    </comment>
    <comment ref="AJ78" authorId="0" shapeId="0" xr:uid="{0BB3DB94-0B19-0B44-800F-4CE62A6DABE8}">
      <text>
        <r>
          <rPr>
            <sz val="10"/>
            <color rgb="FF000000"/>
            <rFont val="Tahoma"/>
            <family val="2"/>
          </rPr>
          <t>eight different test kits were used</t>
        </r>
      </text>
    </comment>
    <comment ref="AP78" authorId="0" shapeId="0" xr:uid="{DDD6E008-7A2D-F643-BACA-0E871FE9227F}">
      <text>
        <r>
          <rPr>
            <sz val="10"/>
            <color rgb="FF000000"/>
            <rFont val="Tahoma"/>
            <family val="34"/>
          </rPr>
          <t>Tests were supposed to be performed twice weekly and after contact. It is not possible to differentiate between those tests performed as part of the routine testing scheme and those performed after contact</t>
        </r>
      </text>
    </comment>
    <comment ref="CA78" authorId="0" shapeId="0" xr:uid="{B034F86F-F18D-D64A-A153-ADD00822F35D}">
      <text>
        <r>
          <rPr>
            <sz val="10"/>
            <color rgb="FF000000"/>
            <rFont val="Tahoma"/>
            <family val="2"/>
          </rPr>
          <t>assuming average time to complete a COVID-19 antigen-based self-test</t>
        </r>
      </text>
    </comment>
    <comment ref="Z79" authorId="0" shapeId="0" xr:uid="{16A2D265-6452-FC4D-A68E-919489F2BAB5}">
      <text>
        <r>
          <rPr>
            <sz val="10"/>
            <color rgb="FF000000"/>
            <rFont val="Tahoma"/>
            <family val="2"/>
          </rPr>
          <t>Asymptomatic staff</t>
        </r>
      </text>
    </comment>
    <comment ref="AJ79" authorId="0" shapeId="0" xr:uid="{99E6D203-14B7-0546-8B6C-EBB2C487C995}">
      <text>
        <r>
          <rPr>
            <sz val="10"/>
            <color rgb="FF000000"/>
            <rFont val="Tahoma"/>
            <family val="2"/>
          </rPr>
          <t>eight different test kits were used</t>
        </r>
      </text>
    </comment>
    <comment ref="AP79" authorId="0" shapeId="0" xr:uid="{DBC9D683-D2F0-3A4A-B4ED-FFED557993CA}">
      <text>
        <r>
          <rPr>
            <sz val="10"/>
            <color rgb="FF000000"/>
            <rFont val="Tahoma"/>
            <family val="34"/>
          </rPr>
          <t>Tests were supposed to be performed twice weekly and after contact. It is not possible to differentiate between those tests performed as part of the routine testing scheme and those performed after contact</t>
        </r>
      </text>
    </comment>
    <comment ref="CA79" authorId="0" shapeId="0" xr:uid="{FD1BADD1-DF13-AF45-B6B9-3DAADFCC4389}">
      <text>
        <r>
          <rPr>
            <sz val="10"/>
            <color rgb="FF000000"/>
            <rFont val="Tahoma"/>
            <family val="2"/>
          </rPr>
          <t>assuming average time to complete a COVID-19 antigen-based self-test</t>
        </r>
      </text>
    </comment>
    <comment ref="E80" authorId="0" shapeId="0" xr:uid="{5F40CF35-4658-D94C-9A57-48BC0D7875CE}">
      <text>
        <r>
          <rPr>
            <sz val="10"/>
            <color rgb="FF000000"/>
            <rFont val="Tahoma"/>
            <family val="2"/>
          </rPr>
          <t>Events were held until August 20th, plus 7 day testing period</t>
        </r>
      </text>
    </comment>
    <comment ref="M80" authorId="0" shapeId="0" xr:uid="{90D3928C-27CD-2B46-9B4F-E27B87DEC9FA}">
      <text>
        <r>
          <rPr>
            <sz val="10"/>
            <color rgb="FF000000"/>
            <rFont val="Tahoma"/>
            <family val="2"/>
          </rPr>
          <t>94 individuals from tennis + football events started C19ST, plus an unknown number of individuals from Squash, Golf, and Cricket events</t>
        </r>
      </text>
    </comment>
    <comment ref="Z80" authorId="0" shapeId="0" xr:uid="{A58E3C9B-68C0-5C49-90A2-99D2CF8794C1}">
      <text>
        <r>
          <rPr>
            <sz val="10"/>
            <color rgb="FF000000"/>
            <rFont val="Tahoma"/>
            <family val="2"/>
          </rPr>
          <t>Athletes and general population (in for of key staff for the sport events)</t>
        </r>
      </text>
    </comment>
    <comment ref="A81" authorId="0" shapeId="0" xr:uid="{1B200C06-67F3-B04E-82E4-358A73BCBB51}">
      <text>
        <r>
          <rPr>
            <sz val="10"/>
            <color rgb="FF000000"/>
            <rFont val="Tahoma"/>
            <family val="2"/>
          </rPr>
          <t>Smartphone study</t>
        </r>
      </text>
    </comment>
    <comment ref="F81" authorId="0" shapeId="0" xr:uid="{71CD32B4-5885-9944-88BB-E4764B675311}">
      <text>
        <r>
          <rPr>
            <sz val="10"/>
            <color rgb="FF000000"/>
            <rFont val="Tahoma"/>
            <family val="2"/>
          </rPr>
          <t>Utah</t>
        </r>
      </text>
    </comment>
    <comment ref="M81" authorId="0" shapeId="0" xr:uid="{0C27D9AB-DFF7-DC4F-B663-3E3CC7961021}">
      <text>
        <r>
          <rPr>
            <sz val="10"/>
            <color rgb="FF000000"/>
            <rFont val="Tahoma"/>
            <family val="2"/>
          </rPr>
          <t>195 individuals reported having performed a C19ST, but unclear whether they reported the test result</t>
        </r>
      </text>
    </comment>
    <comment ref="Z81" authorId="0" shapeId="0" xr:uid="{54280D3C-C89E-A74F-B7DA-9567F0416F17}">
      <text>
        <r>
          <rPr>
            <sz val="10"/>
            <color rgb="FF000000"/>
            <rFont val="Tahoma"/>
            <family val="2"/>
          </rPr>
          <t>patients receiving care at safety net community health centers (CHCs)</t>
        </r>
      </text>
    </comment>
    <comment ref="D82" authorId="0" shapeId="0" xr:uid="{AE24F29E-54B6-6E45-A5B7-104CD0743355}">
      <text>
        <r>
          <rPr>
            <sz val="10"/>
            <color rgb="FF000000"/>
            <rFont val="Tahoma"/>
            <family val="2"/>
          </rPr>
          <t xml:space="preserve">Begin of testing intervention; data collection through survey began already in June 2022.
</t>
        </r>
        <r>
          <rPr>
            <sz val="10"/>
            <color rgb="FF000000"/>
            <rFont val="Tahoma"/>
            <family val="2"/>
          </rPr>
          <t xml:space="preserve">
</t>
        </r>
        <r>
          <rPr>
            <sz val="10"/>
            <color rgb="FF000000"/>
            <rFont val="Tahoma"/>
            <family val="2"/>
          </rPr>
          <t>No specific dates, only the month, were provided by study.</t>
        </r>
      </text>
    </comment>
    <comment ref="E82" authorId="0" shapeId="0" xr:uid="{01C8BC78-80F5-DD48-A7AC-48A610B2F1A6}">
      <text>
        <r>
          <rPr>
            <sz val="10"/>
            <color rgb="FF000000"/>
            <rFont val="Tahoma"/>
            <family val="2"/>
          </rPr>
          <t>No specific date, only the month, were provided by the study</t>
        </r>
      </text>
    </comment>
    <comment ref="P82" authorId="0" shapeId="0" xr:uid="{4CD49C26-D16B-234E-A583-3CA345EBD6D8}">
      <text>
        <r>
          <rPr>
            <sz val="10"/>
            <color rgb="FF000000"/>
            <rFont val="Calibri"/>
            <family val="2"/>
          </rPr>
          <t xml:space="preserve">118 were 18 to &lt;40 years old
</t>
        </r>
        <r>
          <rPr>
            <sz val="10"/>
            <color rgb="FF000000"/>
            <rFont val="Calibri"/>
            <family val="2"/>
          </rPr>
          <t>31 were &gt;40 years old</t>
        </r>
        <r>
          <rPr>
            <sz val="10"/>
            <color rgb="FF000000"/>
            <rFont val="Tahoma"/>
            <family val="2"/>
          </rPr>
          <t xml:space="preserve">
</t>
        </r>
        <r>
          <rPr>
            <sz val="10"/>
            <color rgb="FF000000"/>
            <rFont val="Tahoma"/>
            <family val="2"/>
          </rPr>
          <t xml:space="preserve">
</t>
        </r>
        <r>
          <rPr>
            <sz val="10"/>
            <color rgb="FF000000"/>
            <rFont val="Tahoma"/>
            <family val="2"/>
          </rPr>
          <t xml:space="preserve">For all individuals being tested (454 persons, including professional testing):
</t>
        </r>
        <r>
          <rPr>
            <sz val="10"/>
            <color rgb="FF000000"/>
            <rFont val="Tahoma"/>
            <family val="2"/>
          </rPr>
          <t xml:space="preserve">
</t>
        </r>
        <r>
          <rPr>
            <sz val="10"/>
            <color rgb="FF000000"/>
            <rFont val="Tahoma"/>
            <family val="2"/>
          </rPr>
          <t xml:space="preserve">298 were 18 to &lt;40 years old
</t>
        </r>
        <r>
          <rPr>
            <sz val="10"/>
            <color rgb="FF000000"/>
            <rFont val="Tahoma"/>
            <family val="2"/>
          </rPr>
          <t xml:space="preserve">134 were &gt;40 years old
</t>
        </r>
        <r>
          <rPr>
            <sz val="10"/>
            <color rgb="FF000000"/>
            <rFont val="Tahoma"/>
            <family val="2"/>
          </rPr>
          <t>for 22 age data was missing</t>
        </r>
      </text>
    </comment>
    <comment ref="W82" authorId="0" shapeId="0" xr:uid="{3BFE77C1-E1D5-6240-A748-67D56FCA2A8F}">
      <text>
        <r>
          <rPr>
            <sz val="10"/>
            <color rgb="FF000000"/>
            <rFont val="Calibri"/>
            <family val="2"/>
          </rPr>
          <t xml:space="preserve">For all individuals being tested (454 persons, including professional testing):
</t>
        </r>
        <r>
          <rPr>
            <sz val="10"/>
            <color rgb="FF000000"/>
            <rFont val="Calibri"/>
            <family val="2"/>
          </rPr>
          <t xml:space="preserve">
</t>
        </r>
        <r>
          <rPr>
            <sz val="10"/>
            <color rgb="FF000000"/>
            <rFont val="Calibri"/>
            <family val="2"/>
          </rPr>
          <t xml:space="preserve">352 were male
</t>
        </r>
        <r>
          <rPr>
            <sz val="10"/>
            <color rgb="FF000000"/>
            <rFont val="Calibri"/>
            <family val="2"/>
          </rPr>
          <t xml:space="preserve">80 were female
</t>
        </r>
        <r>
          <rPr>
            <sz val="10"/>
            <color rgb="FF000000"/>
            <rFont val="Calibri"/>
            <family val="2"/>
          </rPr>
          <t>for 22 sex data was missing</t>
        </r>
      </text>
    </comment>
    <comment ref="X82" authorId="0" shapeId="0" xr:uid="{5A0E99BA-B083-224C-98BC-1F1DACE472F7}">
      <text>
        <r>
          <rPr>
            <sz val="10"/>
            <color rgb="FF000000"/>
            <rFont val="Calibri"/>
            <family val="2"/>
          </rPr>
          <t xml:space="preserve">For all individuals being tested (454 persons, including professional testing):
</t>
        </r>
        <r>
          <rPr>
            <sz val="10"/>
            <color rgb="FF000000"/>
            <rFont val="Calibri"/>
            <family val="2"/>
          </rPr>
          <t xml:space="preserve">
</t>
        </r>
        <r>
          <rPr>
            <sz val="10"/>
            <color rgb="FF000000"/>
            <rFont val="Calibri"/>
            <family val="2"/>
          </rPr>
          <t xml:space="preserve">352 were male
</t>
        </r>
        <r>
          <rPr>
            <sz val="10"/>
            <color rgb="FF000000"/>
            <rFont val="Calibri"/>
            <family val="2"/>
          </rPr>
          <t xml:space="preserve">80 were female
</t>
        </r>
        <r>
          <rPr>
            <sz val="10"/>
            <color rgb="FF000000"/>
            <rFont val="Calibri"/>
            <family val="2"/>
          </rPr>
          <t>for 22 sex data was missing</t>
        </r>
      </text>
    </comment>
    <comment ref="Y82" authorId="0" shapeId="0" xr:uid="{AD43A282-B00F-E14C-9109-6698E3A966F0}">
      <text>
        <r>
          <rPr>
            <sz val="10"/>
            <color rgb="FF000000"/>
            <rFont val="Calibri"/>
            <family val="2"/>
          </rPr>
          <t xml:space="preserve">For all individuals being tested (454 persons, including professional testing):
</t>
        </r>
        <r>
          <rPr>
            <sz val="10"/>
            <color rgb="FF000000"/>
            <rFont val="Calibri"/>
            <family val="2"/>
          </rPr>
          <t xml:space="preserve">
</t>
        </r>
        <r>
          <rPr>
            <sz val="10"/>
            <color rgb="FF000000"/>
            <rFont val="Calibri"/>
            <family val="2"/>
          </rPr>
          <t xml:space="preserve">352 were male
</t>
        </r>
        <r>
          <rPr>
            <sz val="10"/>
            <color rgb="FF000000"/>
            <rFont val="Calibri"/>
            <family val="2"/>
          </rPr>
          <t xml:space="preserve">80 were female
</t>
        </r>
        <r>
          <rPr>
            <sz val="10"/>
            <color rgb="FF000000"/>
            <rFont val="Calibri"/>
            <family val="2"/>
          </rPr>
          <t>for 22 sex data was missing</t>
        </r>
      </text>
    </comment>
    <comment ref="Z82" authorId="0" shapeId="0" xr:uid="{3A3B8F5E-3B0F-3743-84C3-1978CA252898}">
      <text>
        <r>
          <rPr>
            <sz val="10"/>
            <color rgb="FF000000"/>
            <rFont val="Tahoma"/>
            <family val="2"/>
          </rPr>
          <t xml:space="preserve">Of all 454 individuals receiving testing (both self-testing and professional testing):
</t>
        </r>
        <r>
          <rPr>
            <sz val="10"/>
            <color rgb="FF000000"/>
            <rFont val="Tahoma"/>
            <family val="2"/>
          </rPr>
          <t xml:space="preserve">
</t>
        </r>
        <r>
          <rPr>
            <sz val="10"/>
            <color rgb="FF000000"/>
            <rFont val="Calibri"/>
            <family val="2"/>
          </rPr>
          <t xml:space="preserve">Students: 5
</t>
        </r>
        <r>
          <rPr>
            <sz val="10"/>
            <color rgb="FF000000"/>
            <rFont val="Calibri"/>
            <family val="2"/>
          </rPr>
          <t xml:space="preserve">Employed: 47
</t>
        </r>
        <r>
          <rPr>
            <sz val="10"/>
            <color rgb="FF000000"/>
            <rFont val="Calibri"/>
            <family val="2"/>
          </rPr>
          <t xml:space="preserve">Unemployed: 27
</t>
        </r>
        <r>
          <rPr>
            <sz val="10"/>
            <color rgb="FF000000"/>
            <rFont val="Calibri"/>
            <family val="2"/>
          </rPr>
          <t xml:space="preserve">Self-employed: 336
</t>
        </r>
        <r>
          <rPr>
            <sz val="10"/>
            <color rgb="FF000000"/>
            <rFont val="Calibri"/>
            <family val="2"/>
          </rPr>
          <t xml:space="preserve">Health medical personnel: 4
</t>
        </r>
        <r>
          <rPr>
            <sz val="10"/>
            <color rgb="FF000000"/>
            <rFont val="Calibri"/>
            <family val="2"/>
          </rPr>
          <t xml:space="preserve">Others: 13
</t>
        </r>
        <r>
          <rPr>
            <sz val="10"/>
            <color rgb="FF000000"/>
            <rFont val="Calibri"/>
            <family val="2"/>
          </rPr>
          <t>Missing: 22</t>
        </r>
      </text>
    </comment>
    <comment ref="AF82" authorId="0" shapeId="0" xr:uid="{57B49F4B-44B3-9548-90C5-A5B00FC1CE55}">
      <text>
        <r>
          <rPr>
            <sz val="10"/>
            <color rgb="FF000000"/>
            <rFont val="Tahoma"/>
            <family val="2"/>
          </rPr>
          <t>some individuals had previous close contact with a SARS-CoV-2 case, but exact proportion is unknown</t>
        </r>
      </text>
    </comment>
    <comment ref="AH82" authorId="0" shapeId="0" xr:uid="{9C3BFBF3-3F7C-1B4A-8F86-C47E755AD95A}">
      <text>
        <r>
          <rPr>
            <sz val="10"/>
            <color rgb="FF000000"/>
            <rFont val="Tahoma"/>
            <family val="2"/>
          </rPr>
          <t>In a survey accompanying the study, 12-15% of respondents stated that they have been vaccinated, but unclear how many of those actually self-tested</t>
        </r>
      </text>
    </comment>
    <comment ref="AS82" authorId="0" shapeId="0" xr:uid="{E8126B1F-9A75-4E43-917F-B6735AB2722A}">
      <text>
        <r>
          <rPr>
            <sz val="10"/>
            <color rgb="FF000000"/>
            <rFont val="Tahoma"/>
            <family val="2"/>
          </rPr>
          <t>145 individuals sent test results themselve, but unclear whether this meant that all of those self-tested, too</t>
        </r>
      </text>
    </comment>
    <comment ref="AT82" authorId="0" shapeId="0" xr:uid="{66D0A71F-29B6-F84F-BAFF-158E4875E3B4}">
      <text>
        <r>
          <rPr>
            <sz val="10"/>
            <color rgb="FF000000"/>
            <rFont val="Tahoma"/>
            <family val="2"/>
          </rPr>
          <t>145 individuals sent test results themselve, but unclear whether this meant that all of those self-tested, too</t>
        </r>
      </text>
    </comment>
    <comment ref="AY82" authorId="0" shapeId="0" xr:uid="{FFBEB6CE-2237-D74A-B484-B2A652AC2CDC}">
      <text>
        <r>
          <rPr>
            <sz val="10"/>
            <color rgb="FF000000"/>
            <rFont val="Tahoma"/>
            <family val="2"/>
          </rPr>
          <t>145 individuals sent test results themselve, but unclear whether this meant that all of those self-tested, too</t>
        </r>
      </text>
    </comment>
    <comment ref="CA82" authorId="0" shapeId="0" xr:uid="{CC736D03-5813-F244-8F2F-5C701AED2FDC}">
      <text>
        <r>
          <rPr>
            <sz val="10"/>
            <color rgb="FF000000"/>
            <rFont val="Tahoma"/>
            <family val="2"/>
          </rPr>
          <t>as reported in the study's results section</t>
        </r>
      </text>
    </comment>
    <comment ref="K83" authorId="0" shapeId="0" xr:uid="{D5E1815A-EBAA-6440-900F-74925FAF50EA}">
      <text>
        <r>
          <rPr>
            <sz val="10"/>
            <color rgb="FF000000"/>
            <rFont val="Tahoma"/>
            <family val="2"/>
          </rPr>
          <t>10,000 people were invited for self-testing, but due to capacity limits only the first 1,993 who consented were considered for participation in the study</t>
        </r>
      </text>
    </comment>
    <comment ref="L83" authorId="0" shapeId="0" xr:uid="{0A575D4A-84A4-5544-AE82-9404BA3A9C8A}">
      <text>
        <r>
          <rPr>
            <sz val="10"/>
            <color rgb="FF000000"/>
            <rFont val="Tahoma"/>
            <family val="2"/>
          </rPr>
          <t>For both datasets</t>
        </r>
      </text>
    </comment>
    <comment ref="P83" authorId="0" shapeId="0" xr:uid="{4658D773-3723-7740-8F9E-F8F815F844BC}">
      <text>
        <r>
          <rPr>
            <sz val="10"/>
            <color rgb="FF000000"/>
            <rFont val="Tahoma"/>
            <family val="2"/>
          </rPr>
          <t xml:space="preserve">Age groups:
</t>
        </r>
        <r>
          <rPr>
            <sz val="10"/>
            <color rgb="FF000000"/>
            <rFont val="Tahoma"/>
            <family val="2"/>
          </rPr>
          <t xml:space="preserve">
</t>
        </r>
        <r>
          <rPr>
            <sz val="10"/>
            <color rgb="FF000000"/>
            <rFont val="Tahoma"/>
            <family val="2"/>
          </rPr>
          <t xml:space="preserve">20-40 years: 682
</t>
        </r>
        <r>
          <rPr>
            <sz val="10"/>
            <color rgb="FF000000"/>
            <rFont val="Tahoma"/>
            <family val="2"/>
          </rPr>
          <t xml:space="preserve">40-60 years: 971
</t>
        </r>
        <r>
          <rPr>
            <sz val="10"/>
            <color rgb="FF000000"/>
            <rFont val="Tahoma"/>
            <family val="2"/>
          </rPr>
          <t xml:space="preserve">60-80 years: 328
</t>
        </r>
        <r>
          <rPr>
            <sz val="10"/>
            <color rgb="FF000000"/>
            <rFont val="Tahoma"/>
            <family val="2"/>
          </rPr>
          <t xml:space="preserve">&gt;80 years: 9
</t>
        </r>
        <r>
          <rPr>
            <sz val="10"/>
            <color rgb="FF000000"/>
            <rFont val="Tahoma"/>
            <family val="2"/>
          </rPr>
          <t>Not classified: 5</t>
        </r>
      </text>
    </comment>
    <comment ref="W83" authorId="0" shapeId="0" xr:uid="{0C458237-3A7E-4442-908C-F916409C9AFB}">
      <text>
        <r>
          <rPr>
            <sz val="10"/>
            <color rgb="FF000000"/>
            <rFont val="Tahoma"/>
            <family val="2"/>
          </rPr>
          <t>706 as per Table S2. However, total sum of individuals does not match the number of individuals reported in the manuscript</t>
        </r>
      </text>
    </comment>
    <comment ref="X83" authorId="0" shapeId="0" xr:uid="{07B40C22-4D24-C043-B75B-2AE77F6109FC}">
      <text>
        <r>
          <rPr>
            <sz val="10"/>
            <color rgb="FF000000"/>
            <rFont val="Tahoma"/>
            <family val="2"/>
          </rPr>
          <t>430 as per Table S2. However, total sum of individuals does not match the number of individuals reported in the manuscript</t>
        </r>
      </text>
    </comment>
    <comment ref="Y83" authorId="0" shapeId="0" xr:uid="{1AA44DFB-C635-224E-88D8-3125A2902210}">
      <text>
        <r>
          <rPr>
            <sz val="10"/>
            <color rgb="FF000000"/>
            <rFont val="Tahoma"/>
            <family val="2"/>
          </rPr>
          <t>1 as per Table S2. However, total sum of individuals does not match the number of individuals reported in the manuscript</t>
        </r>
      </text>
    </comment>
    <comment ref="P84" authorId="0" shapeId="0" xr:uid="{48570239-4B72-954E-BBC5-1665C3021B57}">
      <text>
        <r>
          <rPr>
            <sz val="10"/>
            <color rgb="FF000000"/>
            <rFont val="Tahoma"/>
            <family val="2"/>
          </rPr>
          <t xml:space="preserve">Age groups:
</t>
        </r>
        <r>
          <rPr>
            <sz val="10"/>
            <color rgb="FF000000"/>
            <rFont val="Tahoma"/>
            <family val="2"/>
          </rPr>
          <t xml:space="preserve">
</t>
        </r>
        <r>
          <rPr>
            <sz val="10"/>
            <color rgb="FF000000"/>
            <rFont val="Tahoma"/>
            <family val="2"/>
          </rPr>
          <t xml:space="preserve">20-40 years: 682
</t>
        </r>
        <r>
          <rPr>
            <sz val="10"/>
            <color rgb="FF000000"/>
            <rFont val="Tahoma"/>
            <family val="2"/>
          </rPr>
          <t xml:space="preserve">40-60 years: 971
</t>
        </r>
        <r>
          <rPr>
            <sz val="10"/>
            <color rgb="FF000000"/>
            <rFont val="Tahoma"/>
            <family val="2"/>
          </rPr>
          <t xml:space="preserve">60-80 years: 328
</t>
        </r>
        <r>
          <rPr>
            <sz val="10"/>
            <color rgb="FF000000"/>
            <rFont val="Tahoma"/>
            <family val="2"/>
          </rPr>
          <t xml:space="preserve">&gt;80 years: 9
</t>
        </r>
        <r>
          <rPr>
            <sz val="10"/>
            <color rgb="FF000000"/>
            <rFont val="Tahoma"/>
            <family val="2"/>
          </rPr>
          <t>Not classified: 5</t>
        </r>
      </text>
    </comment>
    <comment ref="W84" authorId="0" shapeId="0" xr:uid="{6346C688-DA5D-3740-A837-92C0C6A5622D}">
      <text>
        <r>
          <rPr>
            <sz val="10"/>
            <color rgb="FF000000"/>
            <rFont val="Tahoma"/>
            <family val="2"/>
          </rPr>
          <t>191 as per Table S2. However, total sum of individuals does not match the number of individuals reported in the manuscript</t>
        </r>
      </text>
    </comment>
    <comment ref="X84" authorId="0" shapeId="0" xr:uid="{75DD4E8B-EB46-694A-BBBB-434073BDBBF5}">
      <text>
        <r>
          <rPr>
            <sz val="10"/>
            <color rgb="FF000000"/>
            <rFont val="Tahoma"/>
            <family val="2"/>
          </rPr>
          <t>121 as per Table S2. However, total sum of individuals does not match the number of individuals reported in the manuscript</t>
        </r>
      </text>
    </comment>
    <comment ref="Y84" authorId="0" shapeId="0" xr:uid="{40752A9B-E56B-5446-A6E1-29A4CB1B4068}">
      <text>
        <r>
          <rPr>
            <sz val="10"/>
            <color rgb="FF000000"/>
            <rFont val="Tahoma"/>
            <family val="2"/>
          </rPr>
          <t>2 as per Table S2. However, total sum of individuals does not match the number of individuals reported in the manuscript</t>
        </r>
      </text>
    </comment>
    <comment ref="A86" authorId="0" shapeId="0" xr:uid="{3A2C7072-2EBD-C847-84AA-F65E4DCF1EC1}">
      <text>
        <r>
          <rPr>
            <sz val="10"/>
            <color rgb="FF000000"/>
            <rFont val="Tahoma"/>
            <family val="2"/>
          </rPr>
          <t>Intervention group</t>
        </r>
      </text>
    </comment>
    <comment ref="K86" authorId="0" shapeId="0" xr:uid="{92979268-E4F3-9247-9022-5361C2F2DAA8}">
      <text>
        <r>
          <rPr>
            <sz val="10"/>
            <color rgb="FF000000"/>
            <rFont val="Tahoma"/>
            <family val="2"/>
          </rPr>
          <t>43 care-homes with a median of 57 (IQR: 38-77) permanent staff</t>
        </r>
      </text>
    </comment>
    <comment ref="A87" authorId="0" shapeId="0" xr:uid="{06977268-6849-B24F-862D-DABF1EB87A8E}">
      <text>
        <r>
          <rPr>
            <sz val="10"/>
            <color rgb="FF000000"/>
            <rFont val="Tahoma"/>
            <family val="2"/>
          </rPr>
          <t>Control group</t>
        </r>
      </text>
    </comment>
    <comment ref="K87" authorId="0" shapeId="0" xr:uid="{460CFE49-34A5-F84D-BB2C-EB4C051D7E29}">
      <text>
        <r>
          <rPr>
            <sz val="10"/>
            <color rgb="FF000000"/>
            <rFont val="Tahoma"/>
            <family val="2"/>
          </rPr>
          <t>42 care-homes with a median of 61(IQR: 40-76) permanent staff</t>
        </r>
      </text>
    </comment>
    <comment ref="AP87" authorId="0" shapeId="0" xr:uid="{83CB86A9-77F4-454F-B86C-5AA3A5A524E4}">
      <text>
        <r>
          <rPr>
            <sz val="10"/>
            <color rgb="FF000000"/>
            <rFont val="Tahoma"/>
            <family val="2"/>
          </rPr>
          <t>testing in case of symptoms or outbreak control</t>
        </r>
      </text>
    </comment>
    <comment ref="D88" authorId="0" shapeId="0" xr:uid="{16FC290A-D422-D349-B616-EF34317CAD42}">
      <text>
        <r>
          <rPr>
            <sz val="10"/>
            <color rgb="FF000000"/>
            <rFont val="Tahoma"/>
            <family val="2"/>
          </rPr>
          <t>No exact date reported</t>
        </r>
      </text>
    </comment>
    <comment ref="E88" authorId="0" shapeId="0" xr:uid="{A263813E-2392-524A-B3AF-19EEAEB93FF2}">
      <text>
        <r>
          <rPr>
            <sz val="10.5"/>
            <color rgb="FF000000"/>
            <rFont val="Calibri"/>
            <family val="2"/>
          </rPr>
          <t>No exact date reported</t>
        </r>
      </text>
    </comment>
    <comment ref="D89" authorId="0" shapeId="0" xr:uid="{FBB029FE-CA79-7F4F-822A-9A010B873EDE}">
      <text>
        <r>
          <rPr>
            <sz val="10"/>
            <color rgb="FF000000"/>
            <rFont val="Tahoma"/>
            <family val="2"/>
          </rPr>
          <t>Survey was conducted on May 7th and 8th. Participants were supposed to answer based on their actions within the previous two weeks</t>
        </r>
      </text>
    </comment>
    <comment ref="P89" authorId="0" shapeId="0" xr:uid="{AB829783-2E61-2D48-AB40-9DF0FDFE7ED6}">
      <text>
        <r>
          <rPr>
            <sz val="10"/>
            <color rgb="FF000000"/>
            <rFont val="Tahoma"/>
            <family val="2"/>
          </rPr>
          <t xml:space="preserve">age 18–24: 112 individuals
</t>
        </r>
        <r>
          <rPr>
            <sz val="10"/>
            <color rgb="FF000000"/>
            <rFont val="Tahoma"/>
            <family val="2"/>
          </rPr>
          <t xml:space="preserve">age 25–34: 232 individuals
</t>
        </r>
        <r>
          <rPr>
            <sz val="10"/>
            <color rgb="FF000000"/>
            <rFont val="Tahoma"/>
            <family val="2"/>
          </rPr>
          <t xml:space="preserve">age 35–44: 176 individuals
</t>
        </r>
        <r>
          <rPr>
            <sz val="10"/>
            <color rgb="FF000000"/>
            <rFont val="Tahoma"/>
            <family val="2"/>
          </rPr>
          <t xml:space="preserve">age 45–54: 159 individuals
</t>
        </r>
        <r>
          <rPr>
            <sz val="10"/>
            <color rgb="FF000000"/>
            <rFont val="Tahoma"/>
            <family val="2"/>
          </rPr>
          <t xml:space="preserve">age 55–64: 158 individuals
</t>
        </r>
        <r>
          <rPr>
            <sz val="10"/>
            <color rgb="FF000000"/>
            <rFont val="Tahoma"/>
            <family val="2"/>
          </rPr>
          <t>age 65+: 194 individuals</t>
        </r>
      </text>
    </comment>
    <comment ref="D90" authorId="0" shapeId="0" xr:uid="{2770129A-CB39-4E40-842D-227D07B57261}">
      <text>
        <r>
          <rPr>
            <sz val="10"/>
            <color rgb="FF000000"/>
            <rFont val="Calibri"/>
            <family val="2"/>
          </rPr>
          <t>Survey was conducted between June 30th and July 2nd. Participants were supposed to answer based on their actions within the previous two weeks.</t>
        </r>
      </text>
    </comment>
    <comment ref="P90" authorId="0" shapeId="0" xr:uid="{25267C2C-7F2D-234B-B1B6-7EF68E0E9937}">
      <text>
        <r>
          <rPr>
            <sz val="10"/>
            <color rgb="FF000000"/>
            <rFont val="Tahoma"/>
            <family val="2"/>
          </rPr>
          <t xml:space="preserve">age 18–24: 365 individuals
</t>
        </r>
        <r>
          <rPr>
            <sz val="10"/>
            <color rgb="FF000000"/>
            <rFont val="Tahoma"/>
            <family val="2"/>
          </rPr>
          <t xml:space="preserve">age 25–34: 547 individuals
</t>
        </r>
        <r>
          <rPr>
            <sz val="10"/>
            <color rgb="FF000000"/>
            <rFont val="Tahoma"/>
            <family val="2"/>
          </rPr>
          <t xml:space="preserve">age 35–44: 495 individuals
</t>
        </r>
        <r>
          <rPr>
            <sz val="10"/>
            <color rgb="FF000000"/>
            <rFont val="Tahoma"/>
            <family val="2"/>
          </rPr>
          <t xml:space="preserve">age 45–54: 498 individuals
</t>
        </r>
        <r>
          <rPr>
            <sz val="10"/>
            <color rgb="FF000000"/>
            <rFont val="Tahoma"/>
            <family val="2"/>
          </rPr>
          <t xml:space="preserve">age 55–64: 508 individuals
</t>
        </r>
        <r>
          <rPr>
            <sz val="10"/>
            <color rgb="FF000000"/>
            <rFont val="Tahoma"/>
            <family val="2"/>
          </rPr>
          <t>age 65+: 629 individuals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Lukas Brümmer</author>
  </authors>
  <commentList>
    <comment ref="A1" authorId="0" shapeId="0" xr:uid="{861952E0-B2CF-E846-A3F0-F3837DD5C9F3}">
      <text>
        <r>
          <rPr>
            <sz val="10"/>
            <color rgb="FF000000"/>
            <rFont val="Tahoma"/>
            <family val="2"/>
          </rPr>
          <t>Mapping between name of the columns in the sheet 'Data extracted' and the code</t>
        </r>
      </text>
    </comment>
  </commentList>
</comments>
</file>

<file path=xl/sharedStrings.xml><?xml version="1.0" encoding="utf-8"?>
<sst xmlns="http://schemas.openxmlformats.org/spreadsheetml/2006/main" count="11129" uniqueCount="967">
  <si>
    <t>#</t>
  </si>
  <si>
    <t>unclear</t>
  </si>
  <si>
    <t>Study ID</t>
  </si>
  <si>
    <t>Author</t>
  </si>
  <si>
    <t>Year</t>
  </si>
  <si>
    <t>Title</t>
  </si>
  <si>
    <t>Peer-Review Status</t>
  </si>
  <si>
    <t>Downs, L. O., et al</t>
  </si>
  <si>
    <t>Home-based SARS-CoV-2 lateral flow antigen testing in hospital workers</t>
  </si>
  <si>
    <t>PR</t>
  </si>
  <si>
    <t>Hirst, J. A., et al</t>
  </si>
  <si>
    <t>Feasibility and Acceptability of Community Coronavirus Disease 2019 Testing Strategies (FACTS) in a University Setting</t>
  </si>
  <si>
    <t>Hoehl, S., et al.</t>
  </si>
  <si>
    <t>High-Frequency Self-Testing by Schoolteachers for Sars-Cov-2 Using a Rapid Antigen Test</t>
  </si>
  <si>
    <t>Kheiroddin, P., et al</t>
  </si>
  <si>
    <t>Results of WICOVIR Gargle Pool PCR Testing in German Schools Based on the First 100,000 Tests</t>
  </si>
  <si>
    <t>Lamb, G., et al.</t>
  </si>
  <si>
    <t>Real-world evaluation of COVID-19 lateral flow device (LFD) mass-testing in healthcare workers at a London hospital; a prospective cohort analysis</t>
  </si>
  <si>
    <t>The acceptability of testing contacts of confirmed COVID-19 cases using serial, self-administered lateral flow devices as an alternative to self-isolation</t>
  </si>
  <si>
    <t>PP</t>
  </si>
  <si>
    <t>Stohr, J. J. J. M., et al</t>
  </si>
  <si>
    <t>Self-testing for the detection of SARS-CoV-2 infection with rapid antigen tests for people with suspected COVID-19 in the community</t>
  </si>
  <si>
    <r>
      <rPr>
        <sz val="11"/>
        <color rgb="FF000000"/>
        <rFont val="Calibri"/>
        <family val="2"/>
      </rPr>
      <t xml:space="preserve">Tulloch, </t>
    </r>
    <r>
      <rPr>
        <sz val="11"/>
        <color rgb="FF000000"/>
        <rFont val="Calibri"/>
        <family val="2"/>
      </rPr>
      <t>J. S. P.,</t>
    </r>
    <r>
      <rPr>
        <sz val="11"/>
        <color rgb="FF000000"/>
        <rFont val="Calibri"/>
        <family val="2"/>
      </rPr>
      <t xml:space="preserve"> et al.</t>
    </r>
  </si>
  <si>
    <t>Enhanced lateral flow testing strategies in care homes are associated with poor adherence and were insufficient to prevent COVID-19 outbreaks: results from a mixed methods implementation study</t>
  </si>
  <si>
    <t>U.o.Liverpool</t>
  </si>
  <si>
    <t>Covid-SMART Asymptomatic Testing Pilot in Liverpool City Region: Quantitative Evaluation</t>
  </si>
  <si>
    <t>Wachinger, J., et al.</t>
  </si>
  <si>
    <t>Experiences with opt-in, at-home screening for SARS-CoV-2 at a primary school in Germany: an implementation study</t>
  </si>
  <si>
    <t>Willeit, P., et al.</t>
  </si>
  <si>
    <t>Sensitivity and specificity of the antigen-based anterior nasal self-testing programme for detecting SARS-CoV-2 infection in schools, Austria, March 2021</t>
  </si>
  <si>
    <t>Feasibility of an online antigen self-testing strategy for SARS-CoV-2 addressed to health care and education professionals in Catalonia (Spain). The TESTA’T- COVID Project</t>
  </si>
  <si>
    <t>Du, Z., et al.</t>
  </si>
  <si>
    <t>Understanding the impact of rapid antigen tests on SARS-CoV-2 transmission in the fifth wave of COVID-19 in Hong Kong in early 2022</t>
  </si>
  <si>
    <t>Bresser, M., et al</t>
  </si>
  <si>
    <t>Evaluation of Covid-19 Ag-RDTs self-testing in Lesotho and Zambia</t>
  </si>
  <si>
    <t>Chen, S.H., et al.</t>
  </si>
  <si>
    <t>Differential clinical characteristics and performance of home antigen tests between parents and children after household transmission of SARS-CoV-2 during the Omicron variant pandemic</t>
  </si>
  <si>
    <t>D'Agostino, E.M., et al.</t>
  </si>
  <si>
    <t>Increasing access and uptake of SARS-CoV-2 at-home test using a community-engaged approach</t>
  </si>
  <si>
    <t>Engels, G., et al.</t>
  </si>
  <si>
    <t>Acceptance of different self-sampling methods for semiweekly SARS-CoV-2 testing in asymptomatic children and childcare workers at German day care centers</t>
  </si>
  <si>
    <t>Use of a Digital Assistant to Report COVID-19 Rapid Antigen Self-test Results to Health Departments in 6 US Communities</t>
  </si>
  <si>
    <t>Design and Preliminary Findings of Adherence to the Self-Testing for Our Protection From COVID-19 (STOP COVID-19) Risk-Based Testing Protocol: Prospective Digital Study</t>
  </si>
  <si>
    <t>Iftner, T., et al.</t>
  </si>
  <si>
    <t>Evaluation of the specificity and accuracy of SARS-CoV-2 rapid antigen self-tests compared to RT-PCR from 1015 asymptomatic volunteers</t>
  </si>
  <si>
    <t>Wu, S., et al.</t>
  </si>
  <si>
    <t>Serial antigen rapid testing in staff of a large acute hospital</t>
  </si>
  <si>
    <t>a26</t>
  </si>
  <si>
    <t xml:space="preserve">Lau, C.S., et al. </t>
  </si>
  <si>
    <t>SARS-CoV-2 Antigen Testing Intervals: Twice or Thrice a Week?</t>
  </si>
  <si>
    <t>a28</t>
  </si>
  <si>
    <t>Papenburg, J., et al.</t>
  </si>
  <si>
    <t>Adequacy of Serial Self-performed SARS-CoV-2 Rapid Antigen Detection Testing for Longitudinal Mass Screening in the Workplace</t>
  </si>
  <si>
    <t>a29</t>
  </si>
  <si>
    <t>Tinker, S.C., et al.</t>
  </si>
  <si>
    <t>Evaluation of self-administered antigen testing in a college setting</t>
  </si>
  <si>
    <t>a31</t>
  </si>
  <si>
    <t>Stemler, J. et al.</t>
  </si>
  <si>
    <t>A pilot surveillance report of SRAS-CoV-2 rapid antigen test results among volunteers in Germany, 1st week of July 2022</t>
  </si>
  <si>
    <t>a32</t>
  </si>
  <si>
    <t>Association of Mass Distribution of Rapid Antigen Tests and SARS-CoV-2 Prevalence: Results from NIH-CDC funded Say Yes! Covid Test program in Michigan</t>
  </si>
  <si>
    <t>Identification</t>
  </si>
  <si>
    <t>Sub_1</t>
  </si>
  <si>
    <t>Question 1</t>
  </si>
  <si>
    <t>Question 2</t>
  </si>
  <si>
    <t>Question 3</t>
  </si>
  <si>
    <t>Question 4</t>
  </si>
  <si>
    <t>Question 5</t>
  </si>
  <si>
    <t>Question 6</t>
  </si>
  <si>
    <t>Question 7</t>
  </si>
  <si>
    <t>Question 8</t>
  </si>
  <si>
    <t>Question 9</t>
  </si>
  <si>
    <t>yes</t>
  </si>
  <si>
    <t>no</t>
  </si>
  <si>
    <t>General</t>
  </si>
  <si>
    <t>Type</t>
  </si>
  <si>
    <t>Start Date</t>
  </si>
  <si>
    <t>End Date</t>
  </si>
  <si>
    <t>Location</t>
  </si>
  <si>
    <t>Community</t>
  </si>
  <si>
    <t>Costs for study participants</t>
  </si>
  <si>
    <t>Age (mean)</t>
  </si>
  <si>
    <t>Age (SD)</t>
  </si>
  <si>
    <t>Age (median)</t>
  </si>
  <si>
    <t>Age (Q1)</t>
  </si>
  <si>
    <t>Age (Q3)</t>
  </si>
  <si>
    <t>Females</t>
  </si>
  <si>
    <t>Males</t>
  </si>
  <si>
    <t>Risk Factors</t>
  </si>
  <si>
    <t>SARS-CoV-2 Exposure</t>
  </si>
  <si>
    <t>Vaccination status</t>
  </si>
  <si>
    <t>Seroconvalescence status</t>
  </si>
  <si>
    <t>prosp. cohort</t>
  </si>
  <si>
    <t>United Kingdom</t>
  </si>
  <si>
    <t>Germany</t>
  </si>
  <si>
    <t>not vaccinated</t>
  </si>
  <si>
    <t>General population</t>
  </si>
  <si>
    <t>Netherlands</t>
  </si>
  <si>
    <t>Austria</t>
  </si>
  <si>
    <t>Spain</t>
  </si>
  <si>
    <t>110 are vaccinated, 1 not</t>
  </si>
  <si>
    <t>193 are vaccinated, 2 not, 1 unclear</t>
  </si>
  <si>
    <t>retrospective</t>
  </si>
  <si>
    <t>Hong Kong</t>
  </si>
  <si>
    <t>City</t>
  </si>
  <si>
    <t>Zambia</t>
  </si>
  <si>
    <t>50 are PLHIV, of which 41 are on ART; 1059 are HIV negative and 4 have unknown HIV status; 4 on TB treatment</t>
  </si>
  <si>
    <t>Taiwan</t>
  </si>
  <si>
    <t>regulated, country wide price</t>
  </si>
  <si>
    <t>United States</t>
  </si>
  <si>
    <t>Canada</t>
  </si>
  <si>
    <t>Singapore</t>
  </si>
  <si>
    <t>371 seropositive</t>
  </si>
  <si>
    <t>Ag-RDT implementation</t>
  </si>
  <si>
    <t>Sample Type</t>
  </si>
  <si>
    <t>Test distributer</t>
  </si>
  <si>
    <t>Assistance</t>
  </si>
  <si>
    <t>Supervision</t>
  </si>
  <si>
    <t>Reader</t>
  </si>
  <si>
    <t>Additional interventions</t>
  </si>
  <si>
    <t>SUM</t>
  </si>
  <si>
    <t>Innova LFD</t>
  </si>
  <si>
    <t>AN / MT</t>
  </si>
  <si>
    <t>Employer</t>
  </si>
  <si>
    <t>Home</t>
  </si>
  <si>
    <t>RT-PCR screening of asymptomatic persons</t>
  </si>
  <si>
    <t>NP / OP</t>
  </si>
  <si>
    <t>University</t>
  </si>
  <si>
    <t>App-based, daily symptom tracking; self-isolation and RT-PCR in case of symptoms</t>
  </si>
  <si>
    <t>R-Biopharm</t>
  </si>
  <si>
    <t>School</t>
  </si>
  <si>
    <t>Gargle pool RT-PCR testing 2 to 3 times / week</t>
  </si>
  <si>
    <t>gargle lavage</t>
  </si>
  <si>
    <t>RT-PCR testing for symptomatic persons</t>
  </si>
  <si>
    <t>Public Heath Authority</t>
  </si>
  <si>
    <t xml:space="preserve">BD-RDT </t>
  </si>
  <si>
    <t>Testing Site</t>
  </si>
  <si>
    <t>RT-PCR test for every Ag-RDT performed</t>
  </si>
  <si>
    <t>PCR</t>
  </si>
  <si>
    <t>Roche RDT</t>
  </si>
  <si>
    <t>Work</t>
  </si>
  <si>
    <t>Weekly RT-PCR testing</t>
  </si>
  <si>
    <t>City-wide Ag-RDT testing at testing centers; RT-PCR testing for symptomatic persons</t>
  </si>
  <si>
    <t>Standard Q</t>
  </si>
  <si>
    <t>School safety measures (e.g., mask wearing)</t>
  </si>
  <si>
    <t>Lepu Medical Sars-Cov-2 RDT; Flowflex Sars-Cov-2 RDT</t>
  </si>
  <si>
    <t>Self-isolation of symptomatic persons; gargle pool RT-PCR testing of 1% of the study population every 3 to 5 week</t>
  </si>
  <si>
    <t>Panbio Antigen self-test, Abbot</t>
  </si>
  <si>
    <t>RT-PCR testing and COVID-19 Stringency Index</t>
  </si>
  <si>
    <t>Purchase at free market (pharmacy etc.)</t>
  </si>
  <si>
    <t>NP</t>
  </si>
  <si>
    <t>QuickVue</t>
  </si>
  <si>
    <t>Community workers</t>
  </si>
  <si>
    <t>AST</t>
  </si>
  <si>
    <t>saliva (self-sampled) pooled RT-PCR testing</t>
  </si>
  <si>
    <t>RT-PCR testing</t>
  </si>
  <si>
    <t>OP</t>
  </si>
  <si>
    <t>RT-PCR testing if symptomatic</t>
  </si>
  <si>
    <t>RT-PCR</t>
  </si>
  <si>
    <t>SD Biosensor Standard Q &amp; Abbott Panbio COVID-19 Ag Rapid Tests</t>
  </si>
  <si>
    <t>RT-PCR every three days for the first two weeks of the study (afterwards discontinued)</t>
  </si>
  <si>
    <t>Panbio COVID-19 Ag Rapid Test Device (Abbott Laboratories)</t>
  </si>
  <si>
    <t>PCR if Ag Test positive</t>
  </si>
  <si>
    <t xml:space="preserve">Quidel QuickVue At-Home COVID-19 Test </t>
  </si>
  <si>
    <t>one-time PCR during week 3 of the study, mass vacination events, local COVID-19 prevention strategies</t>
  </si>
  <si>
    <t>Newgene COVID-19 Antigen Test Kit</t>
  </si>
  <si>
    <t>Study</t>
  </si>
  <si>
    <t>Actions after Ag-RDT result</t>
  </si>
  <si>
    <t>Undesirable Effects</t>
  </si>
  <si>
    <t>Individual level health impact</t>
  </si>
  <si>
    <t>Frequency of Testing</t>
  </si>
  <si>
    <t>Times per week</t>
  </si>
  <si>
    <t>Tool to diagnose</t>
  </si>
  <si>
    <t>Time to diagnosis</t>
  </si>
  <si>
    <t>Time to decision</t>
  </si>
  <si>
    <t>Ag-RDT positive result</t>
  </si>
  <si>
    <t>RT-PCR follow up</t>
  </si>
  <si>
    <t>Ag-RDT negative result</t>
  </si>
  <si>
    <t>Use out of the intended</t>
  </si>
  <si>
    <t>Fabrication of Data</t>
  </si>
  <si>
    <t>Social Harm</t>
  </si>
  <si>
    <t>Adverse Events</t>
  </si>
  <si>
    <t>Hospitalization</t>
  </si>
  <si>
    <t>Disease Severity</t>
  </si>
  <si>
    <t>30min</t>
  </si>
  <si>
    <t>PCR confirmatory testing, self-isolate</t>
  </si>
  <si>
    <t>continue to follow COVID-19 rules</t>
  </si>
  <si>
    <t>gargle RT-PCR</t>
  </si>
  <si>
    <t>same day</t>
  </si>
  <si>
    <t>1-3 days</t>
  </si>
  <si>
    <t>compulsory (by goverment guidance)</t>
  </si>
  <si>
    <t>voluntary (invitation to do so)</t>
  </si>
  <si>
    <t>exemption from isolation for 24h, then test again</t>
  </si>
  <si>
    <t>Go to school, retest with the next interval</t>
  </si>
  <si>
    <t>Go to school / send child to school, retest with the next interval</t>
  </si>
  <si>
    <t>continue in-class and repeat testing with the next interval</t>
  </si>
  <si>
    <t>Recommendation to self-isolate and contact general practitioner (GP) as soon as possible</t>
  </si>
  <si>
    <t>15 min</t>
  </si>
  <si>
    <t>Follow national COVID-19 guideline</t>
  </si>
  <si>
    <t>continue college life and to test twice-weekly until end of study</t>
  </si>
  <si>
    <t>Transmission</t>
  </si>
  <si>
    <t>Population health benefits</t>
  </si>
  <si>
    <t>Health system effects</t>
  </si>
  <si>
    <t>Incidence</t>
  </si>
  <si>
    <t>Prevalence</t>
  </si>
  <si>
    <t>Cases Averted</t>
  </si>
  <si>
    <t>Deaths Averted</t>
  </si>
  <si>
    <t>Morbidity Averted</t>
  </si>
  <si>
    <t>ICU occupancy</t>
  </si>
  <si>
    <t>Transmission within health care workers</t>
  </si>
  <si>
    <t>School / Work Operations</t>
  </si>
  <si>
    <t>Quarantine Duration</t>
  </si>
  <si>
    <t>Wellbeing</t>
  </si>
  <si>
    <t>Absenteeism</t>
  </si>
  <si>
    <t>Resource Usage</t>
  </si>
  <si>
    <t>User Costs</t>
  </si>
  <si>
    <t>Time Savings</t>
  </si>
  <si>
    <t>11.75-275.56 per week</t>
  </si>
  <si>
    <t>100–250/100 000 per week</t>
  </si>
  <si>
    <t>0,74-3,5%</t>
  </si>
  <si>
    <t>none if test negative</t>
  </si>
  <si>
    <t>compared to other care homes, no difference in number proportion or size of outbreaks (all care homes were of comparable size)</t>
  </si>
  <si>
    <t>0.31 positive per 100 LFD performed</t>
  </si>
  <si>
    <t>n/a</t>
  </si>
  <si>
    <t>General population: 54,3-154.1/100 000</t>
  </si>
  <si>
    <t>General population: 198/100,000</t>
  </si>
  <si>
    <t>81.1% (90) of participants felt self-test can improve security and protection of COVID-19 in the workplace and 44.1% (49) found the option to perform self-testing in privat / confidentially an advantage</t>
  </si>
  <si>
    <t>61.3% (68) of study participants found self-testing being availbae for free to be an advantage of self-testing</t>
  </si>
  <si>
    <t>86.7% (170) of participants felt self-test can improve security and protection of COVID-19 in the workplace and 31.6% (62) found the option to perform self-testing in privat / confidentially an advantage</t>
  </si>
  <si>
    <t>64.8% (127) of study participants found self-testing being availbae for free to be an advantage of self-testing</t>
  </si>
  <si>
    <t>"shortened the window of contact tracing"</t>
  </si>
  <si>
    <t>"reduced the number of staff under quarantine"</t>
  </si>
  <si>
    <t>estimated to cost US$100,000 per week per 8,000 people</t>
  </si>
  <si>
    <t>difference intervention versus control -0.016 cases per day (95% CI: -0.020 to -0.013)</t>
  </si>
  <si>
    <t>Home / Office</t>
  </si>
  <si>
    <t>15min.</t>
  </si>
  <si>
    <t>Continue at-home testing</t>
  </si>
  <si>
    <t>Recommendation to receive PCR test when developing symptoms</t>
  </si>
  <si>
    <t>Ag-RDT name</t>
  </si>
  <si>
    <t>Number of self-tests performed</t>
  </si>
  <si>
    <t>Number of results reported</t>
  </si>
  <si>
    <t>Characteristics study population</t>
  </si>
  <si>
    <t>Number of people eligible for self-testing</t>
  </si>
  <si>
    <t>Number of people invited to self-test</t>
  </si>
  <si>
    <t>Number of people that collected self-tests</t>
  </si>
  <si>
    <t>Population included in study based on …</t>
  </si>
  <si>
    <t>Age
(l range)</t>
  </si>
  <si>
    <t>Age
(u range)</t>
  </si>
  <si>
    <t>Number of people that collected / were sent
self-tests</t>
  </si>
  <si>
    <t>Number of people that reported self-testing results</t>
  </si>
  <si>
    <t>Other / unknown sex</t>
  </si>
  <si>
    <t>"Further testing"</t>
  </si>
  <si>
    <t>Professional Ag-RDT testing</t>
  </si>
  <si>
    <t>Test positivity</t>
  </si>
  <si>
    <t>Confirmat. Testing</t>
  </si>
  <si>
    <t>Testing</t>
  </si>
  <si>
    <t>Reporting</t>
  </si>
  <si>
    <t>Partici-pation</t>
  </si>
  <si>
    <t>Participation</t>
  </si>
  <si>
    <t>Ag-RDT result - in number of tests</t>
  </si>
  <si>
    <t>Ag-RDT result - in number of people</t>
  </si>
  <si>
    <t>Confirmatory testing - in number of tests</t>
  </si>
  <si>
    <t>Duration in weeks</t>
  </si>
  <si>
    <t>Optimal # of tests performed as per testing scheme</t>
  </si>
  <si>
    <t>Confirmatory testing - in number of people</t>
  </si>
  <si>
    <t>Number of people eligible / invited for self-testing</t>
  </si>
  <si>
    <t>262 people had close contact with a SARS-CoV-2 case</t>
  </si>
  <si>
    <t>Weekly surveillance questionnaire, RT-PCR in case of two ro more sympoms or exposure</t>
  </si>
  <si>
    <t>Weekly surveillance questionnaire</t>
  </si>
  <si>
    <t>continue to test twice-weekly until end of 12-week period</t>
  </si>
  <si>
    <t>continue to test twice-weekly until end of 2-week period, then continue weekly symptom survey</t>
  </si>
  <si>
    <t>RT-PCR and antibody testing</t>
  </si>
  <si>
    <t>a35</t>
  </si>
  <si>
    <t>Daily use of lateral flow devices by contacts of confirmed COVID-19 cases to enable exemption from isolation compared with standard self-isolation to reduce onward transmission of SARS-CoV-2 in England: a randomised, controlled, non-inferiority trial</t>
  </si>
  <si>
    <t>3390 unvaccinated, 6343 had 1 dose, 16103 had 2 doses</t>
  </si>
  <si>
    <t>2.2 per secondary case, with 1.93 of these being household contacts</t>
  </si>
  <si>
    <t>Number of study participants</t>
  </si>
  <si>
    <t>Local infection control measures</t>
  </si>
  <si>
    <t>retrosp. cohort</t>
  </si>
  <si>
    <t>Antibodies</t>
  </si>
  <si>
    <t>Teda Laukoetter Technologie GmbH “COVID-19 Antigen Rapid Test (colloidal gold) ANBIO Corona Antigen Nasal Swab“</t>
  </si>
  <si>
    <t xml:space="preserve">Hangzhou Clongene Biotech Co., Ltd. “COVID-19 Antigen Rapid Test” </t>
  </si>
  <si>
    <t>Mexacare GmbH “MEXACARE Corona Home-Test “Antigen” Rapid Test for self-testing”</t>
  </si>
  <si>
    <t>Uptake</t>
  </si>
  <si>
    <t>Ppositive</t>
  </si>
  <si>
    <t>Meta-Analysis</t>
  </si>
  <si>
    <t>Max</t>
  </si>
  <si>
    <t>Average</t>
  </si>
  <si>
    <t>Summary of questions</t>
  </si>
  <si>
    <t>Stop testing individual with positive result and give remaining test ot other household members; encouraged to report result to health authority</t>
  </si>
  <si>
    <t>Some individuals received confirmatory testing, but unclear by which means it was determined whether individuals would receive confirmatory testing or not</t>
  </si>
  <si>
    <t>PCR swab to study team for confirmatory testing; self-isolation</t>
  </si>
  <si>
    <t>self-testing enabled a mean of 5.9 days [SD 1.79] per participant who worked outside of the home</t>
  </si>
  <si>
    <t>a36</t>
  </si>
  <si>
    <t>Kwan, T. H. et al.</t>
  </si>
  <si>
    <t>Mass Screening of SARS-CoV-2 With Rapid Antigen Tests in a Receding Omicron Wave: Population-Based Survey for Epidemiologic Evaluation</t>
  </si>
  <si>
    <t>Government (HongKong)</t>
  </si>
  <si>
    <t>Number of people that collected / were sent self-tests</t>
  </si>
  <si>
    <t># &lt;60%</t>
  </si>
  <si>
    <t># 60-80%</t>
  </si>
  <si>
    <t># &gt;80%</t>
  </si>
  <si>
    <t>Broader societal effects</t>
  </si>
  <si>
    <t>none if test negative (for Alderly Hey workers)</t>
  </si>
  <si>
    <t>increased sense of safety</t>
  </si>
  <si>
    <t>reduced</t>
  </si>
  <si>
    <t>Unclear</t>
  </si>
  <si>
    <t>Continue after positive confirmatory test result?</t>
  </si>
  <si>
    <t>CONTINUE</t>
  </si>
  <si>
    <t>STOPP self-testing since rt-pcr was done at the end of the study</t>
  </si>
  <si>
    <t>STOPP self-testing since testing was only done once</t>
  </si>
  <si>
    <t>ANTIBODY testing at the beginning and end of study period</t>
  </si>
  <si>
    <t>Relative</t>
  </si>
  <si>
    <t># of data sets</t>
  </si>
  <si>
    <t>Unknown symptom status</t>
  </si>
  <si>
    <t>a37</t>
  </si>
  <si>
    <t>Yun, G. et al.</t>
  </si>
  <si>
    <t>COVID-19 Rapid Antigen Test Results in Preschool and School (March 2 to May 1, 2022)</t>
  </si>
  <si>
    <t>RT-PCR / professional Ag-RDT</t>
  </si>
  <si>
    <t>resume school; continue to test twice weekly and after contact</t>
  </si>
  <si>
    <t>resume school; continue to test once weekly and after contact</t>
  </si>
  <si>
    <t>a38</t>
  </si>
  <si>
    <t>Nagasawa, M. et al.</t>
  </si>
  <si>
    <t>Single-Facility Analysis of COVID-19 Status of Healthcare Employees during the Eighth and Ninth Pandemic Waves in Japan after Introducing Regular Rapid Antigen Testing</t>
  </si>
  <si>
    <t>Japan</t>
  </si>
  <si>
    <t>Panbio COVID-19 Antigen Rapid Test; Rapid COVID-19 Antigen Self-Test; SARS-CoV-2 Rapid Antigen Test</t>
  </si>
  <si>
    <t>self-isolate after close contact or infection</t>
  </si>
  <si>
    <t>return to work either three days after contact or 5 days after infection (given that the person testing negative is also fever-free for 14h)</t>
  </si>
  <si>
    <t>after close contact: individuals could continue working if C19ST was negative (testing required for the first 3 days after contact)
after confirmed infection: return to work on day 5 after infection instead of day 10 if C19ST negative on day 5 (and fever-free for at least 24h)</t>
  </si>
  <si>
    <t>a40</t>
  </si>
  <si>
    <t>a41</t>
  </si>
  <si>
    <t>Moonan, P.K. et al.</t>
  </si>
  <si>
    <t>Home-Based Testing and COVID-19 Isolation Recommendations, United States</t>
  </si>
  <si>
    <t>a42</t>
  </si>
  <si>
    <t>a43</t>
  </si>
  <si>
    <t>Kiene, S.M. et al.</t>
  </si>
  <si>
    <t>At-Home Versus Onsite COVID-19 School-based Testing: A Randomized Noninferiority Trial</t>
  </si>
  <si>
    <t>QuickVue At-Home OTC COVID-19 Tests</t>
  </si>
  <si>
    <t>Individuals were contacted by study staff if they did not pick-up their self-test or did not report self-testing results</t>
  </si>
  <si>
    <t>20.4</t>
  </si>
  <si>
    <t>14.8</t>
  </si>
  <si>
    <t>171 individuals received ≥ 2 doses of vaccines, 7 received 1 dosis, and 86 were unvaccinated</t>
  </si>
  <si>
    <t>a44</t>
  </si>
  <si>
    <t>Gorgels, K.M.F. et al.</t>
  </si>
  <si>
    <t>Estimating infection prevalence using the positive predictive value of self-administered rapid antigen diagnostic tests: An exploration of SARS-CoV-2 surveillance data in the Netherlands from May 2021 to April 2022</t>
  </si>
  <si>
    <t>Booster: 957,443; Fully vaccinated: 888,199; Partly vaccinated: 153,579; Unvaccinated: 1,057,391; Unknown: 543,282</t>
  </si>
  <si>
    <t>a45</t>
  </si>
  <si>
    <t>Hogg, C. et al.</t>
  </si>
  <si>
    <t>Test performance of lateral flow rapid antigen tests for COVID-19 in Welsh adult care home staff using routine surveillance data</t>
  </si>
  <si>
    <t>Combined nose and throat swabs or dry throat swabs</t>
  </si>
  <si>
    <t>a46</t>
  </si>
  <si>
    <t>Chan, H.K. et al.</t>
  </si>
  <si>
    <t>Implementation pilot study of community self-testing for COVID-19 among employees of manufacturing industries and their household members in 2022 to 2023</t>
  </si>
  <si>
    <t>Malaysia</t>
  </si>
  <si>
    <t>Manufacturing employees</t>
  </si>
  <si>
    <t>FlowFlex SARS-CoV-2 antigen rapid test</t>
  </si>
  <si>
    <t>a47</t>
  </si>
  <si>
    <t>Marbán‐Castro, E. et al.</t>
  </si>
  <si>
    <t>Implementing a pilot study of COVID‐19 self‐testing in high‐risk populations and remote locations: results and lessons learnt</t>
  </si>
  <si>
    <t>Georgia</t>
  </si>
  <si>
    <t>OnSite COVID-19 Ag Self-Test</t>
  </si>
  <si>
    <t>Household member</t>
  </si>
  <si>
    <t>City; rural</t>
  </si>
  <si>
    <t>Self-isolate</t>
  </si>
  <si>
    <t xml:space="preserve">Participants who home tested also had decreased odds of self-notifying their contacts; however, that association was not statistically significant (78% vs. 84%; aOR 0.79 [95% CI 0.53–1.18]) </t>
  </si>
  <si>
    <t>Persons who received results from home-based tests were significantly less likely to isolate for any duration compared with those who received provider- administered tests (78% vs. 84%; aOR 0.72 [95% CI 0.57–0.89]);
Odds that their isolation met contempo- rary guidelines were significantly lower among per- sons who received results from home-based tests than among those with provider-administered tests (64% vs, 73%; aOR 0.71 [95% CI 0.53–0.95]
=&gt; adjusted mean duration of isolation was 2 (95% CI 1.59–2.45) days shorter among persons with results from home- based tests than those with provider-administered tests (p&lt;0.001)</t>
  </si>
  <si>
    <t>Continue work / school</t>
  </si>
  <si>
    <t>a48</t>
  </si>
  <si>
    <t>Nodora, J.N. et al.</t>
  </si>
  <si>
    <t>Distribution of COVID-19 Home Testing Through Community Health Centers: Results of the COVID CoNOce MÁS Study</t>
  </si>
  <si>
    <t>a49</t>
  </si>
  <si>
    <t>Flexible and scalable participatory syndromic and virological surveillance for respiratory infections: our experiences in The Netherlands</t>
  </si>
  <si>
    <t>Smit, T. et al.</t>
  </si>
  <si>
    <t>MP Biomedicals</t>
  </si>
  <si>
    <t>Send swab for confirmatory testing to study personnel</t>
  </si>
  <si>
    <t>a50</t>
  </si>
  <si>
    <t>Nose-throat</t>
  </si>
  <si>
    <t>Follow national COVID-19 guideline, i.e., perform an RT-PCR for confirmatory testing</t>
  </si>
  <si>
    <t>Unnecessary social isolation if false-positive</t>
  </si>
  <si>
    <t>Combined AN / OP</t>
  </si>
  <si>
    <t>weekly RT-PCR; routine surveillance and management of COVID-19 in care homes in Wales (UK)</t>
  </si>
  <si>
    <t>30 min.</t>
  </si>
  <si>
    <t>Continue work</t>
  </si>
  <si>
    <t>Study personnel explained IFUs to participants. Also explained when to test</t>
  </si>
  <si>
    <t>Missing work or school; undergoind self-isolation</t>
  </si>
  <si>
    <t>a51</t>
  </si>
  <si>
    <t>Ryan, F. et al.</t>
  </si>
  <si>
    <t>Faster detection of asymptomatic COVID‐19 cases among care home staff in England through the combination of SARS‐CoV‐2 testing technologies</t>
  </si>
  <si>
    <t>Innova COVID-19 self-test</t>
  </si>
  <si>
    <t>Combined nose and throat</t>
  </si>
  <si>
    <t>Do not to attend work / immediately leave the workplace and remain at home in self-isolation for 10 days (as per UK Government requirements at the time) and take a confirmatory PCR test</t>
  </si>
  <si>
    <t>Continue work and routine testing</t>
  </si>
  <si>
    <t>Design and implementation of a digital site-less clinical study of serial rapid antigen testing to identify asymptomatic SARS-CoV-2 infection</t>
  </si>
  <si>
    <t>Quidel QuickVue At-Home OTC COVID-19 Test, Abbott BinaxNOW COVID-19 Antigen Self Test, or BD VeritorTM At-Home COVID-19 Test</t>
  </si>
  <si>
    <t>RT-PCR test every 48h (for every Ag-RDT self-test but the last)</t>
  </si>
  <si>
    <t>"Throughout the study, there were 11,646 contacts between coordinators and 4,389 distinct participants. This accounted for 33,356 minutes of coordination time."</t>
  </si>
  <si>
    <t>a53</t>
  </si>
  <si>
    <t>Tsang, N.N.Y. et al.</t>
  </si>
  <si>
    <t>Effectiveness of BNT162b2 and CoronaVac COVID-19 vaccination against asymptomatic and symptomatic infection of SARS-CoV-2 omicron BA.2 in Hong Kong: a prospective cohort study</t>
  </si>
  <si>
    <t>Unvaccinated: 764 individuals; One dose: 639 individuals; Two doses: 3,240 individuals; Three doses: 3,993 individuals</t>
  </si>
  <si>
    <t>INDICAID; PHASE Scientific, Hong Kong</t>
  </si>
  <si>
    <t>Report result to study team and continue routine testing</t>
  </si>
  <si>
    <t>Report result to study team and exit study</t>
  </si>
  <si>
    <t>a54</t>
  </si>
  <si>
    <t>Nakgul, L. et al.</t>
  </si>
  <si>
    <t>Saliva and wastewater surveillance for SARS-CoV-2 during school reopening amid COVID-19 pandemic in Thailand</t>
  </si>
  <si>
    <t>Thailand</t>
  </si>
  <si>
    <t>saliva lollipop rapid antigen lateral flow test (Hangzhou Testsea Biotechnology, Hangzhou, China)</t>
  </si>
  <si>
    <t>Saliva</t>
  </si>
  <si>
    <t>compulsory (by study design)</t>
  </si>
  <si>
    <t>Continue routine testing</t>
  </si>
  <si>
    <t>Nasal-swab self-test</t>
  </si>
  <si>
    <t>a55</t>
  </si>
  <si>
    <t>Wong, S.C. et al.</t>
  </si>
  <si>
    <t>Infection of healthcare workers despite a high vaccination rate during the fifth wave of COVID-19 due to Omicron variant in Hong Kong</t>
  </si>
  <si>
    <t>Healthcareworkers were required to receive a second dose of vaccination by 2/16/22, but it was not reported whether all healthcare Workers actually did so</t>
  </si>
  <si>
    <t>GLINE- 2019-nCoV Ag, BGI, China</t>
  </si>
  <si>
    <t>Nasal</t>
  </si>
  <si>
    <t>Refrain from work in case of fever or respiratory symptoms; perform RT-PCR in case of symptoms or contact with a case; hospital rooms with COVID-19 patients were turned into negative-pressure wards</t>
  </si>
  <si>
    <t>Perform another rapid test to ensure consistent results; if repeated test is also positive: proceed to RT-PCR confirmatory testing and be interviewed by infection control nurse</t>
  </si>
  <si>
    <t>Hu, Y. et al.</t>
  </si>
  <si>
    <t>Efficacy of rapid antigen self-testing for SARS-CoV-2 screening: Real-world evidence from a prospective cohort study</t>
  </si>
  <si>
    <t>China</t>
  </si>
  <si>
    <t>M&amp;D Covid-19 Antigen Rapid Test, Chongqing M&amp;D Biotechnology, Chongqing, China</t>
  </si>
  <si>
    <t>Daily RT-PCR testing, self-isolation</t>
  </si>
  <si>
    <t>"Among the 26 cases, 16 (61.5%) had positive RT-PCR results on average 3.81 h (SD: 3.33) before testing positive by Ag- RDT; four had positive Ag-RDT results while awaiting their RT-PCR results after having their sample collected, while six cases (23.1%) had positive Ag-RDT results before positive RT-PCR results. The mean time for having positive Ag-RDT results prior to positive RT-PCR results was 13.32 h (SD: 8.35)"</t>
  </si>
  <si>
    <t>Koirala, A. et al.</t>
  </si>
  <si>
    <t>Real-world utilisation of SARS-CoV-2 rapid antigen testing to enable face-to-face learning in Australian schools, an ecological study</t>
  </si>
  <si>
    <t>"obtain a SARS-CoV-2 NAAT upon notification of being a close contact of a SARS-CoV-2-positive student or staff member who attended school while infectious, and again on Day 6 and Day 10–12 post exposure"</t>
  </si>
  <si>
    <t>Australia</t>
  </si>
  <si>
    <t>reduced 30,465 days of school absenteeism</t>
  </si>
  <si>
    <t>reduced self-isolation by 30,465 days</t>
  </si>
  <si>
    <t>free</t>
  </si>
  <si>
    <t>Missing work or school; undergoing self-isolation</t>
  </si>
  <si>
    <t>Chong, S.J. et al.</t>
  </si>
  <si>
    <t>Assessment of COVID-19 Positive Rates Amongst COVID-19 Close Contacts Through the Health Risk Warning System</t>
  </si>
  <si>
    <t>Workplace</t>
  </si>
  <si>
    <t>Ag-RDT training at begin of the study; satisfaction surveys</t>
  </si>
  <si>
    <t>Report result to employer; follow national COVID-19 guideline</t>
  </si>
  <si>
    <t>Less worried about COVID-19</t>
  </si>
  <si>
    <t>More willing to self-isolate as much as possible</t>
  </si>
  <si>
    <t>15 min.</t>
  </si>
  <si>
    <t>Continue work / school; repeat the self-test after three days if at the time of the negative results, symptoms were also present; report own result and those of household-members to study staff</t>
  </si>
  <si>
    <t>Continue work / school; repeat the self-test after three days if at the time of the negative results, symptoms were also present</t>
  </si>
  <si>
    <t>Less self-isolation among staff</t>
  </si>
  <si>
    <t>Increased "feeling of peace"</t>
  </si>
  <si>
    <t>Nose and throat</t>
  </si>
  <si>
    <t>Random sample of symptomatic individuals were to send in nose + throat swab for RT-PCR testing despite negative self-test result</t>
  </si>
  <si>
    <t>retrosp. Cohort</t>
  </si>
  <si>
    <t>Contact health-care provider for any medical questions; continue routine testing</t>
  </si>
  <si>
    <t>1783 chronic illness</t>
  </si>
  <si>
    <t>Evaluation of vaccination efficacy</t>
  </si>
  <si>
    <t>19 adults (100%) had two doses; 13 children (11.4%) had one dosis and all other children were unvaccinated</t>
  </si>
  <si>
    <t>wastewater surveillance; additional measures: (1) each class was split into two groups, in which the students went to school on alternate days, (2) temperature screening before entering the school, (3) mask worn throughout the day, (4) maintaining physical distancing, (5) hygiene and cleanliness mea- sures implementation, and (6) COVID-19 vaccination in all teachers and eligible students</t>
  </si>
  <si>
    <t>Provide saliva sample for RT-PCR confirmatory testing; in case of confirmed case (definition unclear) entire class closed for one week by government guidelines</t>
  </si>
  <si>
    <t>Close contact</t>
  </si>
  <si>
    <t>Government</t>
  </si>
  <si>
    <t>Notify government authorities (visit specific website to understand exact steps)</t>
  </si>
  <si>
    <t>Leave self-isolation and continue daily acitivities; re-test daily ; notify authorities if test was taken on last day of isolation period (day 7)</t>
  </si>
  <si>
    <t>671 reported exposure (541 through contact with infected houshold member; 130 to exposure to patients / staff)</t>
  </si>
  <si>
    <t>No meta-analyzable outcome</t>
  </si>
  <si>
    <t>404 unvaccinated; 38 had received 1 dose; 559 had received 2 doses; 304 had received ≥ 3 doses</t>
  </si>
  <si>
    <t>923 had a previous COVID-19 diagnosis</t>
  </si>
  <si>
    <t>Location details</t>
  </si>
  <si>
    <t>Overview symptom status</t>
  </si>
  <si>
    <t>SARS-CoV-2 status</t>
  </si>
  <si>
    <t>unknown</t>
  </si>
  <si>
    <t>Symptomatic individuals</t>
  </si>
  <si>
    <t>Asymptomatic individuals</t>
  </si>
  <si>
    <t>Kim, A. E. et al.</t>
  </si>
  <si>
    <t>Comparative Diagnostic Utility of SARS-CoV-2 Rapid Antigen and Molecular Testing in a Community Setting</t>
  </si>
  <si>
    <t>4332 (77.7) fully vaccinated and boosted; 800 (14.4) fully vaccinated; 39 (0.7) unvaccinated; 404 (7.3) unknown</t>
  </si>
  <si>
    <t>Walk-in RT-PCR testing available at all times; invitation to conduct RT-PCR testing in case of outbreak; invitation to self-test after out-of-state travel, exposure to a known SARS-CoV-2 case, and new or worsening COVID-19 symptoms</t>
  </si>
  <si>
    <t>Anterior nasal</t>
  </si>
  <si>
    <t>contact with a confirmed COVID-19 case</t>
  </si>
  <si>
    <t>Study Characteristics</t>
  </si>
  <si>
    <t>Testing Characteristics</t>
  </si>
  <si>
    <t>Individual level health outcome</t>
  </si>
  <si>
    <t>Community level health outcome</t>
  </si>
  <si>
    <t>Republic of Korea</t>
  </si>
  <si>
    <t>Authors</t>
  </si>
  <si>
    <t>StudyID</t>
  </si>
  <si>
    <t>testingsite</t>
  </si>
  <si>
    <t>population</t>
  </si>
  <si>
    <t>country</t>
  </si>
  <si>
    <t>AgName</t>
  </si>
  <si>
    <t>Testregime</t>
  </si>
  <si>
    <t>Testfrequency</t>
  </si>
  <si>
    <t>Sympstat</t>
  </si>
  <si>
    <t>UptakeN</t>
  </si>
  <si>
    <t>UptakeD</t>
  </si>
  <si>
    <t>Report</t>
  </si>
  <si>
    <t>ReportN</t>
  </si>
  <si>
    <t>ReportD</t>
  </si>
  <si>
    <t>Adherent</t>
  </si>
  <si>
    <t>AdherentN</t>
  </si>
  <si>
    <t>AdherentD</t>
  </si>
  <si>
    <t>PpositiveN</t>
  </si>
  <si>
    <t>PpositiveD</t>
  </si>
  <si>
    <t>Tpositive</t>
  </si>
  <si>
    <t>TpositiveN</t>
  </si>
  <si>
    <t>TpositiveD</t>
  </si>
  <si>
    <t>FPR</t>
  </si>
  <si>
    <t>FPRN</t>
  </si>
  <si>
    <t>FPRD</t>
  </si>
  <si>
    <t>Missed</t>
  </si>
  <si>
    <t>MissedN</t>
  </si>
  <si>
    <t>MissedD</t>
  </si>
  <si>
    <t xml:space="preserve">Invalid </t>
  </si>
  <si>
    <t>InvalidN</t>
  </si>
  <si>
    <t>InvalidD</t>
  </si>
  <si>
    <t>Name</t>
  </si>
  <si>
    <t>a31_0</t>
  </si>
  <si>
    <t>a40_0</t>
  </si>
  <si>
    <t>a44_0</t>
  </si>
  <si>
    <t>a45_0</t>
  </si>
  <si>
    <t>a46_0</t>
  </si>
  <si>
    <t>a50_0</t>
  </si>
  <si>
    <t>a54_0</t>
  </si>
  <si>
    <t>B</t>
  </si>
  <si>
    <t>A</t>
  </si>
  <si>
    <t>AN</t>
  </si>
  <si>
    <t>Z</t>
  </si>
  <si>
    <t>F</t>
  </si>
  <si>
    <t>AJ</t>
  </si>
  <si>
    <t>AO</t>
  </si>
  <si>
    <t>AP</t>
  </si>
  <si>
    <t>AD</t>
  </si>
  <si>
    <t>Label</t>
  </si>
  <si>
    <r>
      <t xml:space="preserve">Column_Data extraction </t>
    </r>
    <r>
      <rPr>
        <sz val="10"/>
        <color rgb="FF000000"/>
        <rFont val="Calibri"/>
        <family val="2"/>
        <scheme val="minor"/>
      </rPr>
      <t>(row 3)</t>
    </r>
  </si>
  <si>
    <t>L</t>
  </si>
  <si>
    <t>K</t>
  </si>
  <si>
    <t>M</t>
  </si>
  <si>
    <t>AR</t>
  </si>
  <si>
    <t>AT</t>
  </si>
  <si>
    <t>AZ</t>
  </si>
  <si>
    <t>BB</t>
  </si>
  <si>
    <t>Ag-RDT_n tests_SUM</t>
  </si>
  <si>
    <t>Ag-RDT_n tests_Positive</t>
  </si>
  <si>
    <t>Ag-RDT_n tests_Negative</t>
  </si>
  <si>
    <t>Ag-RDT_n tests_Invalid</t>
  </si>
  <si>
    <t>Ag-RDT_n tests_False Interpretation</t>
  </si>
  <si>
    <t>Confirm_n tests_Type</t>
  </si>
  <si>
    <t>Confirm_n tests_Sample type</t>
  </si>
  <si>
    <t>Confirm_n tests_Total</t>
  </si>
  <si>
    <t>Confirm_n tests_TP</t>
  </si>
  <si>
    <t>Confirm_n tests_FN</t>
  </si>
  <si>
    <t>Confirm_n tests_TN</t>
  </si>
  <si>
    <t>Confirm_n tests_FP</t>
  </si>
  <si>
    <t>Ag-RDT_n people_SUM</t>
  </si>
  <si>
    <t>Ag-RDT_n people_Positive</t>
  </si>
  <si>
    <t>Ag-RDT_n people_Negative</t>
  </si>
  <si>
    <t>Ag-RDT_n people_Invalid</t>
  </si>
  <si>
    <t>Ag-RDT_n people_False Interpretation</t>
  </si>
  <si>
    <t>Confirm_n people_Type</t>
  </si>
  <si>
    <t>Confirm_n people_Sample type</t>
  </si>
  <si>
    <t>Confirm_n people_Total</t>
  </si>
  <si>
    <t>Confirm_n people_TP</t>
  </si>
  <si>
    <t>Confirm_n people_FN</t>
  </si>
  <si>
    <t>Confirm_n people_TN</t>
  </si>
  <si>
    <t>Confirm_n people_FP</t>
  </si>
  <si>
    <t>BM</t>
  </si>
  <si>
    <t>BK</t>
  </si>
  <si>
    <t>BU</t>
  </si>
  <si>
    <t>Testing site</t>
  </si>
  <si>
    <t>Single</t>
  </si>
  <si>
    <t>Routine</t>
  </si>
  <si>
    <t>Confirm_n people_FN_ref</t>
  </si>
  <si>
    <t>BX</t>
  </si>
  <si>
    <t>Only analyse if SARS-CoV-2 status = 'unknown' (column AG)</t>
  </si>
  <si>
    <t>Please note</t>
  </si>
  <si>
    <t>Please define in the code 1 = 'once', 2 = 'twice', and any number ≥ 3 = 'threemore'; 'unclear' and '#' can be used as is</t>
  </si>
  <si>
    <t>Healthcare Professionals</t>
  </si>
  <si>
    <t>University students and staff</t>
  </si>
  <si>
    <t>K-12 students and staff</t>
  </si>
  <si>
    <t>An evaluation of the pilot of daily contact testing of healthcare workers in NHS acute hospital and ambulance trusts</t>
  </si>
  <si>
    <t>UK Health Security Agency</t>
  </si>
  <si>
    <t>Accuracy of Rapid Antigen vs Reverse Transcriptase–Polymerase Chain Reaction Testing for SARS-CoV-2 Infection in College Athletes During Prevalence of the Omicron Variant</t>
  </si>
  <si>
    <t>Tsao, J. et al.</t>
  </si>
  <si>
    <t>Development of an At-Home COVID-19 Test Results–Reporting System for a School District Primarily Serving Underrepresented Minority Groups, San Diego, CA, 2021–2022</t>
  </si>
  <si>
    <t>McDaniels-Davidson, C.</t>
  </si>
  <si>
    <t>709 vaccinated (2-dose Pfizer or Moderna or 1-dose Johnson &amp; Johnson vaccines)</t>
  </si>
  <si>
    <t>BinaxNOW; Abbott Laboratories</t>
  </si>
  <si>
    <t>Confirmatory PCR test; self-isolate until PCR result available and when positive; identify close contacts and offer daily testing or self-isolation</t>
  </si>
  <si>
    <t>Contact with a confirmed COVID-19 case</t>
  </si>
  <si>
    <t>729 workdays lost averted</t>
  </si>
  <si>
    <t>729 days of self-isolation averted</t>
  </si>
  <si>
    <t>Weekly email to remind individuals of testing, support telephone hotline, instructional materal</t>
  </si>
  <si>
    <t>RT-PCR on d5 and d8 in some NHS trusts</t>
  </si>
  <si>
    <t>high burden of initial setup, £67 per potential work absence averted (range: £33 to £140)</t>
  </si>
  <si>
    <t>a27</t>
  </si>
  <si>
    <t>a30</t>
  </si>
  <si>
    <t>a33</t>
  </si>
  <si>
    <t>a34</t>
  </si>
  <si>
    <t>a42_0</t>
  </si>
  <si>
    <t>STOPP self-testing after positive RT-PCR</t>
  </si>
  <si>
    <t>a55_0</t>
  </si>
  <si>
    <t>Semi-dense</t>
  </si>
  <si>
    <t>City; semi-dense</t>
  </si>
  <si>
    <t>Harmon, A. et al.</t>
  </si>
  <si>
    <t>Validation of an At-Home Direct Antigen Rapid Test for COVID-19</t>
  </si>
  <si>
    <t>49 individuals had received two doses of vaccination</t>
  </si>
  <si>
    <t>E25Bio</t>
  </si>
  <si>
    <t>RT-PCR for every specimen</t>
  </si>
  <si>
    <t>allowed work activities to continue safely</t>
  </si>
  <si>
    <t>pooled RT-PCR at the d = 0 and d = 13 of the study period</t>
  </si>
  <si>
    <t>Continue school music trip</t>
  </si>
  <si>
    <t>some students had less anxiety after trip, teachers had less fear of infection</t>
  </si>
  <si>
    <t>allowed school field trip to take place</t>
  </si>
  <si>
    <t>The Feasibility of School Music Trips With Safe Cohorts During the COVID-19 Pandemic</t>
  </si>
  <si>
    <t>Pudasaini, S. et al.</t>
  </si>
  <si>
    <t>UK; Oxford University Hospital</t>
  </si>
  <si>
    <t>UK; University of Oxford</t>
  </si>
  <si>
    <t>EU; Teachers across the state Hesse</t>
  </si>
  <si>
    <t>EU; School students across the state Baden-Wuerttemberg</t>
  </si>
  <si>
    <t>UK; Chelsea and Westminster NHS Foundation Trust</t>
  </si>
  <si>
    <t>UK; Contacts across UK; NHS Test and Trace</t>
  </si>
  <si>
    <t>EU; Adults in Tilburg, Noord- Brabant</t>
  </si>
  <si>
    <t>UK; Liverpool; staff of 11 care-homes</t>
  </si>
  <si>
    <t>UK; Liverpool; inhabitants of the city region</t>
  </si>
  <si>
    <t>UK; Liverpool; city region</t>
  </si>
  <si>
    <t>EU; Teachers in southwestern Germany</t>
  </si>
  <si>
    <t>EU; School students and their parents in southwestern Germany</t>
  </si>
  <si>
    <t>EU; Primary school students across Austria</t>
  </si>
  <si>
    <t>EU; Secondary school students across Austria</t>
  </si>
  <si>
    <t>EU; Schools teachers across Austria</t>
  </si>
  <si>
    <t>EU; Staff of the Catalan Institute of Oncology</t>
  </si>
  <si>
    <t>EU; Staff of the schools belonging to the COVID Sentinel School Network of Catalonia</t>
  </si>
  <si>
    <t>AS; Individuals across Hong Kong</t>
  </si>
  <si>
    <t>Other; Individuals near Kabwe town in Central Province</t>
  </si>
  <si>
    <t>AS; Patients of the National Taiwan University Children’s Hospital</t>
  </si>
  <si>
    <t>EU; Daycare centers in Wuerzburg, Bavaria</t>
  </si>
  <si>
    <t>EU; Employees of the University Hospital Thüringen</t>
  </si>
  <si>
    <t>AS; Staff of The National University Hospital</t>
  </si>
  <si>
    <t>AS; Laboratory staff at the Changi General Hospital</t>
  </si>
  <si>
    <t>EU; Children (≥12 years) and adults across Germany</t>
  </si>
  <si>
    <t>NA; Ann Arbor and Ypsilanti, Washtenaw County, Michigan</t>
  </si>
  <si>
    <t>AS; Adults across Hong Kong</t>
  </si>
  <si>
    <t>AS; Schools and kindergarden across the entire country</t>
  </si>
  <si>
    <t>AS; Employees of the Musashino Red Cross Hospital</t>
  </si>
  <si>
    <t>NA; Representative sampling across the United States</t>
  </si>
  <si>
    <t>NA; Sweetwater Union High School District, San Diego, CA</t>
  </si>
  <si>
    <t>UK; Staff members of care homes across Wales</t>
  </si>
  <si>
    <t>AS; Manufacturing employees / household members in Kedah</t>
  </si>
  <si>
    <t>EU; Adults across Netherlands</t>
  </si>
  <si>
    <t>UK; Adult care home staff across UK</t>
  </si>
  <si>
    <t>NA; Adults across the US</t>
  </si>
  <si>
    <t>AS; Children and adults across Hong Kong</t>
  </si>
  <si>
    <t>AS; Anubansamsen School</t>
  </si>
  <si>
    <t>AS; Health-care workers in the Queen Mary Hospital</t>
  </si>
  <si>
    <t>AS; Residents of the Chongqing Medical University campus</t>
  </si>
  <si>
    <t>Other; Schools across New South Wales</t>
  </si>
  <si>
    <t>AS; Adults across Singapore</t>
  </si>
  <si>
    <t>NA; Students, faculty, and staff of the University of Washington</t>
  </si>
  <si>
    <t>NA; Students in the San Diego Sweetwater Union High School District</t>
  </si>
  <si>
    <t>NA; Student athletes at Stanford University</t>
  </si>
  <si>
    <t>EU; All public health services facilities in the Netherlands</t>
  </si>
  <si>
    <t>NA; Affiliates of co-working laboratories in Boston + Cambridge, MA</t>
  </si>
  <si>
    <t>EU; School within Germany (exact location unclear)</t>
  </si>
  <si>
    <t>NA; Individuals across Merced County, California</t>
  </si>
  <si>
    <t>NA; Individuals across Chattanooga, Tennessee</t>
  </si>
  <si>
    <t>NA; Individuals across Fulton County, Georgia</t>
  </si>
  <si>
    <t>NA; Individuals across O’ahu, Hawaii</t>
  </si>
  <si>
    <t>NA; Individuals across Indianapolis, Indiana</t>
  </si>
  <si>
    <t>NA; Individuals across Louisville, Kentucky</t>
  </si>
  <si>
    <t>NA; Individuals across Michigan (1st part of study) and the entire US (2nd part)</t>
  </si>
  <si>
    <t>NA; Students and staff of a residential college in Georgia</t>
  </si>
  <si>
    <t>NA; Community Health Centers, San Diego County, CA</t>
  </si>
  <si>
    <t>NA; Businesses in Montreal</t>
  </si>
  <si>
    <t>EU; Staff of health-facilities in Tibilisi and Kutaisi and of public Schools in Svanteni</t>
  </si>
  <si>
    <t>EU; Household members of the staff of health-facilities in Tibilisi and Kutaisi and of public Schools in Svanteni</t>
  </si>
  <si>
    <t>Invitation to book a confirmatory PCR test</t>
  </si>
  <si>
    <t>Notify school and local public health authority, self-isolate</t>
  </si>
  <si>
    <t>Leave school immediately and refer to local health authorities</t>
  </si>
  <si>
    <t>Confirm result through RT-PCR or professional Ag-RDT; do not go to school</t>
  </si>
  <si>
    <t>Continue / start self-isolation</t>
  </si>
  <si>
    <t>Follow CDC COIVD-19 guidelines, i.e., self-isolate for 10 days (when testing posiitive during 1/1/21-12/31/21) or 5 days (when testing posiitive during 1/1/22-3/31/22)</t>
  </si>
  <si>
    <t>Continue home isolation and confirm their result via NAAT testing</t>
  </si>
  <si>
    <t>compulsory (by government guidelines) for the first test of every week</t>
  </si>
  <si>
    <t>unclear - some individuals received confirmatory testing, but unclear by which means it was determined whether individuals would receive confirmatory testing or not</t>
  </si>
  <si>
    <t>mixed - perform either a second C19ST or a RT-PCR (as per study design)</t>
  </si>
  <si>
    <t>mixed - compulsory (by study design) only if C19ST positive and asymptomatic</t>
  </si>
  <si>
    <t>C19ST (for symptomatic individuals)</t>
  </si>
  <si>
    <t>30 min. (for symptomatic individuals)</t>
  </si>
  <si>
    <t>mixed - compulsory (by study design) if repeated C19ST is also positive</t>
  </si>
  <si>
    <t>mixed - compulsory (by government guidance) either RT-PCR or professional Ag-RDT test</t>
  </si>
  <si>
    <t>C19ST</t>
  </si>
  <si>
    <t>test result available within a few minutes</t>
  </si>
  <si>
    <t>C19ST or RT-PCR</t>
  </si>
  <si>
    <t>C19ST or Ag-RDT professional test</t>
  </si>
  <si>
    <t>SA_Uptake</t>
  </si>
  <si>
    <t>continue work after a negative C19ST result despite recent contact to confimred SARS-CoV-2 case (Alerdly Hey workers)</t>
  </si>
  <si>
    <t>exemption from isolation for 24h (go to work), then test again</t>
  </si>
  <si>
    <t>excemption from self-isolation if also asymptomatic and previous RT-PCR tests were negative</t>
  </si>
  <si>
    <t>SA_Reporting</t>
  </si>
  <si>
    <t>Sensitivity analyses</t>
  </si>
  <si>
    <t>include</t>
  </si>
  <si>
    <t>Only analyse if Label_FN_FP_analysis = 'include' (column DE)</t>
  </si>
  <si>
    <t>Confirm_n tests_FP_ref</t>
  </si>
  <si>
    <t>Confirm_n_tests_FP_ref</t>
  </si>
  <si>
    <t>FP_analysis</t>
  </si>
  <si>
    <t>Missed_analysis</t>
  </si>
  <si>
    <t>Include in analysis</t>
  </si>
  <si>
    <t>BJ</t>
  </si>
  <si>
    <t>Missed cases</t>
  </si>
  <si>
    <t>FP proportion</t>
  </si>
  <si>
    <t>Target population</t>
  </si>
  <si>
    <t>a52_0</t>
  </si>
  <si>
    <t>a59_0</t>
  </si>
  <si>
    <t>a65_0</t>
  </si>
  <si>
    <t>a63_0</t>
  </si>
  <si>
    <t>a56_0</t>
  </si>
  <si>
    <t>a58_0</t>
  </si>
  <si>
    <t>a57_0</t>
  </si>
  <si>
    <t>a47_0</t>
  </si>
  <si>
    <t>a60_0</t>
  </si>
  <si>
    <t>a39</t>
  </si>
  <si>
    <t>a52</t>
  </si>
  <si>
    <t>a56</t>
  </si>
  <si>
    <t>a57</t>
  </si>
  <si>
    <t>a58</t>
  </si>
  <si>
    <t>a59</t>
  </si>
  <si>
    <t>a60</t>
  </si>
  <si>
    <t>a61</t>
  </si>
  <si>
    <t>a62</t>
  </si>
  <si>
    <t>a63</t>
  </si>
  <si>
    <t>a64</t>
  </si>
  <si>
    <t>a65</t>
  </si>
  <si>
    <t>a66</t>
  </si>
  <si>
    <t>a67</t>
  </si>
  <si>
    <t>a68</t>
  </si>
  <si>
    <t>a69</t>
  </si>
  <si>
    <t>a70</t>
  </si>
  <si>
    <t>a71</t>
  </si>
  <si>
    <t>a72</t>
  </si>
  <si>
    <t>a73</t>
  </si>
  <si>
    <t>a74</t>
  </si>
  <si>
    <t>a75</t>
  </si>
  <si>
    <t>a76</t>
  </si>
  <si>
    <t>a77</t>
  </si>
  <si>
    <t>Tertiary cases</t>
  </si>
  <si>
    <t>Tertiary cases_denominator</t>
  </si>
  <si>
    <t>Tertiary cases_comparator</t>
  </si>
  <si>
    <t>Tertiary cases_denominator_comparator</t>
  </si>
  <si>
    <t>Tertiary contacts</t>
  </si>
  <si>
    <t>Agusti, C., et al.</t>
  </si>
  <si>
    <t>Bresser, M., et al.</t>
  </si>
  <si>
    <t>Chan, H.K., et al.</t>
  </si>
  <si>
    <t>Chong, S.J., et al.</t>
  </si>
  <si>
    <t>Gorgels, K.M.F., et al.</t>
  </si>
  <si>
    <t>Harmon, A., et al.</t>
  </si>
  <si>
    <t>Hogg, C., et al.</t>
  </si>
  <si>
    <t>Hu, Y., et al.</t>
  </si>
  <si>
    <t>Kiene, S.M., et al.</t>
  </si>
  <si>
    <t>Koirala, A., et al.</t>
  </si>
  <si>
    <t>Kwan, T.H., et al.</t>
  </si>
  <si>
    <t>Marbán‐Castro, E., et al.</t>
  </si>
  <si>
    <t>McDaniels-Davidson, C., et al.</t>
  </si>
  <si>
    <t>Nagasawa, M., et al.</t>
  </si>
  <si>
    <t>Nakgul, L., et al.</t>
  </si>
  <si>
    <t>Pudasaini, S., et al.</t>
  </si>
  <si>
    <t>Ryan, F., et al.</t>
  </si>
  <si>
    <t>Smit, T., et al.</t>
  </si>
  <si>
    <t>Soni, A., et al. (a)</t>
  </si>
  <si>
    <t>Stemler, J., et al.</t>
  </si>
  <si>
    <t>Tsao, J., et al.</t>
  </si>
  <si>
    <t>U. o. Liverpool</t>
  </si>
  <si>
    <t>Yun, G., et al.</t>
  </si>
  <si>
    <t>Herbert, C., et al. (a)</t>
  </si>
  <si>
    <t>Herbert, C., et al. (b)</t>
  </si>
  <si>
    <t>Soni, A., et al. (b)</t>
  </si>
  <si>
    <t>Downs, L.O., et al</t>
  </si>
  <si>
    <t>Kim, A.E., et al.</t>
  </si>
  <si>
    <t>Love, N.K., et al. (a)</t>
  </si>
  <si>
    <t>Love, N.K., et al. (b)</t>
  </si>
  <si>
    <t>Moonan, P.K., et al.</t>
  </si>
  <si>
    <t>Nodora, J.N., et al.</t>
  </si>
  <si>
    <t>Stohr, J.J.J.M., et al.</t>
  </si>
  <si>
    <t>Tulloch, J.S.P., et al.</t>
  </si>
  <si>
    <t>Wong, S.C., et al.</t>
  </si>
  <si>
    <t>Tsang, N.N.Y., et al.</t>
  </si>
  <si>
    <t>Kheiroddin, P., et al.</t>
  </si>
  <si>
    <t>Hirst, J.A., et al.</t>
  </si>
  <si>
    <t>Acceptability, Feasibility, and Uptake of COVID-19 Antigen Rapid Diagnostic Self-Testing at the Community Level in Tanzania</t>
  </si>
  <si>
    <t>a78</t>
  </si>
  <si>
    <t>Mwangoka, G.W. et al.</t>
  </si>
  <si>
    <t>a79</t>
  </si>
  <si>
    <t>Davies, M. et al.</t>
  </si>
  <si>
    <t>Self-testing for 5 respiratory viruses in adult VACCELERATE volunteers in Germany-a pilot study on multi-pathogen rapid antigen testing to monitor community-acquired acute respiratory infections</t>
  </si>
  <si>
    <t>a81</t>
  </si>
  <si>
    <t>Nacov, J. A. et al.</t>
  </si>
  <si>
    <t>"You know, it feels like you can trust them": mixed methods implementation research to inform the scale up of a health disparities-responsive COVID-19 school testing program</t>
  </si>
  <si>
    <t>Kiene, S. M. et al.</t>
  </si>
  <si>
    <t>Population-Based Digital Health Interventions to Deliver at-Home COVID-19 Testing: SCALE-UP II Randomized Clinical Trial</t>
  </si>
  <si>
    <t>Del Fiol, G. et al.</t>
  </si>
  <si>
    <t>Continuous SARS-CoV-2 monitoring in day care centres: A qualitative interview study on the experiences of childcare workers and parents with different self-sampling methods in the home environment</t>
  </si>
  <si>
    <t>Krauthausen, M. et al.</t>
  </si>
  <si>
    <t>Tanzania</t>
  </si>
  <si>
    <t>C19ST / professional Ag-RDT</t>
  </si>
  <si>
    <t>Education of COVID-19 interventions (self-isolation) and provision of masks and sanitizers for those who tested positive; further referral to healthcare facilities if also symptomatic</t>
  </si>
  <si>
    <t>Receive COVID-19 vaccination or at least advised to do so</t>
  </si>
  <si>
    <t>Daily symptom monitoring; COVID-19 transmission mitigation measures at the workplace</t>
  </si>
  <si>
    <t>Low-risk contact to a SARS-CoV-2 case</t>
  </si>
  <si>
    <t>Continue participating in training and competitions, continue working</t>
  </si>
  <si>
    <t>Allowed to continue sport training and competitions as well as going to work despite low-risk SARS-CoV-2 contact</t>
  </si>
  <si>
    <t>Allowed continuation of work despite low-risk SARS-CoV-2 contact</t>
  </si>
  <si>
    <t>EU; Adults across Germany</t>
  </si>
  <si>
    <t>Median (IQR) number of vaccinations: 3 (3-4)</t>
  </si>
  <si>
    <t>MAK 5, BioTeke Cooperation</t>
  </si>
  <si>
    <t>Individuals with:
Hypertension - 147
Coronary heart disease - 12
Heart failure - 8
Asthma/COPD - 107
Chronic kidney disease - 11
≥20 kg overweight - 104
Diabetes mellitus - 30
HIV - 13
Active cancer (≥2 yrs) - 17
Chronic GIT disease - 14
History of stroke - 10</t>
  </si>
  <si>
    <t>Individuals with:
Hypertension - 60
Coronary heart disease - 9
Heart failure - 2
Asthma/COPD - 36
Chronic kidney disease - 2
≥20 kg overweight - 35
Diabetes mellitus - 13
HIV - 5
Active cancer (≥2 yrs) - 5
Chronic GIT disease - 2
History of stroke - 1</t>
  </si>
  <si>
    <t>Testing for RSV, Influenca A, Influenca B, Adenovirus</t>
  </si>
  <si>
    <t>Magnitude of Potential Biases in COVID-19 Vaccine Effectiveness Studies due to Differential Healthcare seeking following Home Testing: Implications for Test Negative Design Studies</t>
  </si>
  <si>
    <t>Qasmieh, S.A. et al.</t>
  </si>
  <si>
    <t>UK; Health care workers in NHS hospitals across the UK</t>
  </si>
  <si>
    <r>
      <t>UK</t>
    </r>
    <r>
      <rPr>
        <sz val="11"/>
        <color theme="1"/>
        <rFont val="; Sprot professionals accross t"/>
      </rPr>
      <t>; athletes and key event staff across the country</t>
    </r>
  </si>
  <si>
    <t>Positive acknowledgement of little time required to perform tests</t>
  </si>
  <si>
    <t>Other; Adults in Dar es Salaam, Ilala District; Dodoma Town; and Mara, Tarime District</t>
  </si>
  <si>
    <t>SARS-COV2 Ag-RDT Flowflex COVID-19 Antigen Home Test, ACON</t>
  </si>
  <si>
    <t>1335 individuals were vaccinated</t>
  </si>
  <si>
    <t>Stirrup, O. et al.</t>
  </si>
  <si>
    <t>Incidence rate of all-cause hospital admissions per 1,000 care-home resident person-years [event-count]: 506.6 [293]</t>
  </si>
  <si>
    <t>Incidence rate of all-cause hospital admissions per 1,000 care-home resident person-years [event-count]: 367.3 [204]</t>
  </si>
  <si>
    <t>Survey on barriers to testing</t>
  </si>
  <si>
    <t>20min</t>
  </si>
  <si>
    <t>Partially avoided quarantine in low-risk contacts</t>
  </si>
  <si>
    <t>Implementing C19ST for individuals with low-risk contact (among other testing interventions) was described as labour-intensive by study authors</t>
  </si>
  <si>
    <t>Median (IQR) number of vaccinations: 3 (3-4); 937 individuals with 2+ vaccines</t>
  </si>
  <si>
    <t>695 with history of COVID-19 infection, median (IQR) of 3 (3-4) vaccinations per study participant</t>
  </si>
  <si>
    <t>177 with history of COVID-19 infection, median (IQR) of 3 (3-4) vaccinations per study participant</t>
  </si>
  <si>
    <t>NA; adults across Utah</t>
  </si>
  <si>
    <t>NA; adults across the United States</t>
  </si>
  <si>
    <t>Study via clinic</t>
  </si>
  <si>
    <t>Patient navigation or none, reminders to test every 10 or 30 days through messaging or chatbot</t>
  </si>
  <si>
    <t>testing was perceived as uncomfortable by some; testing discomfort causing interactive problems parents-kids</t>
  </si>
  <si>
    <t>Insecurity in regards to test accuracy and performing the test correctly; some children were interested in testing, others refused having test performed; felt that C19ST increased sense of safety because of reduced TAT</t>
  </si>
  <si>
    <t>Routine school-based testing provided parents with comfort, at-home testing provided participants with peace of mind and a sense of safety and security, especially during testing shortages in the community</t>
  </si>
  <si>
    <t>VIVALDI-CT shaping care home COVID-19 testing policy: A pragmatic cluster randomised controlled trial of asymptomatic testing compared to standard care in care home staff</t>
  </si>
  <si>
    <t>UK; care-home staff across the UK</t>
  </si>
  <si>
    <t>No significant difference in proportion of staff with Covid-19, staff on sick leave or proportion of shifts filled by agency staff</t>
  </si>
  <si>
    <t>Incidence rate of COVID-19 mortality in residents per 1,000 care-home residents person-years [event-count]: 5.4 [3]; Incidence rate of all-cause mortality in residents per 1,000 care-home residents person-years [event-count]: 243.4 [136]</t>
  </si>
  <si>
    <t>Incidence rate of COVID-19 mortality in residents per 1,000 care-home residents person-years [event-count]: 8.4 [5]; Incidence rate of COVID-19 mortality in residents per 1,000 care-home residents person-years [event-count]: 225.9 [134]</t>
  </si>
  <si>
    <t>Incidence rate of COVID-19 hospital admissions per 1,000 care-home resident person-years [event-count]: 22.7 [13]; Incidence rate of all-cause hospital admissions per 1,000 care-home resident person-years [event-count]: 367.3 [204]</t>
  </si>
  <si>
    <t>Incidence rate of all-cause hospital admissions per 1,000 care-home resident person-years [event-count]: 15.0 [9]; Incidence rate of all-cause hospital admissions per 1,000 care-home resident person-years [event-count]: 506.6 [293]</t>
  </si>
  <si>
    <t>a80</t>
  </si>
  <si>
    <t>##</t>
  </si>
  <si>
    <t>van Hagen, C.C.E. et al.</t>
  </si>
  <si>
    <t>The effect of SARS-CoV-2 testing on healthcare seeking behaviour at primary care level: implications for COVID-19 vaccine effectiveness estimates in test-negative design studies</t>
  </si>
  <si>
    <t>2189 individuals were vaccinated</t>
  </si>
  <si>
    <t>Staff symptomatic testing and outbreak testing, accompanyed by support payments for paid sick-leave and agency-back fill for COVID-related sick leave; communication strategy to encourage testing</t>
  </si>
  <si>
    <t>Feasibility of school music trips with safe cohorts during high SARS-CoV-2 incidence rates: a longitudinal observation study</t>
  </si>
  <si>
    <t>EU*</t>
  </si>
  <si>
    <t>UK*</t>
  </si>
  <si>
    <t>NA*</t>
  </si>
  <si>
    <t>AS*</t>
  </si>
  <si>
    <t>Other*</t>
  </si>
  <si>
    <t>a43_0</t>
  </si>
  <si>
    <t>a53_0</t>
  </si>
  <si>
    <t>a66_0</t>
  </si>
  <si>
    <t>a24</t>
  </si>
  <si>
    <t>a25</t>
  </si>
  <si>
    <t>a29_0</t>
  </si>
  <si>
    <t>a35_1</t>
  </si>
  <si>
    <t>a35_2</t>
  </si>
  <si>
    <t>a38_0</t>
  </si>
  <si>
    <t>a48_0</t>
  </si>
  <si>
    <t>a61_0</t>
  </si>
  <si>
    <t>a67_0</t>
  </si>
  <si>
    <t>a70_1</t>
  </si>
  <si>
    <t>a70_2</t>
  </si>
  <si>
    <t>a74_0</t>
  </si>
  <si>
    <t>a76_0</t>
  </si>
  <si>
    <t>a78_0</t>
  </si>
  <si>
    <t>a79_1</t>
  </si>
  <si>
    <t>a79_2</t>
  </si>
  <si>
    <t>a80_0</t>
  </si>
  <si>
    <t>The prevalence of SARS-CoV-2 infection and other public health outcomes during the BA.2/BA.2.12.1 surge, New York City, April–May 2022</t>
  </si>
  <si>
    <t>The prevalence of SARS-CoV-2 infection and long COVID in U.S. adults during the BA.4/BA.5 surge, June–July 2022</t>
  </si>
  <si>
    <t>a82</t>
  </si>
  <si>
    <t>a82_0</t>
  </si>
  <si>
    <t>NA; adults across New York City</t>
  </si>
  <si>
    <t>Boosted: 691 individuals
Fully vaccinated not boosted: 149 individuals
Not vaccinated: 190 individuals</t>
  </si>
  <si>
    <t>Prior COVID-19 infection
Never: 390 individuals
Confirmed: 375 individuals
No positive test, but likely prior COVID-19: 265 individuals</t>
  </si>
  <si>
    <t>377 individuals with comorbidities; 653 without</t>
  </si>
  <si>
    <t>SARS-CoV-2 immunity
Vaccine- and infection-induced (hybrid): 987 individuals
Vaccine-induced only: 1099 individuals
Infection-induced only: 501 individuals
No prior SARS-CoV-2 immunity: 456 individuals</t>
  </si>
  <si>
    <t>Boosted: 1610 individuals
Fully vaccinated not boosted: 476 individuals
Not vaccinated: 957 individuals</t>
  </si>
  <si>
    <t>Behaviour change</t>
  </si>
  <si>
    <t>•	The study observed that 82% of the study participants in the self-isolation group and 84% in the C19ST subgroup significantly reduced contact with non-household mem-bers. Conversely, in the antigen no-positive-test subgroup, only 57% reported reduced contact, with 11% reporting in-creased contact.
•	The study suggests that individuals receiv-ing negative antigen test results may per-ceive themselves as less infectious, lead-ing to greater social interaction, whereas positive results lead to self-isolation</t>
  </si>
  <si>
    <t>•	School staff showed higher testing partici-pation and adherence to the testing sched-ule under at-home C19ST (0.286 [SE 0.040] and 0.470 [SE 0.054], respectively) compared to professional testing on-site (0.132 [SE 0.021] and 0.222 [SE 0.029], re-spectively). For school students, participa-tion and adherence rates were similar for at-home C19ST (0.091 [SE 0.012] and 0.380 [SE 0.036], respectively) and receiv-ing testing by trained staff (0.105 [SE 0.012] and 0.400 [SE 0.030], respectively).</t>
  </si>
  <si>
    <t>•	84 individuals who had chosen daily C19ST instead of self-isolation were eventually confirmed for a SARS-CoV-2 infection. 64 of those reported that they had been in contact with other individuals prior to this diagnosis, which they would not have been if they had self-isolated.</t>
  </si>
  <si>
    <t>•	Compared to individuals who received a COVID-19 diagnosis through testing by trained staff, individuals who conducted C19ST were less likely to self-isolate (aOR 0.72 [95% CI 0.57–0.89]), had a lower chance of being compliant with local guide-lines if they were isolating (aOR 0.71 [95% CI 0.53–0.95]), and were less likely to in-form their contacts about their SARS-CoV-2 diagnosis (aOR 0.79 [95% CI 0.53–1.18]).</t>
  </si>
  <si>
    <t>•	A riskier behavior, e.g., less mask wearing than prior to implementing C19ST, compared to before the implementation of self-testing was not reported by any of the study participants</t>
  </si>
  <si>
    <t>1104 individuals with comorbidities; 1938 without</t>
  </si>
  <si>
    <t>Qasmieh, S.A. et al. (a)</t>
  </si>
  <si>
    <t>Qasmieh, S.A. et al. (b)</t>
  </si>
  <si>
    <t>Qasmieh, S.A. et al. (c)</t>
  </si>
  <si>
    <t>Soni, A. et al. (a)</t>
  </si>
  <si>
    <t>Soni, A. et al. (b)</t>
  </si>
  <si>
    <t>Love, N. K. et al. (a)</t>
  </si>
  <si>
    <t>Love, N. K. et al. (b)</t>
  </si>
  <si>
    <t>Upload image of test strip; repeat antigen test on the same day or after 1 day; perform confirmatory test using at-home RT-PCR collection kit; care directed by participant's primary or urgent care provider</t>
  </si>
  <si>
    <t>10 min.</t>
  </si>
  <si>
    <t>Follow national COVID-19 guidelines including self-isolation; report own result and those of household-members to study staff</t>
  </si>
  <si>
    <t>15-30 min.</t>
  </si>
  <si>
    <t>allmost immediate results</t>
  </si>
  <si>
    <t>a83</t>
  </si>
  <si>
    <t>a84</t>
  </si>
  <si>
    <t>a24_1</t>
  </si>
  <si>
    <t>a24_2</t>
  </si>
  <si>
    <t>a25_0</t>
  </si>
  <si>
    <t>a26_0</t>
  </si>
  <si>
    <t>a27_1</t>
  </si>
  <si>
    <t>a27_2</t>
  </si>
  <si>
    <t>a28_1</t>
  </si>
  <si>
    <t>a28_2</t>
  </si>
  <si>
    <t>a28_3</t>
  </si>
  <si>
    <t>a28_4</t>
  </si>
  <si>
    <t>a30_0</t>
  </si>
  <si>
    <t>a32_1</t>
  </si>
  <si>
    <t>a32_2</t>
  </si>
  <si>
    <t>a33_0</t>
  </si>
  <si>
    <t>a34_0</t>
  </si>
  <si>
    <t>a36_1</t>
  </si>
  <si>
    <t>a36_2</t>
  </si>
  <si>
    <t>a36_3</t>
  </si>
  <si>
    <t>a36_4</t>
  </si>
  <si>
    <t>a36_5</t>
  </si>
  <si>
    <t>a37_1</t>
  </si>
  <si>
    <t>a37_2</t>
  </si>
  <si>
    <t>a39_0</t>
  </si>
  <si>
    <t>a41_1</t>
  </si>
  <si>
    <t>a41_2</t>
  </si>
  <si>
    <t>a41_3</t>
  </si>
  <si>
    <t>a41_4</t>
  </si>
  <si>
    <t>a49_0</t>
  </si>
  <si>
    <t>a51_1</t>
  </si>
  <si>
    <t>a51_2</t>
  </si>
  <si>
    <t>a62_0</t>
  </si>
  <si>
    <t>a64_1</t>
  </si>
  <si>
    <t>a64_2</t>
  </si>
  <si>
    <t>a68_0</t>
  </si>
  <si>
    <t>a69_0</t>
  </si>
  <si>
    <t>a71_1</t>
  </si>
  <si>
    <t>a71_2</t>
  </si>
  <si>
    <t>a72_1</t>
  </si>
  <si>
    <t>a72_2</t>
  </si>
  <si>
    <t>a72_3</t>
  </si>
  <si>
    <t>a73_0</t>
  </si>
  <si>
    <t>a75_1</t>
  </si>
  <si>
    <t>a75_2</t>
  </si>
  <si>
    <t>a75_3</t>
  </si>
  <si>
    <t>a75_4</t>
  </si>
  <si>
    <t>a77_0</t>
  </si>
  <si>
    <t>a81_1</t>
  </si>
  <si>
    <t>a81_2</t>
  </si>
  <si>
    <t>a83_0</t>
  </si>
  <si>
    <t>a84_0</t>
  </si>
  <si>
    <t>2025 GDP per Capita</t>
  </si>
  <si>
    <t>•	Of the people who tested positive and had symptoms, 46% turned towards healthcare providers
•	Of the people who tested negative and had symptoms of ARI, 29% turned to healthcare providers</t>
  </si>
  <si>
    <t>mixed methods addition to a32 (Engels et al.)</t>
  </si>
  <si>
    <t>mixed methods addition to a43 (Kiene et al.)</t>
  </si>
  <si>
    <t>addition to a58 (Pudasaini et al.)</t>
  </si>
  <si>
    <t>Home / Testing Site</t>
  </si>
  <si>
    <t>Perform either a second C19ST or RT-PCR confirmatory testing (as per study design)</t>
  </si>
  <si>
    <t>RT-PCR confirmatory testing if asymptomatic; isolate if symptomatic ("presumed positive")</t>
  </si>
  <si>
    <t>Report result to reporting officer and occupational health clinic; promptly repeat ART and perform a fast-tracked rt-PCR test for confirmatory testing while being held in isolation</t>
  </si>
  <si>
    <t>Beijing Hotgen Biotech Co., Ltd. “Corona Lay Test, Home Self-Test. Coronavirus (2019-nCoV) Antigen Test”</t>
  </si>
  <si>
    <t>Daily SARS-CoV-2 testing after travel-related close contact notifications during elite sporting events hosted in the UK: a longitudinal study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</si>
</sst>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00_);_(&quot;$&quot;* \(#,##0.00\);_(&quot;$&quot;* &quot;-&quot;??_);_(@_)"/>
    <numFmt numFmtId="165" formatCode="[$$]#,##0.0"/>
    <numFmt numFmtId="166" formatCode="0.0%"/>
    <numFmt numFmtId="167" formatCode="_(&quot;$&quot;* #,##0_);_(&quot;$&quot;* \(#,##0\);_(&quot;$&quot;* &quot;-&quot;??_);_(@_)"/>
    <numFmt numFmtId="168" formatCode="0.000%"/>
    <numFmt numFmtId="169" formatCode="0.0"/>
  </numFmts>
  <fonts count="30">
    <font>
      <sz val="10"/>
      <color rgb="FF000000"/>
      <name val="Calibri"/>
      <scheme val="minor"/>
    </font>
    <font>
      <sz val="11"/>
      <color theme="1"/>
      <name val="Calibri"/>
      <family val="2"/>
      <scheme val="minor"/>
    </font>
    <font>
      <b/>
      <sz val="11"/>
      <color rgb="FF000000"/>
      <name val="Calibri"/>
      <family val="2"/>
    </font>
    <font>
      <b/>
      <sz val="11"/>
      <color rgb="FF000000"/>
      <name val="Arial"/>
      <family val="2"/>
    </font>
    <font>
      <sz val="11"/>
      <color rgb="FF000000"/>
      <name val="Arial"/>
      <family val="2"/>
    </font>
    <font>
      <sz val="11"/>
      <color rgb="FF000000"/>
      <name val="Calibri"/>
      <family val="2"/>
    </font>
    <font>
      <sz val="11"/>
      <color theme="1"/>
      <name val="Calibri"/>
      <family val="2"/>
    </font>
    <font>
      <sz val="10"/>
      <color rgb="FF000000"/>
      <name val="Calibri"/>
      <family val="2"/>
    </font>
    <font>
      <sz val="10"/>
      <color rgb="FF000000"/>
      <name val="Calibri"/>
      <family val="2"/>
      <scheme val="minor"/>
    </font>
    <font>
      <sz val="10"/>
      <color rgb="FF000000"/>
      <name val="Calibri"/>
      <family val="2"/>
      <scheme val="minor"/>
    </font>
    <font>
      <sz val="11"/>
      <color rgb="FF000000"/>
      <name val="Calibri"/>
      <family val="2"/>
      <scheme val="minor"/>
    </font>
    <font>
      <b/>
      <sz val="11"/>
      <color rgb="FF000000"/>
      <name val="Calibri"/>
      <family val="2"/>
      <scheme val="minor"/>
    </font>
    <font>
      <sz val="10"/>
      <color rgb="FF000000"/>
      <name val="Tahoma"/>
      <family val="2"/>
    </font>
    <font>
      <b/>
      <sz val="10"/>
      <color rgb="FF000000"/>
      <name val="Tahoma"/>
      <family val="2"/>
    </font>
    <font>
      <sz val="9"/>
      <color rgb="FF000000"/>
      <name val="Segoe UI"/>
      <charset val="1"/>
    </font>
    <font>
      <sz val="11"/>
      <color theme="1"/>
      <name val="Calibri (Body)"/>
    </font>
    <font>
      <sz val="11"/>
      <color rgb="FF000000"/>
      <name val="Calibri (Body)"/>
    </font>
    <font>
      <sz val="11"/>
      <name val="Calibri"/>
      <family val="2"/>
    </font>
    <font>
      <sz val="10"/>
      <color rgb="FF000000"/>
      <name val="Calibri"/>
      <family val="2"/>
      <scheme val="minor"/>
    </font>
    <font>
      <sz val="8"/>
      <name val="Calibri"/>
      <family val="2"/>
      <scheme val="minor"/>
    </font>
    <font>
      <sz val="10"/>
      <name val="Arial"/>
      <family val="2"/>
    </font>
    <font>
      <b/>
      <sz val="10"/>
      <color rgb="FF000000"/>
      <name val="Calibri"/>
      <family val="2"/>
      <scheme val="minor"/>
    </font>
    <font>
      <b/>
      <sz val="11"/>
      <color theme="1"/>
      <name val="Calibri"/>
      <family val="2"/>
      <scheme val="minor"/>
    </font>
    <font>
      <sz val="11"/>
      <name val="Calibri"/>
      <family val="2"/>
      <scheme val="minor"/>
    </font>
    <font>
      <sz val="10"/>
      <name val="Calibri"/>
      <family val="2"/>
      <scheme val="minor"/>
    </font>
    <font>
      <sz val="10"/>
      <color rgb="FF000000"/>
      <name val="Tahoma"/>
      <family val="34"/>
    </font>
    <font>
      <sz val="10.5"/>
      <color rgb="FF000000"/>
      <name val="Tahoma"/>
      <family val="2"/>
    </font>
    <font>
      <sz val="11"/>
      <color theme="1"/>
      <name val="; Sprot professionals accross t"/>
    </font>
    <font>
      <sz val="10.5"/>
      <color rgb="FF000000"/>
      <name val="Calibri"/>
      <family val="2"/>
    </font>
    <font>
      <sz val="10"/>
      <color rgb="FF000000"/>
      <name val="+mn-ea"/>
      <charset val="1"/>
    </font>
  </fonts>
  <fills count="5">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4" tint="0.79998168889431442"/>
        <bgColor indexed="64"/>
      </patternFill>
    </fill>
  </fills>
  <borders count="25">
    <border>
      <left/>
      <right/>
      <top/>
      <bottom/>
      <diagonal/>
    </border>
    <border>
      <left/>
      <right/>
      <top/>
      <bottom style="thin">
        <color rgb="FF000000"/>
      </bottom>
      <diagonal/>
    </border>
    <border>
      <left/>
      <right style="thin">
        <color rgb="FF000000"/>
      </right>
      <top/>
      <bottom/>
      <diagonal/>
    </border>
    <border>
      <left/>
      <right style="thin">
        <color indexed="64"/>
      </right>
      <top/>
      <bottom/>
      <diagonal/>
    </border>
    <border>
      <left/>
      <right style="thin">
        <color indexed="64"/>
      </right>
      <top/>
      <bottom style="thin">
        <color rgb="FF000000"/>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rgb="FF000000"/>
      </left>
      <right/>
      <top/>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rgb="FF000000"/>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s>
  <cellStyleXfs count="3">
    <xf numFmtId="0" fontId="0" fillId="0" borderId="0"/>
    <xf numFmtId="9" fontId="9" fillId="0" borderId="0" applyFont="0" applyFill="0" applyBorder="0" applyAlignment="0" applyProtection="0"/>
    <xf numFmtId="164" fontId="18" fillId="0" borderId="0" applyFont="0" applyFill="0" applyBorder="0" applyAlignment="0" applyProtection="0"/>
  </cellStyleXfs>
  <cellXfs count="221">
    <xf numFmtId="0" fontId="0" fillId="0" borderId="0" xfId="0"/>
    <xf numFmtId="0" fontId="2" fillId="0" borderId="1" xfId="0" applyFont="1" applyBorder="1"/>
    <xf numFmtId="0" fontId="2" fillId="0" borderId="0" xfId="0" applyFont="1"/>
    <xf numFmtId="0" fontId="3" fillId="0" borderId="0" xfId="0" applyFont="1"/>
    <xf numFmtId="0" fontId="4" fillId="0" borderId="0" xfId="0" applyFont="1"/>
    <xf numFmtId="0" fontId="5" fillId="0" borderId="0" xfId="0" applyFont="1"/>
    <xf numFmtId="0" fontId="5" fillId="0" borderId="0" xfId="0" applyFont="1" applyAlignment="1">
      <alignment horizontal="left"/>
    </xf>
    <xf numFmtId="0" fontId="6" fillId="0" borderId="0" xfId="0" applyFont="1"/>
    <xf numFmtId="165" fontId="6" fillId="0" borderId="0" xfId="0" applyNumberFormat="1" applyFont="1"/>
    <xf numFmtId="0" fontId="5" fillId="0" borderId="0" xfId="0" applyFont="1" applyAlignment="1">
      <alignment horizontal="right"/>
    </xf>
    <xf numFmtId="0" fontId="6" fillId="0" borderId="0" xfId="0" applyFont="1" applyAlignment="1">
      <alignment horizontal="left"/>
    </xf>
    <xf numFmtId="0" fontId="5" fillId="0" borderId="3" xfId="0" applyFont="1" applyBorder="1" applyAlignment="1">
      <alignment horizontal="left"/>
    </xf>
    <xf numFmtId="0" fontId="5" fillId="0" borderId="3" xfId="0" applyFont="1" applyBorder="1"/>
    <xf numFmtId="0" fontId="10" fillId="0" borderId="0" xfId="0" applyFont="1"/>
    <xf numFmtId="0" fontId="10" fillId="0" borderId="0" xfId="0" applyFont="1" applyAlignment="1">
      <alignment horizontal="left"/>
    </xf>
    <xf numFmtId="165" fontId="10" fillId="0" borderId="2" xfId="0" applyNumberFormat="1" applyFont="1" applyBorder="1"/>
    <xf numFmtId="0" fontId="10" fillId="0" borderId="2" xfId="0" applyFont="1" applyBorder="1" applyAlignment="1">
      <alignment horizontal="left"/>
    </xf>
    <xf numFmtId="0" fontId="6" fillId="0" borderId="3" xfId="0" applyFont="1" applyBorder="1"/>
    <xf numFmtId="165" fontId="6" fillId="0" borderId="3" xfId="0" applyNumberFormat="1" applyFont="1" applyBorder="1"/>
    <xf numFmtId="0" fontId="8" fillId="0" borderId="0" xfId="0" applyFont="1"/>
    <xf numFmtId="0" fontId="5" fillId="0" borderId="3" xfId="0" applyFont="1" applyBorder="1" applyAlignment="1">
      <alignment horizontal="right"/>
    </xf>
    <xf numFmtId="0" fontId="10" fillId="0" borderId="3" xfId="0" applyFont="1" applyBorder="1" applyAlignment="1">
      <alignment horizontal="left"/>
    </xf>
    <xf numFmtId="14" fontId="6" fillId="0" borderId="0" xfId="0" applyNumberFormat="1" applyFont="1" applyAlignment="1">
      <alignment horizontal="left"/>
    </xf>
    <xf numFmtId="0" fontId="8" fillId="0" borderId="3" xfId="0" applyFont="1" applyBorder="1"/>
    <xf numFmtId="0" fontId="0" fillId="0" borderId="3" xfId="0" applyBorder="1"/>
    <xf numFmtId="0" fontId="0" fillId="0" borderId="0" xfId="0" applyAlignment="1">
      <alignment horizontal="left"/>
    </xf>
    <xf numFmtId="0" fontId="6" fillId="0" borderId="3" xfId="0" applyFont="1" applyBorder="1" applyAlignment="1">
      <alignment horizontal="left"/>
    </xf>
    <xf numFmtId="0" fontId="16" fillId="0" borderId="0" xfId="0" applyFont="1" applyAlignment="1">
      <alignment horizontal="left"/>
    </xf>
    <xf numFmtId="0" fontId="16" fillId="0" borderId="0" xfId="0" applyFont="1" applyAlignment="1">
      <alignment horizontal="right"/>
    </xf>
    <xf numFmtId="14" fontId="15" fillId="0" borderId="0" xfId="0" applyNumberFormat="1" applyFont="1" applyAlignment="1">
      <alignment horizontal="left"/>
    </xf>
    <xf numFmtId="0" fontId="15" fillId="0" borderId="0" xfId="0" applyFont="1" applyAlignment="1">
      <alignment horizontal="left"/>
    </xf>
    <xf numFmtId="0" fontId="15" fillId="0" borderId="3" xfId="0" applyFont="1" applyBorder="1" applyAlignment="1">
      <alignment horizontal="left"/>
    </xf>
    <xf numFmtId="0" fontId="15" fillId="0" borderId="0" xfId="0" applyFont="1"/>
    <xf numFmtId="0" fontId="16" fillId="0" borderId="0" xfId="0" applyFont="1"/>
    <xf numFmtId="165" fontId="15" fillId="0" borderId="3" xfId="0" applyNumberFormat="1" applyFont="1" applyBorder="1"/>
    <xf numFmtId="165" fontId="10" fillId="0" borderId="3" xfId="0" applyNumberFormat="1" applyFont="1" applyBorder="1"/>
    <xf numFmtId="0" fontId="16" fillId="0" borderId="3" xfId="0" applyFont="1" applyBorder="1" applyAlignment="1">
      <alignment horizontal="left"/>
    </xf>
    <xf numFmtId="0" fontId="16" fillId="0" borderId="3" xfId="0" applyFont="1" applyBorder="1" applyAlignment="1">
      <alignment horizontal="right"/>
    </xf>
    <xf numFmtId="14" fontId="17" fillId="0" borderId="0" xfId="0" applyNumberFormat="1" applyFont="1" applyAlignment="1">
      <alignment horizontal="left"/>
    </xf>
    <xf numFmtId="165" fontId="6" fillId="0" borderId="3" xfId="0" applyNumberFormat="1" applyFont="1" applyBorder="1" applyAlignment="1">
      <alignment horizontal="left"/>
    </xf>
    <xf numFmtId="167" fontId="15" fillId="0" borderId="0" xfId="2" applyNumberFormat="1" applyFont="1" applyAlignment="1">
      <alignment horizontal="right"/>
    </xf>
    <xf numFmtId="167" fontId="10" fillId="0" borderId="0" xfId="2" applyNumberFormat="1" applyFont="1"/>
    <xf numFmtId="167" fontId="6" fillId="0" borderId="0" xfId="2" applyNumberFormat="1" applyFont="1"/>
    <xf numFmtId="167" fontId="15" fillId="0" borderId="0" xfId="2" applyNumberFormat="1" applyFont="1"/>
    <xf numFmtId="0" fontId="1" fillId="0" borderId="0" xfId="0" applyFont="1"/>
    <xf numFmtId="167" fontId="1" fillId="0" borderId="0" xfId="2" applyNumberFormat="1" applyFont="1"/>
    <xf numFmtId="165" fontId="1" fillId="0" borderId="2" xfId="0" applyNumberFormat="1" applyFont="1" applyBorder="1"/>
    <xf numFmtId="0" fontId="1" fillId="0" borderId="3" xfId="0" applyFont="1" applyBorder="1"/>
    <xf numFmtId="0" fontId="10" fillId="0" borderId="7" xfId="0" applyFont="1" applyBorder="1" applyAlignment="1">
      <alignment horizontal="left"/>
    </xf>
    <xf numFmtId="0" fontId="1" fillId="0" borderId="7" xfId="0" applyFont="1" applyBorder="1"/>
    <xf numFmtId="0" fontId="5" fillId="0" borderId="7" xfId="0" applyFont="1" applyBorder="1" applyAlignment="1">
      <alignment horizontal="left"/>
    </xf>
    <xf numFmtId="0" fontId="16" fillId="0" borderId="7" xfId="0" applyFont="1" applyBorder="1" applyAlignment="1">
      <alignment horizontal="left"/>
    </xf>
    <xf numFmtId="49" fontId="5" fillId="0" borderId="0" xfId="0" applyNumberFormat="1" applyFont="1" applyAlignment="1">
      <alignment horizontal="left"/>
    </xf>
    <xf numFmtId="49" fontId="5" fillId="0" borderId="7" xfId="0" applyNumberFormat="1" applyFont="1" applyBorder="1" applyAlignment="1">
      <alignment horizontal="left"/>
    </xf>
    <xf numFmtId="0" fontId="10" fillId="0" borderId="0" xfId="0" applyFont="1" applyAlignment="1">
      <alignment horizontal="center" vertical="center" wrapText="1"/>
    </xf>
    <xf numFmtId="167" fontId="10" fillId="0" borderId="0" xfId="2" applyNumberFormat="1" applyFont="1" applyBorder="1"/>
    <xf numFmtId="0" fontId="5" fillId="0" borderId="2" xfId="0" applyFont="1" applyBorder="1" applyAlignment="1">
      <alignment horizontal="right"/>
    </xf>
    <xf numFmtId="0" fontId="16" fillId="0" borderId="3" xfId="0" applyFont="1" applyBorder="1"/>
    <xf numFmtId="0" fontId="0" fillId="0" borderId="7" xfId="0" applyBorder="1"/>
    <xf numFmtId="0" fontId="8" fillId="0" borderId="7" xfId="0" applyFont="1" applyBorder="1"/>
    <xf numFmtId="0" fontId="5" fillId="0" borderId="7" xfId="0" applyFont="1" applyBorder="1" applyAlignment="1">
      <alignment horizontal="left" vertical="top"/>
    </xf>
    <xf numFmtId="0" fontId="10" fillId="0" borderId="0" xfId="0" applyFont="1" applyAlignment="1">
      <alignment horizontal="right"/>
    </xf>
    <xf numFmtId="3" fontId="5" fillId="0" borderId="0" xfId="0" applyNumberFormat="1" applyFont="1" applyAlignment="1">
      <alignment horizontal="right"/>
    </xf>
    <xf numFmtId="0" fontId="5" fillId="0" borderId="3" xfId="0" applyFont="1" applyBorder="1" applyAlignment="1">
      <alignment horizontal="left" wrapText="1"/>
    </xf>
    <xf numFmtId="0" fontId="5" fillId="0" borderId="0" xfId="0" applyFont="1" applyAlignment="1">
      <alignment horizontal="left" wrapText="1"/>
    </xf>
    <xf numFmtId="0" fontId="6" fillId="0" borderId="0" xfId="0" applyFont="1" applyAlignment="1">
      <alignment horizontal="left" wrapText="1"/>
    </xf>
    <xf numFmtId="0" fontId="6" fillId="0" borderId="3" xfId="0" applyFont="1" applyBorder="1" applyAlignment="1">
      <alignment horizontal="left" wrapText="1"/>
    </xf>
    <xf numFmtId="0" fontId="0" fillId="0" borderId="0" xfId="0" applyAlignment="1">
      <alignment horizontal="right"/>
    </xf>
    <xf numFmtId="0" fontId="6" fillId="0" borderId="0" xfId="0" applyFont="1" applyAlignment="1">
      <alignment horizontal="right"/>
    </xf>
    <xf numFmtId="0" fontId="2" fillId="0" borderId="4" xfId="0" applyFont="1" applyBorder="1"/>
    <xf numFmtId="0" fontId="8" fillId="0" borderId="0" xfId="0" applyFont="1" applyAlignment="1">
      <alignment horizontal="left"/>
    </xf>
    <xf numFmtId="0" fontId="5" fillId="0" borderId="7" xfId="0" applyFont="1" applyBorder="1"/>
    <xf numFmtId="0" fontId="10" fillId="0" borderId="7" xfId="0" applyFont="1" applyBorder="1"/>
    <xf numFmtId="0" fontId="16" fillId="0" borderId="7" xfId="0" applyFont="1" applyBorder="1"/>
    <xf numFmtId="0" fontId="10" fillId="0" borderId="0" xfId="0" applyFont="1" applyAlignment="1">
      <alignment horizontal="center" vertical="center"/>
    </xf>
    <xf numFmtId="0" fontId="24" fillId="0" borderId="7" xfId="0" applyFont="1" applyBorder="1"/>
    <xf numFmtId="0" fontId="24" fillId="0" borderId="0" xfId="0" applyFont="1"/>
    <xf numFmtId="0" fontId="24" fillId="0" borderId="3" xfId="0" applyFont="1" applyBorder="1"/>
    <xf numFmtId="1" fontId="10" fillId="0" borderId="0" xfId="0" applyNumberFormat="1" applyFont="1" applyAlignment="1">
      <alignment horizontal="right"/>
    </xf>
    <xf numFmtId="1" fontId="6" fillId="0" borderId="0" xfId="0" applyNumberFormat="1" applyFont="1" applyAlignment="1">
      <alignment horizontal="right"/>
    </xf>
    <xf numFmtId="1" fontId="0" fillId="0" borderId="0" xfId="0" applyNumberFormat="1" applyAlignment="1">
      <alignment horizontal="right"/>
    </xf>
    <xf numFmtId="1" fontId="15" fillId="0" borderId="0" xfId="0" applyNumberFormat="1" applyFont="1" applyAlignment="1">
      <alignment horizontal="right"/>
    </xf>
    <xf numFmtId="14" fontId="1" fillId="0" borderId="0" xfId="0" applyNumberFormat="1" applyFont="1" applyAlignment="1">
      <alignment horizontal="left"/>
    </xf>
    <xf numFmtId="14" fontId="10" fillId="0" borderId="0" xfId="0" applyNumberFormat="1" applyFont="1" applyAlignment="1">
      <alignment horizontal="left"/>
    </xf>
    <xf numFmtId="0" fontId="23" fillId="0" borderId="0" xfId="0" applyFont="1"/>
    <xf numFmtId="0" fontId="23" fillId="0" borderId="0" xfId="0" applyFont="1" applyAlignment="1">
      <alignment horizontal="left"/>
    </xf>
    <xf numFmtId="0" fontId="2" fillId="0" borderId="10" xfId="0" applyFont="1" applyBorder="1" applyAlignment="1">
      <alignment horizontal="left"/>
    </xf>
    <xf numFmtId="0" fontId="6" fillId="0" borderId="12" xfId="0" applyFont="1" applyBorder="1"/>
    <xf numFmtId="0" fontId="21" fillId="0" borderId="13" xfId="0" applyFont="1" applyBorder="1"/>
    <xf numFmtId="0" fontId="0" fillId="0" borderId="14" xfId="0" applyBorder="1"/>
    <xf numFmtId="0" fontId="6" fillId="0" borderId="15" xfId="0" applyFont="1" applyBorder="1"/>
    <xf numFmtId="0" fontId="5" fillId="0" borderId="10" xfId="0" applyFont="1" applyBorder="1" applyAlignment="1">
      <alignment horizontal="left"/>
    </xf>
    <xf numFmtId="0" fontId="5" fillId="0" borderId="16" xfId="0" applyFont="1" applyBorder="1" applyAlignment="1">
      <alignment horizontal="left"/>
    </xf>
    <xf numFmtId="0" fontId="6" fillId="0" borderId="17" xfId="0" applyFont="1" applyBorder="1"/>
    <xf numFmtId="0" fontId="5" fillId="0" borderId="13" xfId="0" applyFont="1" applyBorder="1" applyAlignment="1">
      <alignment horizontal="left"/>
    </xf>
    <xf numFmtId="1" fontId="6" fillId="0" borderId="11" xfId="0" applyNumberFormat="1" applyFont="1" applyBorder="1"/>
    <xf numFmtId="1" fontId="6" fillId="0" borderId="12" xfId="0" applyNumberFormat="1" applyFont="1" applyBorder="1"/>
    <xf numFmtId="0" fontId="0" fillId="0" borderId="16" xfId="0" applyBorder="1"/>
    <xf numFmtId="0" fontId="8" fillId="0" borderId="16" xfId="0" applyFont="1" applyBorder="1"/>
    <xf numFmtId="166" fontId="0" fillId="0" borderId="0" xfId="0" applyNumberFormat="1"/>
    <xf numFmtId="0" fontId="0" fillId="0" borderId="11" xfId="0" applyBorder="1"/>
    <xf numFmtId="0" fontId="0" fillId="0" borderId="18" xfId="0" applyBorder="1"/>
    <xf numFmtId="1" fontId="0" fillId="0" borderId="18" xfId="0" applyNumberFormat="1" applyBorder="1"/>
    <xf numFmtId="0" fontId="8" fillId="0" borderId="10" xfId="0" applyFont="1" applyBorder="1"/>
    <xf numFmtId="10" fontId="5" fillId="0" borderId="0" xfId="0" applyNumberFormat="1" applyFont="1" applyAlignment="1">
      <alignment horizontal="left"/>
    </xf>
    <xf numFmtId="10" fontId="5" fillId="0" borderId="3" xfId="0" applyNumberFormat="1" applyFont="1" applyBorder="1" applyAlignment="1">
      <alignment horizontal="left"/>
    </xf>
    <xf numFmtId="1" fontId="6" fillId="0" borderId="0" xfId="0" applyNumberFormat="1" applyFont="1"/>
    <xf numFmtId="166" fontId="6" fillId="0" borderId="0" xfId="1" applyNumberFormat="1" applyFont="1" applyBorder="1"/>
    <xf numFmtId="0" fontId="15" fillId="0" borderId="0" xfId="0" applyFont="1" applyAlignment="1">
      <alignment horizontal="right"/>
    </xf>
    <xf numFmtId="0" fontId="10" fillId="0" borderId="14" xfId="0" applyFont="1" applyBorder="1" applyAlignment="1">
      <alignment horizontal="center" vertical="center" wrapText="1"/>
    </xf>
    <xf numFmtId="0" fontId="10" fillId="0" borderId="21" xfId="0" applyFont="1" applyBorder="1" applyAlignment="1">
      <alignment horizontal="center" vertical="center" wrapText="1"/>
    </xf>
    <xf numFmtId="0" fontId="1" fillId="0" borderId="14" xfId="0" applyFont="1" applyBorder="1" applyAlignment="1">
      <alignment horizontal="center" vertical="center" wrapText="1"/>
    </xf>
    <xf numFmtId="165" fontId="10" fillId="0" borderId="14" xfId="0" applyNumberFormat="1" applyFont="1" applyBorder="1" applyAlignment="1">
      <alignment horizontal="center" vertical="center" wrapText="1"/>
    </xf>
    <xf numFmtId="165" fontId="10" fillId="0" borderId="20" xfId="0" applyNumberFormat="1" applyFont="1" applyBorder="1" applyAlignment="1">
      <alignment horizontal="center" vertical="center" wrapText="1"/>
    </xf>
    <xf numFmtId="0" fontId="20" fillId="2" borderId="14" xfId="0" applyFont="1" applyFill="1" applyBorder="1" applyAlignment="1">
      <alignment horizontal="center" vertical="center" wrapText="1"/>
    </xf>
    <xf numFmtId="0" fontId="20" fillId="2" borderId="21" xfId="0" applyFont="1" applyFill="1" applyBorder="1" applyAlignment="1">
      <alignment horizontal="center" vertical="center" wrapText="1"/>
    </xf>
    <xf numFmtId="0" fontId="10" fillId="0" borderId="22" xfId="0" applyFont="1" applyBorder="1" applyAlignment="1">
      <alignment horizontal="center" vertical="center" wrapText="1"/>
    </xf>
    <xf numFmtId="0" fontId="10" fillId="0" borderId="20" xfId="0" applyFont="1" applyBorder="1" applyAlignment="1">
      <alignment horizontal="center" vertical="center" wrapText="1"/>
    </xf>
    <xf numFmtId="0" fontId="20" fillId="0" borderId="14" xfId="0" applyFont="1" applyBorder="1" applyAlignment="1">
      <alignment horizontal="center" vertical="center" wrapText="1"/>
    </xf>
    <xf numFmtId="0" fontId="0" fillId="0" borderId="3" xfId="0" applyBorder="1" applyAlignment="1">
      <alignment horizontal="left"/>
    </xf>
    <xf numFmtId="1" fontId="0" fillId="0" borderId="0" xfId="0" applyNumberFormat="1"/>
    <xf numFmtId="0" fontId="7" fillId="0" borderId="0" xfId="0" applyFont="1" applyAlignment="1">
      <alignment horizontal="left" wrapText="1"/>
    </xf>
    <xf numFmtId="0" fontId="7" fillId="0" borderId="3" xfId="0" applyFont="1" applyBorder="1" applyAlignment="1">
      <alignment horizontal="left" wrapText="1"/>
    </xf>
    <xf numFmtId="0" fontId="7" fillId="0" borderId="0" xfId="0" applyFont="1" applyAlignment="1">
      <alignment horizontal="left"/>
    </xf>
    <xf numFmtId="0" fontId="7" fillId="0" borderId="3" xfId="0" applyFont="1" applyBorder="1" applyAlignment="1">
      <alignment horizontal="left"/>
    </xf>
    <xf numFmtId="0" fontId="7" fillId="0" borderId="2" xfId="0" applyFont="1" applyBorder="1" applyAlignment="1">
      <alignment horizontal="left"/>
    </xf>
    <xf numFmtId="0" fontId="8" fillId="0" borderId="3" xfId="0" applyFont="1" applyBorder="1" applyAlignment="1">
      <alignment horizontal="left"/>
    </xf>
    <xf numFmtId="0" fontId="5" fillId="0" borderId="14" xfId="0" applyFont="1" applyBorder="1" applyAlignment="1">
      <alignment horizontal="center" vertical="center" wrapText="1"/>
    </xf>
    <xf numFmtId="0" fontId="5" fillId="3" borderId="21"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5" fillId="2" borderId="21" xfId="0" applyFont="1" applyFill="1" applyBorder="1" applyAlignment="1">
      <alignment horizontal="center" vertical="center" wrapText="1"/>
    </xf>
    <xf numFmtId="0" fontId="5" fillId="3" borderId="14" xfId="0" applyFont="1" applyFill="1" applyBorder="1" applyAlignment="1">
      <alignment horizontal="center" vertical="center" wrapText="1"/>
    </xf>
    <xf numFmtId="0" fontId="5" fillId="0" borderId="22" xfId="0" applyFont="1" applyBorder="1" applyAlignment="1">
      <alignment horizontal="center" vertical="center" wrapText="1"/>
    </xf>
    <xf numFmtId="0" fontId="5" fillId="0" borderId="21" xfId="0" applyFont="1" applyBorder="1" applyAlignment="1">
      <alignment horizontal="center" vertical="center" wrapText="1"/>
    </xf>
    <xf numFmtId="0" fontId="5" fillId="2" borderId="22" xfId="0" applyFont="1" applyFill="1" applyBorder="1" applyAlignment="1">
      <alignment horizontal="center" vertical="center" wrapText="1"/>
    </xf>
    <xf numFmtId="0" fontId="8" fillId="0" borderId="21" xfId="0" applyFont="1" applyBorder="1" applyAlignment="1">
      <alignment horizontal="center" vertical="center" wrapText="1"/>
    </xf>
    <xf numFmtId="0" fontId="5" fillId="3" borderId="20" xfId="0" applyFont="1" applyFill="1" applyBorder="1" applyAlignment="1">
      <alignment horizontal="center" vertical="center" wrapText="1"/>
    </xf>
    <xf numFmtId="0" fontId="5" fillId="3" borderId="22" xfId="0" applyFont="1" applyFill="1" applyBorder="1" applyAlignment="1">
      <alignment horizontal="center" vertical="center" wrapText="1"/>
    </xf>
    <xf numFmtId="0" fontId="2" fillId="2" borderId="3" xfId="0" applyFont="1" applyFill="1" applyBorder="1" applyAlignment="1">
      <alignment horizontal="center" vertical="center"/>
    </xf>
    <xf numFmtId="0" fontId="21" fillId="0" borderId="5" xfId="0" applyFont="1" applyBorder="1"/>
    <xf numFmtId="0" fontId="1" fillId="0" borderId="0" xfId="0" applyFont="1" applyAlignment="1">
      <alignment horizontal="right"/>
    </xf>
    <xf numFmtId="0" fontId="8" fillId="0" borderId="3" xfId="0" applyFont="1" applyBorder="1" applyAlignment="1">
      <alignment horizontal="right"/>
    </xf>
    <xf numFmtId="0" fontId="8" fillId="0" borderId="0" xfId="0" applyFont="1" applyAlignment="1">
      <alignment horizontal="right"/>
    </xf>
    <xf numFmtId="1" fontId="5" fillId="0" borderId="0" xfId="0" applyNumberFormat="1" applyFont="1" applyAlignment="1">
      <alignment horizontal="right"/>
    </xf>
    <xf numFmtId="10" fontId="5" fillId="0" borderId="0" xfId="1" applyNumberFormat="1" applyFont="1" applyBorder="1" applyAlignment="1">
      <alignment horizontal="right"/>
    </xf>
    <xf numFmtId="169" fontId="6" fillId="0" borderId="0" xfId="0" applyNumberFormat="1" applyFont="1" applyAlignment="1">
      <alignment horizontal="right"/>
    </xf>
    <xf numFmtId="0" fontId="5" fillId="4" borderId="14" xfId="0" applyFont="1" applyFill="1" applyBorder="1" applyAlignment="1">
      <alignment horizontal="center" vertical="center" wrapText="1"/>
    </xf>
    <xf numFmtId="0" fontId="5" fillId="4" borderId="21" xfId="0" applyFont="1" applyFill="1" applyBorder="1" applyAlignment="1">
      <alignment horizontal="center" vertical="center" wrapText="1"/>
    </xf>
    <xf numFmtId="0" fontId="16" fillId="0" borderId="2" xfId="0" applyFont="1" applyBorder="1" applyAlignment="1">
      <alignment horizontal="left"/>
    </xf>
    <xf numFmtId="0" fontId="16" fillId="0" borderId="0" xfId="0" applyFont="1" applyAlignment="1">
      <alignment horizontal="left" wrapText="1"/>
    </xf>
    <xf numFmtId="0" fontId="15" fillId="0" borderId="0" xfId="0" applyFont="1" applyAlignment="1">
      <alignment horizontal="left" wrapText="1"/>
    </xf>
    <xf numFmtId="0" fontId="0" fillId="0" borderId="13" xfId="0" applyBorder="1"/>
    <xf numFmtId="0" fontId="8" fillId="0" borderId="19" xfId="0" applyFont="1" applyBorder="1"/>
    <xf numFmtId="0" fontId="10" fillId="0" borderId="3" xfId="0" applyFont="1" applyBorder="1" applyAlignment="1">
      <alignment horizontal="right"/>
    </xf>
    <xf numFmtId="165" fontId="1" fillId="0" borderId="3" xfId="0" applyNumberFormat="1" applyFont="1" applyBorder="1"/>
    <xf numFmtId="10" fontId="10" fillId="0" borderId="3" xfId="0" applyNumberFormat="1" applyFont="1" applyBorder="1" applyAlignment="1">
      <alignment horizontal="left"/>
    </xf>
    <xf numFmtId="0" fontId="10" fillId="0" borderId="0" xfId="0" applyFont="1" applyAlignment="1">
      <alignment horizontal="left" wrapText="1"/>
    </xf>
    <xf numFmtId="0" fontId="10" fillId="0" borderId="3" xfId="0" applyFont="1" applyBorder="1" applyAlignment="1">
      <alignment horizontal="left" wrapText="1"/>
    </xf>
    <xf numFmtId="0" fontId="10" fillId="0" borderId="5" xfId="0" applyFont="1" applyBorder="1" applyAlignment="1">
      <alignment horizontal="center" vertical="center" wrapText="1"/>
    </xf>
    <xf numFmtId="0" fontId="11" fillId="0" borderId="0" xfId="0" applyFont="1" applyAlignment="1">
      <alignment vertical="center"/>
    </xf>
    <xf numFmtId="0" fontId="21" fillId="0" borderId="10" xfId="0" applyFont="1" applyBorder="1"/>
    <xf numFmtId="0" fontId="5" fillId="0" borderId="12" xfId="0" applyFont="1" applyBorder="1" applyAlignment="1">
      <alignment horizontal="right"/>
    </xf>
    <xf numFmtId="0" fontId="0" fillId="0" borderId="15" xfId="0" applyBorder="1"/>
    <xf numFmtId="0" fontId="1" fillId="0" borderId="0" xfId="0" applyFont="1" applyAlignment="1">
      <alignment horizontal="left"/>
    </xf>
    <xf numFmtId="166" fontId="0" fillId="0" borderId="0" xfId="1" applyNumberFormat="1" applyFont="1" applyAlignment="1">
      <alignment horizontal="right"/>
    </xf>
    <xf numFmtId="168" fontId="6" fillId="0" borderId="14" xfId="1" applyNumberFormat="1" applyFont="1" applyBorder="1"/>
    <xf numFmtId="168" fontId="6" fillId="0" borderId="15" xfId="1" applyNumberFormat="1" applyFont="1" applyBorder="1"/>
    <xf numFmtId="0" fontId="21" fillId="0" borderId="0" xfId="0" applyFont="1" applyAlignment="1">
      <alignment horizontal="center" vertical="center"/>
    </xf>
    <xf numFmtId="0" fontId="10" fillId="0" borderId="3" xfId="0" applyFont="1" applyBorder="1"/>
    <xf numFmtId="0" fontId="5" fillId="4" borderId="0" xfId="0" applyFont="1" applyFill="1" applyAlignment="1">
      <alignment horizontal="right"/>
    </xf>
    <xf numFmtId="1" fontId="5" fillId="0" borderId="0" xfId="1" applyNumberFormat="1" applyFont="1" applyFill="1" applyBorder="1" applyAlignment="1">
      <alignment horizontal="right"/>
    </xf>
    <xf numFmtId="0" fontId="5" fillId="0" borderId="7" xfId="0" applyFont="1" applyBorder="1" applyAlignment="1">
      <alignment horizontal="left" wrapText="1"/>
    </xf>
    <xf numFmtId="0" fontId="6" fillId="0" borderId="10" xfId="0" applyFont="1" applyBorder="1"/>
    <xf numFmtId="0" fontId="0" fillId="0" borderId="12" xfId="0" applyBorder="1"/>
    <xf numFmtId="0" fontId="6" fillId="0" borderId="16" xfId="0" applyFont="1" applyBorder="1"/>
    <xf numFmtId="0" fontId="0" fillId="0" borderId="17" xfId="0" applyBorder="1"/>
    <xf numFmtId="0" fontId="6" fillId="0" borderId="13" xfId="0" applyFont="1" applyBorder="1"/>
    <xf numFmtId="0" fontId="16" fillId="0" borderId="23" xfId="0" applyFont="1" applyBorder="1" applyAlignment="1">
      <alignment horizontal="left"/>
    </xf>
    <xf numFmtId="0" fontId="10" fillId="0" borderId="24" xfId="0" applyFont="1" applyBorder="1" applyAlignment="1">
      <alignment horizontal="center" vertical="center" wrapText="1"/>
    </xf>
    <xf numFmtId="0" fontId="16" fillId="0" borderId="23" xfId="0" applyFont="1" applyBorder="1" applyAlignment="1">
      <alignment horizontal="left" wrapText="1"/>
    </xf>
    <xf numFmtId="0" fontId="17" fillId="0" borderId="3" xfId="0" applyFont="1" applyBorder="1" applyAlignment="1">
      <alignment horizontal="left"/>
    </xf>
    <xf numFmtId="0" fontId="21" fillId="0" borderId="7" xfId="0" applyFont="1" applyBorder="1" applyAlignment="1">
      <alignment horizontal="center"/>
    </xf>
    <xf numFmtId="0" fontId="21" fillId="0" borderId="0" xfId="0" applyFont="1" applyAlignment="1">
      <alignment horizontal="center"/>
    </xf>
    <xf numFmtId="0" fontId="21" fillId="0" borderId="3" xfId="0" applyFont="1" applyBorder="1" applyAlignment="1">
      <alignment horizontal="center"/>
    </xf>
    <xf numFmtId="0" fontId="10" fillId="0" borderId="0" xfId="0" applyFont="1" applyAlignment="1">
      <alignment horizontal="center" vertical="center" wrapText="1"/>
    </xf>
    <xf numFmtId="0" fontId="10" fillId="0" borderId="5"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9" xfId="0" applyFont="1" applyBorder="1" applyAlignment="1">
      <alignment horizontal="center" vertical="center" wrapText="1"/>
    </xf>
    <xf numFmtId="0" fontId="11" fillId="0" borderId="0" xfId="0" applyFont="1" applyAlignment="1">
      <alignment horizontal="center"/>
    </xf>
    <xf numFmtId="0" fontId="11" fillId="0" borderId="3" xfId="0" applyFont="1" applyBorder="1" applyAlignment="1">
      <alignment horizontal="center"/>
    </xf>
    <xf numFmtId="0" fontId="2" fillId="0" borderId="0" xfId="0" applyFont="1" applyAlignment="1">
      <alignment horizontal="center"/>
    </xf>
    <xf numFmtId="0" fontId="10" fillId="0" borderId="0" xfId="0" applyFont="1" applyAlignment="1">
      <alignment horizontal="center"/>
    </xf>
    <xf numFmtId="0" fontId="2" fillId="0" borderId="8" xfId="0" applyFont="1" applyBorder="1" applyAlignment="1">
      <alignment horizontal="center" vertical="center"/>
    </xf>
    <xf numFmtId="0" fontId="2" fillId="0" borderId="0" xfId="0" applyFont="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0" xfId="0" applyFont="1" applyAlignment="1">
      <alignment horizontal="center" vertical="center" wrapText="1"/>
    </xf>
    <xf numFmtId="0" fontId="2" fillId="0" borderId="3" xfId="0" applyFont="1" applyBorder="1" applyAlignment="1">
      <alignment horizontal="center" vertical="center" wrapText="1"/>
    </xf>
    <xf numFmtId="0" fontId="21" fillId="0" borderId="0" xfId="0" applyFont="1" applyAlignment="1">
      <alignment horizontal="center" vertical="center"/>
    </xf>
    <xf numFmtId="0" fontId="21" fillId="0" borderId="3" xfId="0" applyFont="1" applyBorder="1" applyAlignment="1">
      <alignment horizontal="center" vertical="center"/>
    </xf>
    <xf numFmtId="0" fontId="11" fillId="0" borderId="0" xfId="0" applyFont="1" applyAlignment="1">
      <alignment horizontal="center" vertical="center" wrapText="1"/>
    </xf>
    <xf numFmtId="0" fontId="11" fillId="0" borderId="3" xfId="0" applyFont="1" applyBorder="1" applyAlignment="1">
      <alignment horizontal="center" vertical="center" wrapText="1"/>
    </xf>
    <xf numFmtId="0" fontId="11" fillId="0" borderId="0" xfId="0" applyFont="1" applyAlignment="1">
      <alignment horizontal="center" vertical="center"/>
    </xf>
    <xf numFmtId="0" fontId="11" fillId="0" borderId="3" xfId="0" applyFont="1" applyBorder="1" applyAlignment="1">
      <alignment horizontal="center" vertical="center"/>
    </xf>
    <xf numFmtId="0" fontId="11" fillId="0" borderId="7" xfId="0" applyFont="1" applyBorder="1" applyAlignment="1">
      <alignment horizontal="center" vertical="center"/>
    </xf>
    <xf numFmtId="0" fontId="2" fillId="0" borderId="7" xfId="0" applyFont="1" applyBorder="1" applyAlignment="1">
      <alignment horizontal="center" vertical="center" wrapText="1"/>
    </xf>
    <xf numFmtId="0" fontId="2" fillId="0" borderId="7" xfId="0" applyFont="1" applyBorder="1" applyAlignment="1">
      <alignment horizontal="center" vertical="center"/>
    </xf>
    <xf numFmtId="0" fontId="2" fillId="3" borderId="0" xfId="0" applyFont="1" applyFill="1" applyAlignment="1">
      <alignment horizontal="center" vertical="center"/>
    </xf>
    <xf numFmtId="0" fontId="2" fillId="3" borderId="3" xfId="0" applyFont="1" applyFill="1" applyBorder="1" applyAlignment="1">
      <alignment horizontal="center" vertical="center"/>
    </xf>
    <xf numFmtId="0" fontId="2" fillId="2" borderId="0" xfId="0" applyFont="1" applyFill="1" applyAlignment="1">
      <alignment horizontal="center" vertical="center"/>
    </xf>
    <xf numFmtId="0" fontId="2" fillId="2" borderId="3" xfId="0" applyFont="1" applyFill="1" applyBorder="1" applyAlignment="1">
      <alignment horizontal="center" vertical="center"/>
    </xf>
    <xf numFmtId="0" fontId="2" fillId="3" borderId="7" xfId="0" applyFont="1" applyFill="1" applyBorder="1" applyAlignment="1">
      <alignment horizontal="center" vertical="center"/>
    </xf>
    <xf numFmtId="0" fontId="2" fillId="2" borderId="7" xfId="0" applyFont="1" applyFill="1" applyBorder="1" applyAlignment="1">
      <alignment horizontal="center" vertical="center"/>
    </xf>
    <xf numFmtId="0" fontId="22" fillId="0" borderId="7" xfId="0" applyFont="1" applyBorder="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0" fontId="2" fillId="2" borderId="8" xfId="0" applyFont="1" applyFill="1" applyBorder="1" applyAlignment="1">
      <alignment horizontal="center" vertical="center"/>
    </xf>
    <xf numFmtId="0" fontId="11" fillId="0" borderId="2" xfId="0" applyFont="1" applyBorder="1" applyAlignment="1">
      <alignment horizontal="center" vertical="center"/>
    </xf>
    <xf numFmtId="0" fontId="21" fillId="0" borderId="5" xfId="0" applyFont="1" applyBorder="1" applyAlignment="1">
      <alignment horizontal="center" vertical="center"/>
    </xf>
  </cellXfs>
  <cellStyles count="3">
    <cellStyle name="Currency" xfId="2" builtinId="4"/>
    <cellStyle name="Normal" xfId="0" builtinId="0"/>
    <cellStyle name="Per cent" xfId="1" builtinId="5"/>
  </cellStyles>
  <dxfs count="0"/>
  <tableStyles count="0" defaultTableStyle="TableStyleMedium2" defaultPivotStyle="PivotStyleLight16"/>
  <colors>
    <mruColors>
      <color rgb="FFD35F47"/>
      <color rgb="FFE9E71A"/>
      <color rgb="FFE65435"/>
      <color rgb="FFE73B2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Quality of studies included</a:t>
            </a:r>
            <a:r>
              <a:rPr lang="en-GB" baseline="0"/>
              <a:t> in the meta-analysis - all outcomes</a:t>
            </a:r>
            <a:endParaRPr lang="en-GB"/>
          </a:p>
        </c:rich>
      </c:tx>
      <c:overlay val="0"/>
    </c:title>
    <c:autoTitleDeleted val="0"/>
    <c:plotArea>
      <c:layout/>
      <c:barChart>
        <c:barDir val="bar"/>
        <c:grouping val="percentStacked"/>
        <c:varyColors val="0"/>
        <c:ser>
          <c:idx val="0"/>
          <c:order val="0"/>
          <c:tx>
            <c:strRef>
              <c:f>'Quality assessment'!$AI$84</c:f>
              <c:strCache>
                <c:ptCount val="1"/>
                <c:pt idx="0">
                  <c:v># &lt;60%</c:v>
                </c:pt>
              </c:strCache>
            </c:strRef>
          </c:tx>
          <c:spPr>
            <a:solidFill>
              <a:srgbClr val="D35F47"/>
            </a:solidFill>
          </c:spPr>
          <c:invertIfNegative val="0"/>
          <c:val>
            <c:numRef>
              <c:f>'Quality assessment'!$AM$84</c:f>
              <c:numCache>
                <c:formatCode>0.0%</c:formatCode>
                <c:ptCount val="1"/>
                <c:pt idx="0">
                  <c:v>0.63513513513513509</c:v>
                </c:pt>
              </c:numCache>
            </c:numRef>
          </c:val>
          <c:extLst>
            <c:ext xmlns:c15="http://schemas.microsoft.com/office/drawing/2012/chart" uri="{02D57815-91ED-43cb-92C2-25804820EDAC}">
              <c15:filteredCategoryTitle>
                <c15:cat>
                  <c:multiLvlStrRef>
                    <c:extLst>
                      <c:ext uri="{02D57815-91ED-43cb-92C2-25804820EDAC}">
                        <c15:formulaRef>
                          <c15:sqref>'Quality assessment'!#REF!</c15:sqref>
                        </c15:formulaRef>
                      </c:ext>
                    </c:extLst>
                  </c:multiLvlStrRef>
                </c15:cat>
              </c15:filteredCategoryTitle>
            </c:ext>
            <c:ext xmlns:c16="http://schemas.microsoft.com/office/drawing/2014/chart" uri="{C3380CC4-5D6E-409C-BE32-E72D297353CC}">
              <c16:uniqueId val="{00000000-1FA7-1E40-8821-BEB42D003F91}"/>
            </c:ext>
          </c:extLst>
        </c:ser>
        <c:ser>
          <c:idx val="1"/>
          <c:order val="1"/>
          <c:tx>
            <c:strRef>
              <c:f>'Quality assessment'!$AI$85</c:f>
              <c:strCache>
                <c:ptCount val="1"/>
                <c:pt idx="0">
                  <c:v># 60-80%</c:v>
                </c:pt>
              </c:strCache>
            </c:strRef>
          </c:tx>
          <c:spPr>
            <a:solidFill>
              <a:srgbClr val="E9E71A"/>
            </a:solidFill>
          </c:spPr>
          <c:invertIfNegative val="0"/>
          <c:val>
            <c:numRef>
              <c:f>'Quality assessment'!$AM$85</c:f>
              <c:numCache>
                <c:formatCode>0.0%</c:formatCode>
                <c:ptCount val="1"/>
                <c:pt idx="0">
                  <c:v>0.36486486486486491</c:v>
                </c:pt>
              </c:numCache>
            </c:numRef>
          </c:val>
          <c:extLst>
            <c:ext xmlns:c15="http://schemas.microsoft.com/office/drawing/2012/chart" uri="{02D57815-91ED-43cb-92C2-25804820EDAC}">
              <c15:filteredCategoryTitle>
                <c15:cat>
                  <c:multiLvlStrRef>
                    <c:extLst>
                      <c:ext uri="{02D57815-91ED-43cb-92C2-25804820EDAC}">
                        <c15:formulaRef>
                          <c15:sqref>'Quality assessment'!#REF!</c15:sqref>
                        </c15:formulaRef>
                      </c:ext>
                    </c:extLst>
                  </c:multiLvlStrRef>
                </c15:cat>
              </c15:filteredCategoryTitle>
            </c:ext>
            <c:ext xmlns:c16="http://schemas.microsoft.com/office/drawing/2014/chart" uri="{C3380CC4-5D6E-409C-BE32-E72D297353CC}">
              <c16:uniqueId val="{00000001-1FA7-1E40-8821-BEB42D003F91}"/>
            </c:ext>
          </c:extLst>
        </c:ser>
        <c:ser>
          <c:idx val="2"/>
          <c:order val="2"/>
          <c:tx>
            <c:strRef>
              <c:f>'Quality assessment'!$AI$86</c:f>
              <c:strCache>
                <c:ptCount val="1"/>
                <c:pt idx="0">
                  <c:v># &gt;80%</c:v>
                </c:pt>
              </c:strCache>
            </c:strRef>
          </c:tx>
          <c:spPr>
            <a:solidFill>
              <a:schemeClr val="accent3">
                <a:lumMod val="75000"/>
              </a:schemeClr>
            </a:solidFill>
          </c:spPr>
          <c:invertIfNegative val="0"/>
          <c:val>
            <c:numRef>
              <c:f>'Quality assessment'!$AM$86</c:f>
              <c:numCache>
                <c:formatCode>0.0%</c:formatCode>
                <c:ptCount val="1"/>
                <c:pt idx="0">
                  <c:v>0</c:v>
                </c:pt>
              </c:numCache>
            </c:numRef>
          </c:val>
          <c:extLst>
            <c:ext xmlns:c15="http://schemas.microsoft.com/office/drawing/2012/chart" uri="{02D57815-91ED-43cb-92C2-25804820EDAC}">
              <c15:filteredCategoryTitle>
                <c15:cat>
                  <c:multiLvlStrRef>
                    <c:extLst>
                      <c:ext uri="{02D57815-91ED-43cb-92C2-25804820EDAC}">
                        <c15:formulaRef>
                          <c15:sqref>'Quality assessment'!#REF!</c15:sqref>
                        </c15:formulaRef>
                      </c:ext>
                    </c:extLst>
                  </c:multiLvlStrRef>
                </c15:cat>
              </c15:filteredCategoryTitle>
            </c:ext>
            <c:ext xmlns:c16="http://schemas.microsoft.com/office/drawing/2014/chart" uri="{C3380CC4-5D6E-409C-BE32-E72D297353CC}">
              <c16:uniqueId val="{00000002-1FA7-1E40-8821-BEB42D003F91}"/>
            </c:ext>
          </c:extLst>
        </c:ser>
        <c:dLbls>
          <c:showLegendKey val="0"/>
          <c:showVal val="0"/>
          <c:showCatName val="0"/>
          <c:showSerName val="0"/>
          <c:showPercent val="0"/>
          <c:showBubbleSize val="0"/>
        </c:dLbls>
        <c:gapWidth val="150"/>
        <c:overlap val="100"/>
        <c:axId val="1596572032"/>
        <c:axId val="1611470048"/>
      </c:barChart>
      <c:catAx>
        <c:axId val="1596572032"/>
        <c:scaling>
          <c:orientation val="maxMin"/>
        </c:scaling>
        <c:delete val="0"/>
        <c:axPos val="l"/>
        <c:numFmt formatCode="General" sourceLinked="1"/>
        <c:majorTickMark val="none"/>
        <c:minorTickMark val="none"/>
        <c:tickLblPos val="nextTo"/>
        <c:crossAx val="1611470048"/>
        <c:crosses val="autoZero"/>
        <c:auto val="1"/>
        <c:lblAlgn val="ctr"/>
        <c:lblOffset val="100"/>
        <c:noMultiLvlLbl val="0"/>
      </c:catAx>
      <c:valAx>
        <c:axId val="1611470048"/>
        <c:scaling>
          <c:orientation val="minMax"/>
          <c:min val="0"/>
        </c:scaling>
        <c:delete val="0"/>
        <c:axPos val="t"/>
        <c:majorGridlines/>
        <c:numFmt formatCode="0%" sourceLinked="1"/>
        <c:majorTickMark val="none"/>
        <c:minorTickMark val="none"/>
        <c:tickLblPos val="nextTo"/>
        <c:crossAx val="1596572032"/>
        <c:crosses val="autoZero"/>
        <c:crossBetween val="between"/>
      </c:valAx>
    </c:plotArea>
    <c:legend>
      <c:legendPos val="b"/>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Quality of studies included</a:t>
            </a:r>
            <a:r>
              <a:rPr lang="en-GB" baseline="0"/>
              <a:t> in the meta-analysis - test positivity</a:t>
            </a:r>
            <a:endParaRPr lang="en-GB"/>
          </a:p>
        </c:rich>
      </c:tx>
      <c:overlay val="0"/>
    </c:title>
    <c:autoTitleDeleted val="0"/>
    <c:plotArea>
      <c:layout/>
      <c:barChart>
        <c:barDir val="bar"/>
        <c:grouping val="percentStacked"/>
        <c:varyColors val="0"/>
        <c:ser>
          <c:idx val="0"/>
          <c:order val="0"/>
          <c:tx>
            <c:strRef>
              <c:f>'Quality assessment'!$AI$84</c:f>
              <c:strCache>
                <c:ptCount val="1"/>
                <c:pt idx="0">
                  <c:v># &lt;60%</c:v>
                </c:pt>
              </c:strCache>
            </c:strRef>
          </c:tx>
          <c:spPr>
            <a:solidFill>
              <a:srgbClr val="D35F47"/>
            </a:solidFill>
          </c:spPr>
          <c:invertIfNegative val="0"/>
          <c:val>
            <c:numRef>
              <c:f>'Quality assessment'!$AJ$84</c:f>
              <c:numCache>
                <c:formatCode>0.0%</c:formatCode>
                <c:ptCount val="1"/>
                <c:pt idx="0">
                  <c:v>0.7142857142857143</c:v>
                </c:pt>
              </c:numCache>
            </c:numRef>
          </c:val>
          <c:extLst>
            <c:ext xmlns:c16="http://schemas.microsoft.com/office/drawing/2014/chart" uri="{C3380CC4-5D6E-409C-BE32-E72D297353CC}">
              <c16:uniqueId val="{00000000-3AD3-4242-B68E-8776FAF4572D}"/>
            </c:ext>
          </c:extLst>
        </c:ser>
        <c:ser>
          <c:idx val="1"/>
          <c:order val="1"/>
          <c:tx>
            <c:strRef>
              <c:f>'Quality assessment'!$AI$85</c:f>
              <c:strCache>
                <c:ptCount val="1"/>
                <c:pt idx="0">
                  <c:v># 60-80%</c:v>
                </c:pt>
              </c:strCache>
            </c:strRef>
          </c:tx>
          <c:spPr>
            <a:solidFill>
              <a:srgbClr val="E9E71A"/>
            </a:solidFill>
          </c:spPr>
          <c:invertIfNegative val="0"/>
          <c:val>
            <c:numRef>
              <c:f>'Quality assessment'!$AJ$85</c:f>
              <c:numCache>
                <c:formatCode>0.0%</c:formatCode>
                <c:ptCount val="1"/>
                <c:pt idx="0">
                  <c:v>0.2857142857142857</c:v>
                </c:pt>
              </c:numCache>
            </c:numRef>
          </c:val>
          <c:extLst>
            <c:ext xmlns:c16="http://schemas.microsoft.com/office/drawing/2014/chart" uri="{C3380CC4-5D6E-409C-BE32-E72D297353CC}">
              <c16:uniqueId val="{00000001-3AD3-4242-B68E-8776FAF4572D}"/>
            </c:ext>
          </c:extLst>
        </c:ser>
        <c:ser>
          <c:idx val="2"/>
          <c:order val="2"/>
          <c:tx>
            <c:strRef>
              <c:f>'Quality assessment'!$AI$86</c:f>
              <c:strCache>
                <c:ptCount val="1"/>
                <c:pt idx="0">
                  <c:v># &gt;80%</c:v>
                </c:pt>
              </c:strCache>
            </c:strRef>
          </c:tx>
          <c:spPr>
            <a:solidFill>
              <a:schemeClr val="accent3">
                <a:lumMod val="75000"/>
              </a:schemeClr>
            </a:solidFill>
          </c:spPr>
          <c:invertIfNegative val="0"/>
          <c:val>
            <c:numRef>
              <c:f>'Quality assessment'!$AJ$86</c:f>
              <c:numCache>
                <c:formatCode>0.0%</c:formatCode>
                <c:ptCount val="1"/>
                <c:pt idx="0">
                  <c:v>0</c:v>
                </c:pt>
              </c:numCache>
            </c:numRef>
          </c:val>
          <c:extLst>
            <c:ext xmlns:c16="http://schemas.microsoft.com/office/drawing/2014/chart" uri="{C3380CC4-5D6E-409C-BE32-E72D297353CC}">
              <c16:uniqueId val="{00000002-3AD3-4242-B68E-8776FAF4572D}"/>
            </c:ext>
          </c:extLst>
        </c:ser>
        <c:dLbls>
          <c:showLegendKey val="0"/>
          <c:showVal val="0"/>
          <c:showCatName val="0"/>
          <c:showSerName val="0"/>
          <c:showPercent val="0"/>
          <c:showBubbleSize val="0"/>
        </c:dLbls>
        <c:gapWidth val="150"/>
        <c:overlap val="100"/>
        <c:axId val="1596572032"/>
        <c:axId val="1611470048"/>
      </c:barChart>
      <c:catAx>
        <c:axId val="1596572032"/>
        <c:scaling>
          <c:orientation val="maxMin"/>
        </c:scaling>
        <c:delete val="1"/>
        <c:axPos val="l"/>
        <c:numFmt formatCode="General" sourceLinked="1"/>
        <c:majorTickMark val="none"/>
        <c:minorTickMark val="none"/>
        <c:tickLblPos val="nextTo"/>
        <c:crossAx val="1611470048"/>
        <c:crosses val="autoZero"/>
        <c:auto val="1"/>
        <c:lblAlgn val="ctr"/>
        <c:lblOffset val="100"/>
        <c:noMultiLvlLbl val="0"/>
      </c:catAx>
      <c:valAx>
        <c:axId val="1611470048"/>
        <c:scaling>
          <c:orientation val="minMax"/>
          <c:min val="0"/>
        </c:scaling>
        <c:delete val="0"/>
        <c:axPos val="t"/>
        <c:majorGridlines/>
        <c:numFmt formatCode="0%" sourceLinked="1"/>
        <c:majorTickMark val="none"/>
        <c:minorTickMark val="none"/>
        <c:tickLblPos val="nextTo"/>
        <c:crossAx val="1596572032"/>
        <c:crosses val="autoZero"/>
        <c:crossBetween val="between"/>
      </c:valAx>
    </c:plotArea>
    <c:legend>
      <c:legendPos val="b"/>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Quality of studies included</a:t>
            </a:r>
            <a:r>
              <a:rPr lang="en-GB" baseline="0"/>
              <a:t> in the meta-analysis - confirmatory testing</a:t>
            </a:r>
            <a:endParaRPr lang="en-GB"/>
          </a:p>
        </c:rich>
      </c:tx>
      <c:overlay val="0"/>
    </c:title>
    <c:autoTitleDeleted val="0"/>
    <c:plotArea>
      <c:layout/>
      <c:barChart>
        <c:barDir val="bar"/>
        <c:grouping val="percentStacked"/>
        <c:varyColors val="0"/>
        <c:ser>
          <c:idx val="0"/>
          <c:order val="0"/>
          <c:tx>
            <c:strRef>
              <c:f>'Quality assessment'!$AI$84</c:f>
              <c:strCache>
                <c:ptCount val="1"/>
                <c:pt idx="0">
                  <c:v># &lt;60%</c:v>
                </c:pt>
              </c:strCache>
            </c:strRef>
          </c:tx>
          <c:spPr>
            <a:solidFill>
              <a:srgbClr val="D35F47"/>
            </a:solidFill>
          </c:spPr>
          <c:invertIfNegative val="0"/>
          <c:val>
            <c:numRef>
              <c:f>'Quality assessment'!$AK$84</c:f>
              <c:numCache>
                <c:formatCode>0.0%</c:formatCode>
                <c:ptCount val="1"/>
                <c:pt idx="0">
                  <c:v>0</c:v>
                </c:pt>
              </c:numCache>
            </c:numRef>
          </c:val>
          <c:extLst>
            <c:ext xmlns:c16="http://schemas.microsoft.com/office/drawing/2014/chart" uri="{C3380CC4-5D6E-409C-BE32-E72D297353CC}">
              <c16:uniqueId val="{00000000-A8AB-0E40-9878-97AF14AA7BE9}"/>
            </c:ext>
          </c:extLst>
        </c:ser>
        <c:ser>
          <c:idx val="1"/>
          <c:order val="1"/>
          <c:tx>
            <c:strRef>
              <c:f>'Quality assessment'!$AI$85</c:f>
              <c:strCache>
                <c:ptCount val="1"/>
                <c:pt idx="0">
                  <c:v># 60-80%</c:v>
                </c:pt>
              </c:strCache>
            </c:strRef>
          </c:tx>
          <c:spPr>
            <a:solidFill>
              <a:srgbClr val="E9E71A"/>
            </a:solidFill>
          </c:spPr>
          <c:invertIfNegative val="0"/>
          <c:val>
            <c:numRef>
              <c:f>'Quality assessment'!$AK$85</c:f>
              <c:numCache>
                <c:formatCode>0.0%</c:formatCode>
                <c:ptCount val="1"/>
                <c:pt idx="0">
                  <c:v>1</c:v>
                </c:pt>
              </c:numCache>
            </c:numRef>
          </c:val>
          <c:extLst>
            <c:ext xmlns:c16="http://schemas.microsoft.com/office/drawing/2014/chart" uri="{C3380CC4-5D6E-409C-BE32-E72D297353CC}">
              <c16:uniqueId val="{00000001-A8AB-0E40-9878-97AF14AA7BE9}"/>
            </c:ext>
          </c:extLst>
        </c:ser>
        <c:ser>
          <c:idx val="2"/>
          <c:order val="2"/>
          <c:tx>
            <c:strRef>
              <c:f>'Quality assessment'!$AI$86</c:f>
              <c:strCache>
                <c:ptCount val="1"/>
                <c:pt idx="0">
                  <c:v># &gt;80%</c:v>
                </c:pt>
              </c:strCache>
            </c:strRef>
          </c:tx>
          <c:spPr>
            <a:solidFill>
              <a:schemeClr val="accent3">
                <a:lumMod val="75000"/>
              </a:schemeClr>
            </a:solidFill>
          </c:spPr>
          <c:invertIfNegative val="0"/>
          <c:val>
            <c:numRef>
              <c:f>'Quality assessment'!$AK$86</c:f>
              <c:numCache>
                <c:formatCode>0.0%</c:formatCode>
                <c:ptCount val="1"/>
                <c:pt idx="0">
                  <c:v>0</c:v>
                </c:pt>
              </c:numCache>
            </c:numRef>
          </c:val>
          <c:extLst>
            <c:ext xmlns:c16="http://schemas.microsoft.com/office/drawing/2014/chart" uri="{C3380CC4-5D6E-409C-BE32-E72D297353CC}">
              <c16:uniqueId val="{00000002-A8AB-0E40-9878-97AF14AA7BE9}"/>
            </c:ext>
          </c:extLst>
        </c:ser>
        <c:dLbls>
          <c:showLegendKey val="0"/>
          <c:showVal val="0"/>
          <c:showCatName val="0"/>
          <c:showSerName val="0"/>
          <c:showPercent val="0"/>
          <c:showBubbleSize val="0"/>
        </c:dLbls>
        <c:gapWidth val="150"/>
        <c:overlap val="100"/>
        <c:axId val="1596572032"/>
        <c:axId val="1611470048"/>
      </c:barChart>
      <c:catAx>
        <c:axId val="1596572032"/>
        <c:scaling>
          <c:orientation val="maxMin"/>
        </c:scaling>
        <c:delete val="1"/>
        <c:axPos val="l"/>
        <c:numFmt formatCode="General" sourceLinked="1"/>
        <c:majorTickMark val="none"/>
        <c:minorTickMark val="none"/>
        <c:tickLblPos val="nextTo"/>
        <c:crossAx val="1611470048"/>
        <c:crosses val="autoZero"/>
        <c:auto val="1"/>
        <c:lblAlgn val="ctr"/>
        <c:lblOffset val="100"/>
        <c:noMultiLvlLbl val="0"/>
      </c:catAx>
      <c:valAx>
        <c:axId val="1611470048"/>
        <c:scaling>
          <c:orientation val="minMax"/>
        </c:scaling>
        <c:delete val="0"/>
        <c:axPos val="t"/>
        <c:majorGridlines/>
        <c:numFmt formatCode="0%" sourceLinked="1"/>
        <c:majorTickMark val="none"/>
        <c:minorTickMark val="none"/>
        <c:tickLblPos val="nextTo"/>
        <c:crossAx val="1596572032"/>
        <c:crosses val="autoZero"/>
        <c:crossBetween val="between"/>
      </c:valAx>
    </c:plotArea>
    <c:legend>
      <c:legendPos val="b"/>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Quality of studies included</a:t>
            </a:r>
            <a:r>
              <a:rPr lang="en-GB" baseline="0"/>
              <a:t> in the meta-analysis - participation</a:t>
            </a:r>
            <a:endParaRPr lang="en-GB"/>
          </a:p>
        </c:rich>
      </c:tx>
      <c:overlay val="0"/>
    </c:title>
    <c:autoTitleDeleted val="0"/>
    <c:plotArea>
      <c:layout/>
      <c:barChart>
        <c:barDir val="bar"/>
        <c:grouping val="percentStacked"/>
        <c:varyColors val="0"/>
        <c:ser>
          <c:idx val="0"/>
          <c:order val="0"/>
          <c:tx>
            <c:strRef>
              <c:f>'Quality assessment'!$AI$84</c:f>
              <c:strCache>
                <c:ptCount val="1"/>
                <c:pt idx="0">
                  <c:v># &lt;60%</c:v>
                </c:pt>
              </c:strCache>
            </c:strRef>
          </c:tx>
          <c:spPr>
            <a:solidFill>
              <a:srgbClr val="D35F47"/>
            </a:solidFill>
          </c:spPr>
          <c:invertIfNegative val="0"/>
          <c:val>
            <c:numRef>
              <c:f>'Quality assessment'!$AL$84</c:f>
              <c:numCache>
                <c:formatCode>0.0%</c:formatCode>
                <c:ptCount val="1"/>
                <c:pt idx="0">
                  <c:v>0.62264150943396224</c:v>
                </c:pt>
              </c:numCache>
            </c:numRef>
          </c:val>
          <c:extLst>
            <c:ext xmlns:c16="http://schemas.microsoft.com/office/drawing/2014/chart" uri="{C3380CC4-5D6E-409C-BE32-E72D297353CC}">
              <c16:uniqueId val="{00000000-3529-3444-881A-5B0267A6789B}"/>
            </c:ext>
          </c:extLst>
        </c:ser>
        <c:ser>
          <c:idx val="1"/>
          <c:order val="1"/>
          <c:tx>
            <c:strRef>
              <c:f>'Quality assessment'!$AI$85</c:f>
              <c:strCache>
                <c:ptCount val="1"/>
                <c:pt idx="0">
                  <c:v># 60-80%</c:v>
                </c:pt>
              </c:strCache>
            </c:strRef>
          </c:tx>
          <c:spPr>
            <a:solidFill>
              <a:srgbClr val="E9E71A"/>
            </a:solidFill>
          </c:spPr>
          <c:invertIfNegative val="0"/>
          <c:val>
            <c:numRef>
              <c:f>'Quality assessment'!$AL$85</c:f>
              <c:numCache>
                <c:formatCode>0.0%</c:formatCode>
                <c:ptCount val="1"/>
                <c:pt idx="0">
                  <c:v>0.37735849056603776</c:v>
                </c:pt>
              </c:numCache>
            </c:numRef>
          </c:val>
          <c:extLst>
            <c:ext xmlns:c16="http://schemas.microsoft.com/office/drawing/2014/chart" uri="{C3380CC4-5D6E-409C-BE32-E72D297353CC}">
              <c16:uniqueId val="{00000001-3529-3444-881A-5B0267A6789B}"/>
            </c:ext>
          </c:extLst>
        </c:ser>
        <c:ser>
          <c:idx val="2"/>
          <c:order val="2"/>
          <c:tx>
            <c:strRef>
              <c:f>'Quality assessment'!$AI$86</c:f>
              <c:strCache>
                <c:ptCount val="1"/>
                <c:pt idx="0">
                  <c:v># &gt;80%</c:v>
                </c:pt>
              </c:strCache>
            </c:strRef>
          </c:tx>
          <c:spPr>
            <a:solidFill>
              <a:schemeClr val="accent3">
                <a:lumMod val="75000"/>
              </a:schemeClr>
            </a:solidFill>
          </c:spPr>
          <c:invertIfNegative val="0"/>
          <c:val>
            <c:numRef>
              <c:f>'Quality assessment'!$AL$86</c:f>
              <c:numCache>
                <c:formatCode>0.0%</c:formatCode>
                <c:ptCount val="1"/>
                <c:pt idx="0">
                  <c:v>0</c:v>
                </c:pt>
              </c:numCache>
            </c:numRef>
          </c:val>
          <c:extLst>
            <c:ext xmlns:c16="http://schemas.microsoft.com/office/drawing/2014/chart" uri="{C3380CC4-5D6E-409C-BE32-E72D297353CC}">
              <c16:uniqueId val="{00000002-3529-3444-881A-5B0267A6789B}"/>
            </c:ext>
          </c:extLst>
        </c:ser>
        <c:dLbls>
          <c:showLegendKey val="0"/>
          <c:showVal val="0"/>
          <c:showCatName val="0"/>
          <c:showSerName val="0"/>
          <c:showPercent val="0"/>
          <c:showBubbleSize val="0"/>
        </c:dLbls>
        <c:gapWidth val="150"/>
        <c:overlap val="100"/>
        <c:axId val="1596572032"/>
        <c:axId val="1611470048"/>
      </c:barChart>
      <c:catAx>
        <c:axId val="1596572032"/>
        <c:scaling>
          <c:orientation val="maxMin"/>
        </c:scaling>
        <c:delete val="1"/>
        <c:axPos val="l"/>
        <c:numFmt formatCode="General" sourceLinked="1"/>
        <c:majorTickMark val="none"/>
        <c:minorTickMark val="none"/>
        <c:tickLblPos val="nextTo"/>
        <c:crossAx val="1611470048"/>
        <c:crosses val="autoZero"/>
        <c:auto val="1"/>
        <c:lblAlgn val="ctr"/>
        <c:lblOffset val="100"/>
        <c:noMultiLvlLbl val="0"/>
      </c:catAx>
      <c:valAx>
        <c:axId val="1611470048"/>
        <c:scaling>
          <c:orientation val="minMax"/>
        </c:scaling>
        <c:delete val="0"/>
        <c:axPos val="t"/>
        <c:majorGridlines/>
        <c:numFmt formatCode="0%" sourceLinked="1"/>
        <c:majorTickMark val="none"/>
        <c:minorTickMark val="none"/>
        <c:tickLblPos val="nextTo"/>
        <c:crossAx val="1596572032"/>
        <c:crosses val="autoZero"/>
        <c:crossBetween val="between"/>
      </c:valAx>
    </c:plotArea>
    <c:legend>
      <c:legendPos val="b"/>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39</xdr:col>
      <xdr:colOff>469899</xdr:colOff>
      <xdr:row>3</xdr:row>
      <xdr:rowOff>165100</xdr:rowOff>
    </xdr:from>
    <xdr:to>
      <xdr:col>48</xdr:col>
      <xdr:colOff>168033</xdr:colOff>
      <xdr:row>16</xdr:row>
      <xdr:rowOff>83426</xdr:rowOff>
    </xdr:to>
    <xdr:graphicFrame macro="">
      <xdr:nvGraphicFramePr>
        <xdr:cNvPr id="47" name="Chart 46">
          <a:extLst>
            <a:ext uri="{FF2B5EF4-FFF2-40B4-BE49-F238E27FC236}">
              <a16:creationId xmlns:a16="http://schemas.microsoft.com/office/drawing/2014/main" id="{768240A4-FDAA-C5C0-E70D-1827879D46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39</xdr:col>
      <xdr:colOff>460962</xdr:colOff>
      <xdr:row>16</xdr:row>
      <xdr:rowOff>178740</xdr:rowOff>
    </xdr:from>
    <xdr:to>
      <xdr:col>48</xdr:col>
      <xdr:colOff>159096</xdr:colOff>
      <xdr:row>28</xdr:row>
      <xdr:rowOff>97066</xdr:rowOff>
    </xdr:to>
    <xdr:graphicFrame macro="">
      <xdr:nvGraphicFramePr>
        <xdr:cNvPr id="28" name="Chart 27">
          <a:extLst>
            <a:ext uri="{FF2B5EF4-FFF2-40B4-BE49-F238E27FC236}">
              <a16:creationId xmlns:a16="http://schemas.microsoft.com/office/drawing/2014/main" id="{9AA41ED7-29EE-6B42-AFBC-C90E46E8C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48</xdr:col>
      <xdr:colOff>262758</xdr:colOff>
      <xdr:row>3</xdr:row>
      <xdr:rowOff>153274</xdr:rowOff>
    </xdr:from>
    <xdr:to>
      <xdr:col>56</xdr:col>
      <xdr:colOff>572372</xdr:colOff>
      <xdr:row>16</xdr:row>
      <xdr:rowOff>71600</xdr:rowOff>
    </xdr:to>
    <xdr:graphicFrame macro="">
      <xdr:nvGraphicFramePr>
        <xdr:cNvPr id="29" name="Chart 28">
          <a:extLst>
            <a:ext uri="{FF2B5EF4-FFF2-40B4-BE49-F238E27FC236}">
              <a16:creationId xmlns:a16="http://schemas.microsoft.com/office/drawing/2014/main" id="{11CC6516-8683-9C4B-A41A-52A82771EE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48</xdr:col>
      <xdr:colOff>240863</xdr:colOff>
      <xdr:row>17</xdr:row>
      <xdr:rowOff>1</xdr:rowOff>
    </xdr:from>
    <xdr:to>
      <xdr:col>56</xdr:col>
      <xdr:colOff>550477</xdr:colOff>
      <xdr:row>28</xdr:row>
      <xdr:rowOff>106475</xdr:rowOff>
    </xdr:to>
    <xdr:graphicFrame macro="">
      <xdr:nvGraphicFramePr>
        <xdr:cNvPr id="30" name="Chart 29">
          <a:extLst>
            <a:ext uri="{FF2B5EF4-FFF2-40B4-BE49-F238E27FC236}">
              <a16:creationId xmlns:a16="http://schemas.microsoft.com/office/drawing/2014/main" id="{E47B7998-A7C6-E04B-898B-2DB79D08AC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945"/>
  <sheetViews>
    <sheetView tabSelected="1" zoomScale="166" zoomScaleNormal="120" workbookViewId="0">
      <pane xSplit="2" ySplit="1" topLeftCell="C2" activePane="bottomRight" state="frozen"/>
      <selection pane="topRight" activeCell="C1" sqref="C1"/>
      <selection pane="bottomLeft" activeCell="A2" sqref="A2"/>
      <selection pane="bottomRight" activeCell="B2" sqref="B2"/>
    </sheetView>
  </sheetViews>
  <sheetFormatPr baseColWidth="10" defaultColWidth="14.3984375" defaultRowHeight="15" customHeight="1"/>
  <cols>
    <col min="1" max="1" width="10.59765625" customWidth="1"/>
    <col min="2" max="2" width="25.796875" customWidth="1"/>
    <col min="3" max="3" width="6.3984375" customWidth="1"/>
    <col min="4" max="4" width="73.19921875" customWidth="1"/>
    <col min="5" max="5" width="17.59765625" customWidth="1"/>
  </cols>
  <sheetData>
    <row r="1" spans="1:28">
      <c r="A1" s="1" t="s">
        <v>2</v>
      </c>
      <c r="B1" s="69" t="s">
        <v>3</v>
      </c>
      <c r="C1" s="1" t="s">
        <v>4</v>
      </c>
      <c r="D1" s="1" t="s">
        <v>5</v>
      </c>
      <c r="E1" s="1" t="s">
        <v>6</v>
      </c>
      <c r="F1" s="1" t="s">
        <v>285</v>
      </c>
      <c r="G1" s="44"/>
      <c r="H1" s="44"/>
      <c r="I1" s="2"/>
      <c r="J1" s="3"/>
      <c r="K1" s="4"/>
      <c r="L1" s="4"/>
      <c r="M1" s="4"/>
      <c r="N1" s="4"/>
      <c r="O1" s="4"/>
      <c r="P1" s="4"/>
      <c r="Q1" s="4"/>
      <c r="R1" s="4"/>
      <c r="S1" s="4"/>
      <c r="T1" s="4"/>
      <c r="U1" s="4"/>
      <c r="V1" s="4"/>
      <c r="W1" s="4"/>
      <c r="X1" s="4"/>
      <c r="Y1" s="4"/>
      <c r="Z1" s="4"/>
      <c r="AA1" s="4"/>
      <c r="AB1" s="4"/>
    </row>
    <row r="2" spans="1:28">
      <c r="A2" s="5" t="s">
        <v>858</v>
      </c>
      <c r="B2" s="11" t="s">
        <v>744</v>
      </c>
      <c r="C2" s="9">
        <v>2022</v>
      </c>
      <c r="D2" s="5" t="s">
        <v>30</v>
      </c>
      <c r="E2" s="5" t="s">
        <v>9</v>
      </c>
      <c r="F2" s="44" t="s">
        <v>72</v>
      </c>
      <c r="G2" s="44"/>
      <c r="H2" s="44"/>
      <c r="I2" s="5"/>
      <c r="J2" s="5"/>
      <c r="K2" s="5"/>
      <c r="L2" s="5"/>
      <c r="M2" s="5"/>
      <c r="N2" s="5"/>
      <c r="O2" s="5"/>
      <c r="P2" s="5"/>
      <c r="Q2" s="5"/>
      <c r="R2" s="5"/>
      <c r="S2" s="5"/>
      <c r="T2" s="5"/>
      <c r="U2" s="5"/>
      <c r="V2" s="5"/>
      <c r="W2" s="4"/>
      <c r="X2" s="4"/>
      <c r="Y2" s="4"/>
      <c r="Z2" s="4"/>
      <c r="AA2" s="4"/>
      <c r="AB2" s="4"/>
    </row>
    <row r="3" spans="1:28">
      <c r="A3" s="5" t="s">
        <v>859</v>
      </c>
      <c r="B3" s="11" t="s">
        <v>33</v>
      </c>
      <c r="C3" s="9">
        <v>2023</v>
      </c>
      <c r="D3" s="5" t="s">
        <v>34</v>
      </c>
      <c r="E3" s="5" t="s">
        <v>9</v>
      </c>
      <c r="F3" s="44" t="s">
        <v>72</v>
      </c>
      <c r="G3" s="44"/>
      <c r="H3" s="44"/>
      <c r="I3" s="5"/>
      <c r="J3" s="5"/>
      <c r="K3" s="5"/>
      <c r="L3" s="5"/>
      <c r="M3" s="5"/>
      <c r="N3" s="5"/>
      <c r="O3" s="5"/>
      <c r="P3" s="5"/>
      <c r="Q3" s="5"/>
      <c r="R3" s="5"/>
      <c r="S3" s="5"/>
      <c r="T3" s="5"/>
      <c r="U3" s="5"/>
      <c r="V3" s="5"/>
      <c r="W3" s="4"/>
      <c r="X3" s="4"/>
      <c r="Y3" s="4"/>
      <c r="Z3" s="4"/>
      <c r="AA3" s="4"/>
      <c r="AB3" s="4"/>
    </row>
    <row r="4" spans="1:28">
      <c r="A4" s="44" t="s">
        <v>47</v>
      </c>
      <c r="B4" s="47" t="s">
        <v>350</v>
      </c>
      <c r="C4" s="7">
        <v>2024</v>
      </c>
      <c r="D4" s="44" t="s">
        <v>351</v>
      </c>
      <c r="E4" s="44" t="s">
        <v>9</v>
      </c>
      <c r="F4" s="44" t="s">
        <v>72</v>
      </c>
      <c r="G4" s="44"/>
      <c r="H4" s="44"/>
      <c r="I4" s="5"/>
      <c r="J4" s="5"/>
      <c r="K4" s="5"/>
      <c r="L4" s="5"/>
      <c r="M4" s="5"/>
      <c r="N4" s="5"/>
      <c r="O4" s="5"/>
      <c r="P4" s="5"/>
      <c r="Q4" s="5"/>
      <c r="R4" s="5"/>
      <c r="S4" s="5"/>
      <c r="T4" s="5"/>
      <c r="U4" s="5"/>
      <c r="V4" s="5"/>
      <c r="W4" s="4"/>
      <c r="X4" s="4"/>
      <c r="Y4" s="4"/>
      <c r="Z4" s="4"/>
      <c r="AA4" s="4"/>
      <c r="AB4" s="4"/>
    </row>
    <row r="5" spans="1:28">
      <c r="A5" s="44" t="s">
        <v>589</v>
      </c>
      <c r="B5" s="47" t="s">
        <v>35</v>
      </c>
      <c r="C5" s="9">
        <v>2023</v>
      </c>
      <c r="D5" s="44" t="s">
        <v>36</v>
      </c>
      <c r="E5" s="44" t="s">
        <v>9</v>
      </c>
      <c r="F5" s="44" t="s">
        <v>73</v>
      </c>
      <c r="G5" s="44"/>
      <c r="H5" s="44"/>
      <c r="I5" s="5"/>
      <c r="J5" s="5"/>
      <c r="K5" s="5"/>
      <c r="L5" s="5"/>
      <c r="M5" s="5"/>
      <c r="N5" s="5"/>
      <c r="O5" s="5"/>
      <c r="P5" s="5"/>
      <c r="Q5" s="5"/>
      <c r="R5" s="5"/>
      <c r="S5" s="5"/>
      <c r="T5" s="5"/>
      <c r="U5" s="5"/>
      <c r="V5" s="5"/>
      <c r="W5" s="44"/>
      <c r="X5" s="44"/>
      <c r="Y5" s="44"/>
      <c r="Z5" s="44"/>
      <c r="AA5" s="44"/>
      <c r="AB5" s="44"/>
    </row>
    <row r="6" spans="1:28">
      <c r="A6" s="44" t="s">
        <v>50</v>
      </c>
      <c r="B6" s="47" t="s">
        <v>433</v>
      </c>
      <c r="C6" s="7">
        <v>2023</v>
      </c>
      <c r="D6" s="44" t="s">
        <v>434</v>
      </c>
      <c r="E6" s="44" t="s">
        <v>9</v>
      </c>
      <c r="F6" s="44" t="s">
        <v>72</v>
      </c>
      <c r="G6" s="44"/>
      <c r="H6" s="44"/>
      <c r="I6" s="5"/>
      <c r="J6" s="5"/>
      <c r="K6" s="5"/>
      <c r="L6" s="5"/>
      <c r="M6" s="5"/>
      <c r="N6" s="5"/>
      <c r="O6" s="5"/>
      <c r="P6" s="5"/>
      <c r="Q6" s="5"/>
      <c r="R6" s="5"/>
      <c r="S6" s="5"/>
      <c r="T6" s="5"/>
      <c r="U6" s="5"/>
      <c r="V6" s="5"/>
      <c r="W6" s="44"/>
      <c r="X6" s="44"/>
      <c r="Y6" s="44"/>
      <c r="Z6" s="44"/>
      <c r="AA6" s="44"/>
      <c r="AB6" s="44"/>
    </row>
    <row r="7" spans="1:28">
      <c r="A7" s="44" t="s">
        <v>53</v>
      </c>
      <c r="B7" s="47" t="s">
        <v>37</v>
      </c>
      <c r="C7" s="68">
        <v>2022</v>
      </c>
      <c r="D7" s="44" t="s">
        <v>38</v>
      </c>
      <c r="E7" s="44" t="s">
        <v>9</v>
      </c>
      <c r="F7" s="44" t="s">
        <v>72</v>
      </c>
      <c r="G7" s="44"/>
      <c r="H7" s="44"/>
      <c r="I7" s="44"/>
      <c r="J7" s="44"/>
      <c r="K7" s="44"/>
      <c r="L7" s="44"/>
      <c r="M7" s="44"/>
      <c r="N7" s="44"/>
      <c r="O7" s="44"/>
      <c r="P7" s="44"/>
      <c r="Q7" s="44"/>
      <c r="R7" s="44"/>
      <c r="S7" s="44"/>
      <c r="T7" s="44"/>
      <c r="U7" s="44"/>
      <c r="V7" s="44"/>
      <c r="W7" s="44"/>
      <c r="X7" s="44"/>
      <c r="Y7" s="44"/>
      <c r="Z7" s="44"/>
      <c r="AA7" s="44"/>
      <c r="AB7" s="44"/>
    </row>
    <row r="8" spans="1:28">
      <c r="A8" s="5" t="s">
        <v>590</v>
      </c>
      <c r="B8" s="11" t="s">
        <v>7</v>
      </c>
      <c r="C8" s="9">
        <v>2021</v>
      </c>
      <c r="D8" s="5" t="s">
        <v>8</v>
      </c>
      <c r="E8" s="5" t="s">
        <v>9</v>
      </c>
      <c r="F8" s="44" t="s">
        <v>72</v>
      </c>
      <c r="G8" s="44"/>
      <c r="H8" s="44"/>
      <c r="I8" s="44"/>
      <c r="J8" s="44"/>
      <c r="K8" s="44"/>
      <c r="L8" s="44"/>
      <c r="M8" s="44"/>
      <c r="N8" s="44"/>
      <c r="O8" s="44"/>
      <c r="P8" s="44"/>
      <c r="Q8" s="44"/>
      <c r="R8" s="44"/>
      <c r="S8" s="44"/>
      <c r="T8" s="44"/>
      <c r="U8" s="44"/>
      <c r="V8" s="44"/>
      <c r="W8" s="44"/>
      <c r="X8" s="44"/>
      <c r="Y8" s="44"/>
      <c r="Z8" s="44"/>
      <c r="AA8" s="44"/>
      <c r="AB8" s="44"/>
    </row>
    <row r="9" spans="1:28">
      <c r="A9" s="5" t="s">
        <v>56</v>
      </c>
      <c r="B9" s="11" t="s">
        <v>31</v>
      </c>
      <c r="C9" s="9">
        <v>2022</v>
      </c>
      <c r="D9" s="5" t="s">
        <v>32</v>
      </c>
      <c r="E9" s="5" t="s">
        <v>9</v>
      </c>
      <c r="F9" s="44" t="s">
        <v>73</v>
      </c>
      <c r="G9" s="44"/>
      <c r="H9" s="44"/>
      <c r="I9" s="44"/>
      <c r="J9" s="44"/>
      <c r="K9" s="44"/>
      <c r="L9" s="44"/>
      <c r="M9" s="44"/>
      <c r="N9" s="44"/>
      <c r="O9" s="44"/>
      <c r="P9" s="44"/>
      <c r="Q9" s="44"/>
      <c r="R9" s="44"/>
      <c r="S9" s="44"/>
      <c r="T9" s="44"/>
      <c r="U9" s="44"/>
      <c r="V9" s="44"/>
      <c r="W9" s="44"/>
      <c r="X9" s="44"/>
      <c r="Y9" s="44"/>
      <c r="Z9" s="44"/>
      <c r="AA9" s="44"/>
      <c r="AB9" s="44"/>
    </row>
    <row r="10" spans="1:28">
      <c r="A10" s="44" t="s">
        <v>59</v>
      </c>
      <c r="B10" s="47" t="s">
        <v>39</v>
      </c>
      <c r="C10" s="7">
        <v>2022</v>
      </c>
      <c r="D10" s="44" t="s">
        <v>40</v>
      </c>
      <c r="E10" s="44" t="s">
        <v>9</v>
      </c>
      <c r="F10" s="44" t="s">
        <v>72</v>
      </c>
      <c r="G10" s="44"/>
      <c r="H10" s="44"/>
      <c r="I10" s="44"/>
      <c r="J10" s="44"/>
      <c r="K10" s="44"/>
      <c r="L10" s="44"/>
      <c r="M10" s="44"/>
      <c r="N10" s="44"/>
      <c r="O10" s="44"/>
      <c r="P10" s="44"/>
      <c r="Q10" s="44"/>
      <c r="R10" s="44"/>
      <c r="S10" s="44"/>
      <c r="T10" s="44"/>
      <c r="U10" s="44"/>
      <c r="V10" s="44"/>
      <c r="W10" s="44"/>
      <c r="X10" s="44"/>
      <c r="Y10" s="44"/>
      <c r="Z10" s="44"/>
      <c r="AA10" s="44"/>
      <c r="AB10" s="44"/>
    </row>
    <row r="11" spans="1:28">
      <c r="A11" s="44" t="s">
        <v>591</v>
      </c>
      <c r="B11" s="47" t="s">
        <v>342</v>
      </c>
      <c r="C11" s="7">
        <v>2024</v>
      </c>
      <c r="D11" s="44" t="s">
        <v>343</v>
      </c>
      <c r="E11" s="44" t="s">
        <v>9</v>
      </c>
      <c r="F11" s="44" t="s">
        <v>73</v>
      </c>
      <c r="G11" s="44"/>
      <c r="H11" s="44"/>
      <c r="I11" s="44"/>
      <c r="J11" s="44"/>
      <c r="K11" s="44"/>
      <c r="L11" s="44"/>
      <c r="M11" s="44"/>
      <c r="N11" s="44"/>
      <c r="O11" s="44"/>
      <c r="P11" s="44"/>
      <c r="Q11" s="44"/>
      <c r="R11" s="44"/>
      <c r="S11" s="44"/>
      <c r="T11" s="44"/>
      <c r="U11" s="44"/>
      <c r="V11" s="44"/>
      <c r="W11" s="44"/>
      <c r="X11" s="44"/>
      <c r="Y11" s="44"/>
      <c r="Z11" s="44"/>
      <c r="AA11" s="44"/>
      <c r="AB11" s="44"/>
    </row>
    <row r="12" spans="1:28">
      <c r="A12" s="44" t="s">
        <v>592</v>
      </c>
      <c r="B12" s="47" t="s">
        <v>598</v>
      </c>
      <c r="C12" s="7">
        <v>2021</v>
      </c>
      <c r="D12" s="44" t="s">
        <v>599</v>
      </c>
      <c r="E12" s="44" t="s">
        <v>9</v>
      </c>
      <c r="F12" s="44" t="s">
        <v>72</v>
      </c>
      <c r="G12" s="44"/>
      <c r="H12" s="44"/>
      <c r="I12" s="44"/>
      <c r="J12" s="44"/>
      <c r="K12" s="44"/>
      <c r="L12" s="44"/>
      <c r="M12" s="44"/>
      <c r="N12" s="44"/>
      <c r="O12" s="44"/>
      <c r="P12" s="44"/>
      <c r="Q12" s="44"/>
      <c r="R12" s="44"/>
      <c r="S12" s="44"/>
      <c r="T12" s="44"/>
      <c r="U12" s="44"/>
      <c r="V12" s="44"/>
      <c r="W12" s="44"/>
      <c r="X12" s="44"/>
      <c r="Y12" s="44"/>
      <c r="Z12" s="44"/>
      <c r="AA12" s="44"/>
      <c r="AB12" s="44"/>
    </row>
    <row r="13" spans="1:28">
      <c r="A13" s="44" t="s">
        <v>272</v>
      </c>
      <c r="B13" s="47" t="s">
        <v>767</v>
      </c>
      <c r="C13" s="7">
        <v>2022</v>
      </c>
      <c r="D13" s="44" t="s">
        <v>42</v>
      </c>
      <c r="E13" s="44" t="s">
        <v>9</v>
      </c>
      <c r="F13" s="44" t="s">
        <v>73</v>
      </c>
      <c r="G13" s="44"/>
      <c r="H13" s="44"/>
      <c r="I13" s="44"/>
      <c r="J13" s="44"/>
      <c r="K13" s="44"/>
      <c r="L13" s="44"/>
      <c r="M13" s="44"/>
      <c r="N13" s="44"/>
      <c r="O13" s="44"/>
      <c r="P13" s="44"/>
      <c r="Q13" s="44"/>
      <c r="R13" s="44"/>
      <c r="S13" s="44"/>
      <c r="T13" s="44"/>
      <c r="U13" s="44"/>
      <c r="V13" s="44"/>
      <c r="W13" s="44"/>
      <c r="X13" s="44"/>
      <c r="Y13" s="44"/>
      <c r="Z13" s="44"/>
      <c r="AA13" s="44"/>
      <c r="AB13" s="44"/>
    </row>
    <row r="14" spans="1:28">
      <c r="A14" s="44" t="s">
        <v>293</v>
      </c>
      <c r="B14" s="47" t="s">
        <v>768</v>
      </c>
      <c r="C14" s="7">
        <v>2022</v>
      </c>
      <c r="D14" s="44" t="s">
        <v>41</v>
      </c>
      <c r="E14" s="44" t="s">
        <v>9</v>
      </c>
      <c r="F14" s="44" t="s">
        <v>72</v>
      </c>
      <c r="G14" s="44"/>
      <c r="H14" s="44"/>
      <c r="I14" s="44"/>
      <c r="J14" s="44"/>
      <c r="K14" s="44"/>
      <c r="L14" s="44"/>
      <c r="M14" s="44"/>
      <c r="N14" s="44"/>
      <c r="O14" s="44"/>
      <c r="P14" s="44"/>
      <c r="Q14" s="44"/>
      <c r="R14" s="44"/>
      <c r="S14" s="44"/>
      <c r="T14" s="44"/>
      <c r="U14" s="44"/>
      <c r="V14" s="44"/>
      <c r="W14" s="44"/>
      <c r="X14" s="44"/>
      <c r="Y14" s="44"/>
      <c r="Z14" s="44"/>
      <c r="AA14" s="44"/>
      <c r="AB14" s="44"/>
    </row>
    <row r="15" spans="1:28">
      <c r="A15" s="5" t="s">
        <v>314</v>
      </c>
      <c r="B15" s="11" t="s">
        <v>10</v>
      </c>
      <c r="C15" s="9">
        <v>2021</v>
      </c>
      <c r="D15" s="5" t="s">
        <v>11</v>
      </c>
      <c r="E15" s="5" t="s">
        <v>9</v>
      </c>
      <c r="F15" s="44" t="s">
        <v>72</v>
      </c>
      <c r="G15" s="44"/>
      <c r="H15" s="44"/>
      <c r="I15" s="44"/>
      <c r="J15" s="44"/>
      <c r="K15" s="44"/>
      <c r="L15" s="44"/>
      <c r="M15" s="44"/>
      <c r="N15" s="44"/>
      <c r="O15" s="44"/>
      <c r="P15" s="44"/>
      <c r="Q15" s="44"/>
      <c r="R15" s="44"/>
      <c r="S15" s="44"/>
      <c r="T15" s="44"/>
      <c r="U15" s="44"/>
      <c r="V15" s="44"/>
      <c r="W15" s="44"/>
      <c r="X15" s="44"/>
      <c r="Y15" s="44"/>
      <c r="Z15" s="44"/>
      <c r="AA15" s="44"/>
      <c r="AB15" s="44"/>
    </row>
    <row r="16" spans="1:28">
      <c r="A16" s="5" t="s">
        <v>320</v>
      </c>
      <c r="B16" s="11" t="s">
        <v>12</v>
      </c>
      <c r="C16" s="9">
        <v>2021</v>
      </c>
      <c r="D16" s="5" t="s">
        <v>13</v>
      </c>
      <c r="E16" s="5" t="s">
        <v>9</v>
      </c>
      <c r="F16" s="44" t="s">
        <v>72</v>
      </c>
      <c r="G16" s="44"/>
      <c r="H16" s="44"/>
      <c r="I16" s="44"/>
      <c r="J16" s="44"/>
      <c r="K16" s="44"/>
      <c r="L16" s="44"/>
      <c r="M16" s="44"/>
      <c r="N16" s="44"/>
      <c r="O16" s="44"/>
      <c r="P16" s="44"/>
      <c r="Q16" s="44"/>
      <c r="R16" s="44"/>
      <c r="S16" s="44"/>
      <c r="T16" s="44"/>
      <c r="U16" s="44"/>
      <c r="V16" s="44"/>
      <c r="W16" s="44"/>
      <c r="X16" s="44"/>
      <c r="Y16" s="44"/>
      <c r="Z16" s="44"/>
      <c r="AA16" s="44"/>
      <c r="AB16" s="44"/>
    </row>
    <row r="17" spans="1:28">
      <c r="A17" s="44" t="s">
        <v>715</v>
      </c>
      <c r="B17" s="47" t="s">
        <v>346</v>
      </c>
      <c r="C17" s="7">
        <v>2023</v>
      </c>
      <c r="D17" s="44" t="s">
        <v>347</v>
      </c>
      <c r="E17" s="44" t="s">
        <v>9</v>
      </c>
      <c r="F17" s="44" t="s">
        <v>72</v>
      </c>
      <c r="G17" s="44"/>
      <c r="H17" s="44"/>
      <c r="I17" s="44"/>
      <c r="J17" s="44"/>
      <c r="K17" s="44"/>
      <c r="L17" s="44"/>
      <c r="M17" s="44"/>
      <c r="N17" s="44"/>
      <c r="O17" s="44"/>
      <c r="P17" s="44"/>
      <c r="Q17" s="44"/>
      <c r="R17" s="44"/>
      <c r="S17" s="44"/>
      <c r="T17" s="44"/>
      <c r="U17" s="44"/>
      <c r="V17" s="44"/>
      <c r="W17" s="44"/>
      <c r="X17" s="44"/>
      <c r="Y17" s="44"/>
      <c r="Z17" s="44"/>
      <c r="AA17" s="44"/>
      <c r="AB17" s="44"/>
    </row>
    <row r="18" spans="1:28">
      <c r="A18" s="44" t="s">
        <v>328</v>
      </c>
      <c r="B18" s="47" t="s">
        <v>419</v>
      </c>
      <c r="C18" s="7">
        <v>2024</v>
      </c>
      <c r="D18" s="44" t="s">
        <v>420</v>
      </c>
      <c r="E18" s="44" t="s">
        <v>9</v>
      </c>
      <c r="F18" s="44" t="s">
        <v>72</v>
      </c>
      <c r="G18" s="44"/>
      <c r="H18" s="44"/>
      <c r="I18" s="44"/>
      <c r="J18" s="44"/>
      <c r="K18" s="44"/>
      <c r="L18" s="44"/>
      <c r="M18" s="44"/>
      <c r="N18" s="44"/>
      <c r="O18" s="44"/>
      <c r="P18" s="44"/>
      <c r="Q18" s="44"/>
      <c r="R18" s="44"/>
      <c r="S18" s="44"/>
      <c r="T18" s="44"/>
      <c r="U18" s="44"/>
      <c r="V18" s="44"/>
      <c r="W18" s="44"/>
      <c r="X18" s="44"/>
      <c r="Y18" s="44"/>
      <c r="Z18" s="44"/>
      <c r="AA18" s="44"/>
      <c r="AB18" s="44"/>
    </row>
    <row r="19" spans="1:28">
      <c r="A19" s="44" t="s">
        <v>329</v>
      </c>
      <c r="B19" s="47" t="s">
        <v>43</v>
      </c>
      <c r="C19" s="7">
        <v>2022</v>
      </c>
      <c r="D19" s="44" t="s">
        <v>44</v>
      </c>
      <c r="E19" s="44" t="s">
        <v>19</v>
      </c>
      <c r="F19" s="44" t="s">
        <v>72</v>
      </c>
      <c r="G19" s="44"/>
      <c r="H19" s="44"/>
      <c r="I19" s="44"/>
      <c r="J19" s="44"/>
      <c r="K19" s="44"/>
      <c r="L19" s="44"/>
      <c r="M19" s="44"/>
      <c r="N19" s="44"/>
      <c r="O19" s="44"/>
      <c r="P19" s="44"/>
      <c r="Q19" s="44"/>
      <c r="R19" s="44"/>
      <c r="S19" s="44"/>
      <c r="T19" s="44"/>
      <c r="U19" s="44"/>
      <c r="V19" s="44"/>
      <c r="W19" s="44"/>
      <c r="X19" s="44"/>
      <c r="Y19" s="44"/>
      <c r="Z19" s="44"/>
      <c r="AA19" s="44"/>
      <c r="AB19" s="44"/>
    </row>
    <row r="20" spans="1:28">
      <c r="A20" s="5" t="s">
        <v>332</v>
      </c>
      <c r="B20" s="11" t="s">
        <v>14</v>
      </c>
      <c r="C20" s="9">
        <v>2021</v>
      </c>
      <c r="D20" s="5" t="s">
        <v>15</v>
      </c>
      <c r="E20" s="5" t="s">
        <v>9</v>
      </c>
      <c r="F20" s="44" t="s">
        <v>73</v>
      </c>
      <c r="G20" s="44"/>
      <c r="H20" s="44"/>
      <c r="I20" s="44"/>
      <c r="J20" s="44"/>
      <c r="K20" s="44"/>
      <c r="L20" s="44"/>
      <c r="M20" s="44"/>
      <c r="N20" s="44"/>
      <c r="O20" s="44"/>
      <c r="P20" s="44"/>
      <c r="Q20" s="44"/>
      <c r="R20" s="44"/>
      <c r="S20" s="44"/>
      <c r="T20" s="44"/>
      <c r="U20" s="44"/>
      <c r="V20" s="44"/>
      <c r="W20" s="44"/>
      <c r="X20" s="44"/>
      <c r="Y20" s="44"/>
      <c r="Z20" s="44"/>
      <c r="AA20" s="44"/>
      <c r="AB20" s="44"/>
    </row>
    <row r="21" spans="1:28">
      <c r="A21" s="44" t="s">
        <v>333</v>
      </c>
      <c r="B21" s="47" t="s">
        <v>334</v>
      </c>
      <c r="C21" s="7">
        <v>2023</v>
      </c>
      <c r="D21" s="44" t="s">
        <v>335</v>
      </c>
      <c r="E21" s="44" t="s">
        <v>9</v>
      </c>
      <c r="F21" s="44" t="s">
        <v>72</v>
      </c>
      <c r="G21" s="44"/>
      <c r="H21" s="44"/>
      <c r="I21" s="44"/>
      <c r="J21" s="44"/>
      <c r="K21" s="44"/>
      <c r="L21" s="44"/>
      <c r="M21" s="44"/>
      <c r="N21" s="44"/>
      <c r="O21" s="44"/>
      <c r="P21" s="44"/>
      <c r="Q21" s="44"/>
      <c r="R21" s="44"/>
      <c r="S21" s="44"/>
      <c r="T21" s="44"/>
      <c r="U21" s="44"/>
      <c r="V21" s="44"/>
      <c r="W21" s="44"/>
      <c r="X21" s="44"/>
      <c r="Y21" s="44"/>
      <c r="Z21" s="44"/>
      <c r="AA21" s="44"/>
      <c r="AB21" s="44"/>
    </row>
    <row r="22" spans="1:28">
      <c r="A22" s="44" t="s">
        <v>341</v>
      </c>
      <c r="B22" s="47" t="s">
        <v>468</v>
      </c>
      <c r="C22" s="7">
        <v>2024</v>
      </c>
      <c r="D22" s="44" t="s">
        <v>469</v>
      </c>
      <c r="E22" s="44" t="s">
        <v>9</v>
      </c>
      <c r="F22" s="44" t="s">
        <v>72</v>
      </c>
      <c r="G22" s="44"/>
      <c r="H22" s="44"/>
      <c r="I22" s="44"/>
      <c r="J22" s="44"/>
      <c r="K22" s="44"/>
      <c r="L22" s="44"/>
      <c r="M22" s="44"/>
      <c r="N22" s="44"/>
      <c r="O22" s="44"/>
      <c r="P22" s="44"/>
      <c r="Q22" s="44"/>
      <c r="R22" s="44"/>
      <c r="S22" s="44"/>
      <c r="T22" s="44"/>
      <c r="U22" s="44"/>
      <c r="V22" s="44"/>
      <c r="W22" s="44"/>
      <c r="X22" s="44"/>
      <c r="Y22" s="44"/>
      <c r="Z22" s="44"/>
      <c r="AA22" s="44"/>
      <c r="AB22" s="44"/>
    </row>
    <row r="23" spans="1:28">
      <c r="A23" s="44" t="s">
        <v>345</v>
      </c>
      <c r="B23" s="47" t="s">
        <v>425</v>
      </c>
      <c r="C23" s="7">
        <v>2024</v>
      </c>
      <c r="D23" s="44" t="s">
        <v>426</v>
      </c>
      <c r="E23" s="44" t="s">
        <v>9</v>
      </c>
      <c r="F23" s="44" t="s">
        <v>72</v>
      </c>
      <c r="G23" s="44"/>
      <c r="H23" s="44"/>
      <c r="I23" s="44"/>
      <c r="J23" s="44"/>
      <c r="K23" s="44"/>
      <c r="L23" s="44"/>
      <c r="M23" s="44"/>
      <c r="N23" s="44"/>
      <c r="O23" s="44"/>
      <c r="P23" s="44"/>
      <c r="Q23" s="44"/>
      <c r="R23" s="44"/>
      <c r="S23" s="44"/>
      <c r="T23" s="44"/>
      <c r="U23" s="44"/>
      <c r="V23" s="44"/>
      <c r="W23" s="44"/>
      <c r="X23" s="44"/>
      <c r="Y23" s="44"/>
      <c r="Z23" s="44"/>
      <c r="AA23" s="44"/>
      <c r="AB23" s="44"/>
    </row>
    <row r="24" spans="1:28">
      <c r="A24" s="44" t="s">
        <v>349</v>
      </c>
      <c r="B24" s="47" t="s">
        <v>294</v>
      </c>
      <c r="C24" s="7">
        <v>2022</v>
      </c>
      <c r="D24" s="44" t="s">
        <v>295</v>
      </c>
      <c r="E24" s="44" t="s">
        <v>9</v>
      </c>
      <c r="F24" s="44" t="s">
        <v>72</v>
      </c>
      <c r="G24" s="44"/>
      <c r="H24" s="44"/>
      <c r="I24" s="44"/>
      <c r="J24" s="44"/>
      <c r="K24" s="44"/>
      <c r="L24" s="44"/>
      <c r="M24" s="44"/>
      <c r="N24" s="44"/>
      <c r="O24" s="44"/>
      <c r="P24" s="44"/>
      <c r="Q24" s="44"/>
      <c r="R24" s="44"/>
      <c r="S24" s="44"/>
      <c r="T24" s="44"/>
      <c r="U24" s="44"/>
      <c r="V24" s="44"/>
      <c r="W24" s="44"/>
      <c r="X24" s="44"/>
      <c r="Y24" s="44"/>
      <c r="Z24" s="44"/>
      <c r="AA24" s="44"/>
      <c r="AB24" s="44"/>
    </row>
    <row r="25" spans="1:28">
      <c r="A25" s="5" t="s">
        <v>355</v>
      </c>
      <c r="B25" s="11" t="s">
        <v>16</v>
      </c>
      <c r="C25" s="9">
        <v>2021</v>
      </c>
      <c r="D25" s="5" t="s">
        <v>17</v>
      </c>
      <c r="E25" s="5" t="s">
        <v>9</v>
      </c>
      <c r="F25" s="44" t="s">
        <v>72</v>
      </c>
      <c r="G25" s="44"/>
      <c r="H25" s="44"/>
      <c r="I25" s="44"/>
      <c r="J25" s="44"/>
      <c r="K25" s="44"/>
      <c r="L25" s="44"/>
      <c r="M25" s="44"/>
      <c r="N25" s="44"/>
      <c r="O25" s="44"/>
      <c r="P25" s="44"/>
      <c r="Q25" s="44"/>
      <c r="R25" s="44"/>
      <c r="S25" s="44"/>
      <c r="T25" s="44"/>
      <c r="U25" s="44"/>
      <c r="V25" s="44"/>
      <c r="W25" s="44"/>
      <c r="X25" s="44"/>
      <c r="Y25" s="44"/>
      <c r="Z25" s="44"/>
      <c r="AA25" s="44"/>
      <c r="AB25" s="44"/>
    </row>
    <row r="26" spans="1:28">
      <c r="A26" s="44" t="s">
        <v>366</v>
      </c>
      <c r="B26" s="47" t="s">
        <v>48</v>
      </c>
      <c r="C26" s="7">
        <v>2022</v>
      </c>
      <c r="D26" s="44" t="s">
        <v>49</v>
      </c>
      <c r="E26" s="44" t="s">
        <v>9</v>
      </c>
      <c r="F26" s="44" t="s">
        <v>72</v>
      </c>
      <c r="G26" s="44"/>
      <c r="H26" s="44"/>
      <c r="I26" s="44"/>
      <c r="J26" s="44"/>
      <c r="K26" s="44"/>
      <c r="L26" s="44"/>
      <c r="M26" s="44"/>
      <c r="N26" s="44"/>
      <c r="O26" s="44"/>
      <c r="P26" s="44"/>
      <c r="Q26" s="44"/>
      <c r="R26" s="44"/>
      <c r="S26" s="44"/>
      <c r="T26" s="44"/>
      <c r="U26" s="44"/>
      <c r="V26" s="44"/>
      <c r="W26" s="44"/>
      <c r="X26" s="44"/>
      <c r="Y26" s="44"/>
      <c r="Z26" s="44"/>
      <c r="AA26" s="44"/>
      <c r="AB26" s="44"/>
    </row>
    <row r="27" spans="1:28">
      <c r="A27" s="44" t="s">
        <v>369</v>
      </c>
      <c r="B27" s="47" t="s">
        <v>897</v>
      </c>
      <c r="C27" s="7">
        <v>2022</v>
      </c>
      <c r="D27" s="44" t="s">
        <v>273</v>
      </c>
      <c r="E27" s="44" t="s">
        <v>9</v>
      </c>
      <c r="F27" s="44" t="s">
        <v>72</v>
      </c>
      <c r="G27" s="44"/>
      <c r="H27" s="44"/>
      <c r="I27" s="44"/>
      <c r="J27" s="44"/>
      <c r="K27" s="44"/>
      <c r="L27" s="44"/>
      <c r="M27" s="44"/>
      <c r="N27" s="44"/>
      <c r="O27" s="44"/>
      <c r="P27" s="44"/>
      <c r="Q27" s="44"/>
      <c r="R27" s="44"/>
      <c r="S27" s="44"/>
      <c r="T27" s="44"/>
      <c r="U27" s="44"/>
      <c r="V27" s="44"/>
      <c r="W27" s="44"/>
      <c r="X27" s="44"/>
      <c r="Y27" s="44"/>
      <c r="Z27" s="44"/>
      <c r="AA27" s="44"/>
      <c r="AB27" s="44"/>
    </row>
    <row r="28" spans="1:28">
      <c r="A28" s="5" t="s">
        <v>374</v>
      </c>
      <c r="B28" s="11" t="s">
        <v>898</v>
      </c>
      <c r="C28" s="9">
        <v>2021</v>
      </c>
      <c r="D28" s="5" t="s">
        <v>18</v>
      </c>
      <c r="E28" s="5" t="s">
        <v>9</v>
      </c>
      <c r="F28" s="44" t="s">
        <v>72</v>
      </c>
      <c r="G28" s="44"/>
      <c r="H28" s="44"/>
      <c r="I28" s="44"/>
      <c r="J28" s="44"/>
      <c r="K28" s="44"/>
      <c r="L28" s="44"/>
      <c r="M28" s="44"/>
      <c r="N28" s="44"/>
      <c r="O28" s="44"/>
      <c r="P28" s="44"/>
      <c r="Q28" s="44"/>
      <c r="R28" s="44"/>
      <c r="S28" s="44"/>
      <c r="T28" s="44"/>
      <c r="U28" s="44"/>
      <c r="V28" s="44"/>
      <c r="W28" s="44"/>
      <c r="X28" s="44"/>
      <c r="Y28" s="44"/>
      <c r="Z28" s="44"/>
      <c r="AA28" s="44"/>
      <c r="AB28" s="44"/>
    </row>
    <row r="29" spans="1:28">
      <c r="A29" s="44" t="s">
        <v>384</v>
      </c>
      <c r="B29" s="47" t="s">
        <v>356</v>
      </c>
      <c r="C29" s="7">
        <v>2024</v>
      </c>
      <c r="D29" s="44" t="s">
        <v>357</v>
      </c>
      <c r="E29" s="44" t="s">
        <v>9</v>
      </c>
      <c r="F29" s="44" t="s">
        <v>72</v>
      </c>
      <c r="G29" s="44"/>
      <c r="H29" s="44"/>
      <c r="I29" s="44"/>
      <c r="J29" s="44"/>
      <c r="K29" s="44"/>
      <c r="L29" s="44"/>
      <c r="M29" s="44"/>
      <c r="N29" s="44"/>
      <c r="O29" s="44"/>
      <c r="P29" s="44"/>
      <c r="Q29" s="44"/>
      <c r="R29" s="44"/>
      <c r="S29" s="44"/>
      <c r="T29" s="44"/>
      <c r="U29" s="44"/>
      <c r="V29" s="44"/>
      <c r="W29" s="44"/>
      <c r="X29" s="44"/>
      <c r="Y29" s="44"/>
      <c r="Z29" s="44"/>
      <c r="AA29" s="44"/>
      <c r="AB29" s="44"/>
    </row>
    <row r="30" spans="1:28" ht="15" customHeight="1">
      <c r="A30" s="44" t="s">
        <v>716</v>
      </c>
      <c r="B30" s="47" t="s">
        <v>579</v>
      </c>
      <c r="C30" s="7">
        <v>2022</v>
      </c>
      <c r="D30" s="44" t="s">
        <v>578</v>
      </c>
      <c r="E30" s="44" t="s">
        <v>9</v>
      </c>
      <c r="F30" s="44" t="s">
        <v>72</v>
      </c>
    </row>
    <row r="31" spans="1:28">
      <c r="A31" s="44" t="s">
        <v>395</v>
      </c>
      <c r="B31" s="44" t="s">
        <v>330</v>
      </c>
      <c r="C31" s="7">
        <v>2023</v>
      </c>
      <c r="D31" s="44" t="s">
        <v>331</v>
      </c>
      <c r="E31" s="44" t="s">
        <v>9</v>
      </c>
      <c r="F31" s="44" t="s">
        <v>73</v>
      </c>
      <c r="G31" s="44"/>
      <c r="H31" s="44"/>
      <c r="I31" s="44"/>
      <c r="J31" s="44"/>
      <c r="K31" s="44"/>
      <c r="L31" s="44"/>
      <c r="M31" s="44"/>
      <c r="N31" s="44"/>
      <c r="O31" s="44"/>
      <c r="P31" s="44"/>
      <c r="Q31" s="44"/>
      <c r="R31" s="44"/>
      <c r="S31" s="44"/>
      <c r="T31" s="44"/>
      <c r="U31" s="44"/>
      <c r="V31" s="44"/>
      <c r="W31" s="44"/>
      <c r="X31" s="44"/>
      <c r="Y31" s="44"/>
      <c r="Z31" s="44"/>
      <c r="AA31" s="44"/>
      <c r="AB31" s="44"/>
    </row>
    <row r="32" spans="1:28">
      <c r="A32" s="44" t="s">
        <v>402</v>
      </c>
      <c r="B32" s="44" t="s">
        <v>321</v>
      </c>
      <c r="C32" s="7">
        <v>2024</v>
      </c>
      <c r="D32" s="44" t="s">
        <v>322</v>
      </c>
      <c r="E32" s="44" t="s">
        <v>9</v>
      </c>
      <c r="F32" s="44" t="s">
        <v>73</v>
      </c>
      <c r="G32" s="44"/>
      <c r="H32" s="44"/>
      <c r="I32" s="44"/>
      <c r="J32" s="44"/>
      <c r="K32" s="44"/>
      <c r="L32" s="44"/>
      <c r="M32" s="44"/>
      <c r="N32" s="44"/>
      <c r="O32" s="44"/>
      <c r="P32" s="44"/>
      <c r="Q32" s="44"/>
      <c r="R32" s="44"/>
      <c r="S32" s="44"/>
      <c r="T32" s="44"/>
      <c r="U32" s="44"/>
      <c r="V32" s="44"/>
      <c r="W32" s="44"/>
      <c r="X32" s="44"/>
      <c r="Y32" s="44"/>
      <c r="Z32" s="44"/>
      <c r="AA32" s="44"/>
      <c r="AB32" s="44"/>
    </row>
    <row r="33" spans="1:28">
      <c r="A33" s="44" t="s">
        <v>411</v>
      </c>
      <c r="B33" s="44" t="s">
        <v>403</v>
      </c>
      <c r="C33" s="7">
        <v>2023</v>
      </c>
      <c r="D33" s="44" t="s">
        <v>404</v>
      </c>
      <c r="E33" s="44" t="s">
        <v>9</v>
      </c>
      <c r="F33" s="44" t="s">
        <v>72</v>
      </c>
      <c r="G33" s="44"/>
      <c r="H33" s="44"/>
      <c r="I33" s="44"/>
      <c r="J33" s="44"/>
      <c r="K33" s="44"/>
      <c r="L33" s="44"/>
      <c r="M33" s="44"/>
      <c r="N33" s="44"/>
      <c r="O33" s="44"/>
      <c r="P33" s="44"/>
      <c r="Q33" s="44"/>
      <c r="R33" s="44"/>
      <c r="S33" s="44"/>
      <c r="T33" s="44"/>
      <c r="U33" s="44"/>
      <c r="V33" s="44"/>
      <c r="W33" s="44"/>
      <c r="X33" s="44"/>
      <c r="Y33" s="44"/>
      <c r="Z33" s="44"/>
      <c r="AA33" s="44"/>
      <c r="AB33" s="44"/>
    </row>
    <row r="34" spans="1:28">
      <c r="A34" s="44" t="s">
        <v>717</v>
      </c>
      <c r="B34" s="44" t="s">
        <v>367</v>
      </c>
      <c r="C34" s="7">
        <v>2024</v>
      </c>
      <c r="D34" s="44" t="s">
        <v>368</v>
      </c>
      <c r="E34" s="44" t="s">
        <v>9</v>
      </c>
      <c r="F34" s="44" t="s">
        <v>72</v>
      </c>
      <c r="G34" s="44"/>
      <c r="H34" s="44"/>
      <c r="I34" s="44"/>
      <c r="J34" s="44"/>
      <c r="K34" s="44"/>
      <c r="L34" s="44"/>
      <c r="M34" s="44"/>
      <c r="N34" s="44"/>
      <c r="O34" s="44"/>
      <c r="P34" s="44"/>
      <c r="Q34" s="44"/>
      <c r="R34" s="44"/>
      <c r="S34" s="44"/>
      <c r="T34" s="44"/>
      <c r="U34" s="44"/>
      <c r="V34" s="44"/>
      <c r="W34" s="44"/>
      <c r="X34" s="44"/>
      <c r="Y34" s="44"/>
      <c r="Z34" s="44"/>
      <c r="AA34" s="44"/>
      <c r="AB34" s="44"/>
    </row>
    <row r="35" spans="1:28">
      <c r="A35" s="44" t="s">
        <v>718</v>
      </c>
      <c r="B35" s="44" t="s">
        <v>51</v>
      </c>
      <c r="C35" s="7">
        <v>2022</v>
      </c>
      <c r="D35" s="44" t="s">
        <v>52</v>
      </c>
      <c r="E35" s="44" t="s">
        <v>9</v>
      </c>
      <c r="F35" s="44" t="s">
        <v>72</v>
      </c>
      <c r="G35" s="44"/>
      <c r="H35" s="44"/>
      <c r="I35" s="44"/>
      <c r="J35" s="44"/>
      <c r="K35" s="44"/>
      <c r="L35" s="44"/>
      <c r="M35" s="44"/>
      <c r="N35" s="44"/>
      <c r="O35" s="44"/>
      <c r="P35" s="44"/>
      <c r="Q35" s="44"/>
      <c r="R35" s="44"/>
      <c r="S35" s="44"/>
      <c r="T35" s="44"/>
      <c r="U35" s="44"/>
      <c r="V35" s="44"/>
      <c r="W35" s="44"/>
      <c r="X35" s="44"/>
      <c r="Y35" s="44"/>
      <c r="Z35" s="44"/>
      <c r="AA35" s="44"/>
      <c r="AB35" s="44"/>
    </row>
    <row r="36" spans="1:28">
      <c r="A36" s="44" t="s">
        <v>719</v>
      </c>
      <c r="B36" s="44" t="s">
        <v>609</v>
      </c>
      <c r="C36" s="7">
        <v>2022</v>
      </c>
      <c r="D36" s="44" t="s">
        <v>608</v>
      </c>
      <c r="E36" s="44" t="s">
        <v>9</v>
      </c>
      <c r="F36" s="44" t="s">
        <v>72</v>
      </c>
      <c r="G36" s="44"/>
      <c r="H36" s="44"/>
      <c r="I36" s="44"/>
      <c r="J36" s="44"/>
      <c r="K36" s="44"/>
      <c r="L36" s="44"/>
      <c r="M36" s="44"/>
      <c r="N36" s="44"/>
      <c r="O36" s="44"/>
      <c r="P36" s="44"/>
      <c r="Q36" s="44"/>
      <c r="R36" s="44"/>
      <c r="S36" s="44"/>
      <c r="T36" s="44"/>
      <c r="U36" s="44"/>
      <c r="V36" s="44"/>
      <c r="W36" s="44"/>
      <c r="X36" s="44"/>
      <c r="Y36" s="44"/>
      <c r="Z36" s="44"/>
      <c r="AA36" s="44"/>
      <c r="AB36" s="44"/>
    </row>
    <row r="37" spans="1:28">
      <c r="A37" s="44" t="s">
        <v>720</v>
      </c>
      <c r="B37" s="44" t="s">
        <v>385</v>
      </c>
      <c r="C37" s="7">
        <v>2024</v>
      </c>
      <c r="D37" s="44" t="s">
        <v>386</v>
      </c>
      <c r="E37" s="44" t="s">
        <v>9</v>
      </c>
      <c r="F37" s="44" t="s">
        <v>72</v>
      </c>
      <c r="G37" s="44"/>
      <c r="H37" s="44"/>
      <c r="I37" s="44"/>
      <c r="J37" s="44"/>
      <c r="K37" s="44"/>
      <c r="L37" s="44"/>
      <c r="M37" s="44"/>
      <c r="N37" s="44"/>
      <c r="O37" s="44"/>
      <c r="P37" s="44"/>
      <c r="Q37" s="44"/>
      <c r="R37" s="44"/>
      <c r="S37" s="44"/>
      <c r="T37" s="44"/>
      <c r="U37" s="44"/>
      <c r="V37" s="44"/>
      <c r="W37" s="44"/>
      <c r="X37" s="44"/>
      <c r="Y37" s="44"/>
      <c r="Z37" s="44"/>
      <c r="AA37" s="44"/>
      <c r="AB37" s="44"/>
    </row>
    <row r="38" spans="1:28">
      <c r="A38" s="44" t="s">
        <v>721</v>
      </c>
      <c r="B38" s="44" t="s">
        <v>371</v>
      </c>
      <c r="C38" s="7">
        <v>2024</v>
      </c>
      <c r="D38" s="44" t="s">
        <v>370</v>
      </c>
      <c r="E38" s="44" t="s">
        <v>9</v>
      </c>
      <c r="F38" s="44" t="s">
        <v>72</v>
      </c>
      <c r="G38" s="44"/>
      <c r="H38" s="44"/>
      <c r="I38" s="44"/>
      <c r="J38" s="44"/>
      <c r="K38" s="44"/>
      <c r="L38" s="44"/>
      <c r="M38" s="44"/>
      <c r="N38" s="44"/>
      <c r="O38" s="44"/>
      <c r="P38" s="44"/>
      <c r="Q38" s="44"/>
      <c r="R38" s="44"/>
      <c r="S38" s="44"/>
      <c r="T38" s="44"/>
      <c r="U38" s="44"/>
      <c r="V38" s="44"/>
      <c r="W38" s="44"/>
      <c r="X38" s="44"/>
      <c r="Y38" s="44"/>
      <c r="Z38" s="44"/>
      <c r="AA38" s="44"/>
      <c r="AB38" s="44"/>
    </row>
    <row r="39" spans="1:28">
      <c r="A39" s="44" t="s">
        <v>722</v>
      </c>
      <c r="B39" s="44" t="s">
        <v>895</v>
      </c>
      <c r="C39" s="7">
        <v>2022</v>
      </c>
      <c r="D39" s="44" t="s">
        <v>60</v>
      </c>
      <c r="E39" s="44" t="s">
        <v>19</v>
      </c>
      <c r="F39" s="44" t="s">
        <v>73</v>
      </c>
      <c r="G39" s="44"/>
      <c r="H39" s="44"/>
      <c r="I39" s="44"/>
      <c r="J39" s="44"/>
      <c r="K39" s="44"/>
      <c r="L39" s="44"/>
      <c r="M39" s="44"/>
      <c r="N39" s="44"/>
      <c r="O39" s="44"/>
      <c r="P39" s="44"/>
      <c r="Q39" s="44"/>
      <c r="R39" s="44"/>
      <c r="S39" s="44"/>
      <c r="T39" s="44"/>
      <c r="U39" s="44"/>
      <c r="V39" s="44"/>
      <c r="W39" s="44"/>
      <c r="X39" s="44"/>
      <c r="Y39" s="44"/>
      <c r="Z39" s="44"/>
      <c r="AA39" s="44"/>
      <c r="AB39" s="44"/>
    </row>
    <row r="40" spans="1:28">
      <c r="A40" s="44" t="s">
        <v>723</v>
      </c>
      <c r="B40" s="44" t="s">
        <v>896</v>
      </c>
      <c r="C40" s="7">
        <v>2023</v>
      </c>
      <c r="D40" s="44" t="s">
        <v>391</v>
      </c>
      <c r="E40" s="44" t="s">
        <v>9</v>
      </c>
      <c r="F40" s="44" t="s">
        <v>72</v>
      </c>
      <c r="G40" s="44"/>
      <c r="H40" s="44"/>
      <c r="I40" s="44"/>
      <c r="J40" s="44"/>
      <c r="K40" s="44"/>
      <c r="L40" s="44"/>
      <c r="M40" s="44"/>
      <c r="N40" s="44"/>
      <c r="O40" s="44"/>
      <c r="P40" s="44"/>
      <c r="Q40" s="44"/>
      <c r="R40" s="44"/>
      <c r="S40" s="44"/>
      <c r="T40" s="44"/>
      <c r="U40" s="44"/>
      <c r="V40" s="44"/>
      <c r="W40" s="44"/>
      <c r="X40" s="44"/>
      <c r="Y40" s="44"/>
      <c r="Z40" s="44"/>
      <c r="AA40" s="44"/>
      <c r="AB40" s="44"/>
    </row>
    <row r="41" spans="1:28">
      <c r="A41" s="44" t="s">
        <v>724</v>
      </c>
      <c r="B41" s="44" t="s">
        <v>57</v>
      </c>
      <c r="C41" s="7">
        <v>2023</v>
      </c>
      <c r="D41" s="44" t="s">
        <v>58</v>
      </c>
      <c r="E41" s="44" t="s">
        <v>9</v>
      </c>
      <c r="F41" s="44" t="s">
        <v>72</v>
      </c>
      <c r="G41" s="44"/>
      <c r="H41" s="44"/>
      <c r="I41" s="44"/>
      <c r="J41" s="44"/>
      <c r="K41" s="44"/>
      <c r="L41" s="44"/>
      <c r="M41" s="44"/>
      <c r="N41" s="44"/>
      <c r="O41" s="44"/>
      <c r="P41" s="44"/>
      <c r="Q41" s="44"/>
      <c r="R41" s="44"/>
      <c r="S41" s="44"/>
      <c r="T41" s="44"/>
      <c r="U41" s="44"/>
      <c r="V41" s="44"/>
      <c r="W41" s="44"/>
      <c r="X41" s="44"/>
      <c r="Y41" s="44"/>
      <c r="Z41" s="44"/>
      <c r="AA41" s="44"/>
      <c r="AB41" s="44"/>
    </row>
    <row r="42" spans="1:28">
      <c r="A42" s="5" t="s">
        <v>725</v>
      </c>
      <c r="B42" s="6" t="s">
        <v>20</v>
      </c>
      <c r="C42" s="9">
        <v>2021</v>
      </c>
      <c r="D42" s="5" t="s">
        <v>21</v>
      </c>
      <c r="E42" s="5" t="s">
        <v>9</v>
      </c>
      <c r="F42" s="44" t="s">
        <v>72</v>
      </c>
      <c r="G42" s="44"/>
      <c r="H42" s="44"/>
      <c r="I42" s="44"/>
      <c r="J42" s="44"/>
      <c r="K42" s="44"/>
      <c r="L42" s="44"/>
      <c r="M42" s="44"/>
      <c r="N42" s="44"/>
      <c r="O42" s="44"/>
      <c r="P42" s="44"/>
      <c r="Q42" s="44"/>
      <c r="R42" s="44"/>
      <c r="S42" s="44"/>
      <c r="T42" s="44"/>
      <c r="U42" s="44"/>
      <c r="V42" s="44"/>
      <c r="W42" s="44"/>
      <c r="X42" s="44"/>
      <c r="Y42" s="44"/>
      <c r="Z42" s="44"/>
      <c r="AA42" s="44"/>
      <c r="AB42" s="44"/>
    </row>
    <row r="43" spans="1:28">
      <c r="A43" s="44" t="s">
        <v>726</v>
      </c>
      <c r="B43" s="44" t="s">
        <v>54</v>
      </c>
      <c r="C43" s="7">
        <v>2022</v>
      </c>
      <c r="D43" s="44" t="s">
        <v>55</v>
      </c>
      <c r="E43" s="44" t="s">
        <v>9</v>
      </c>
      <c r="F43" s="44" t="s">
        <v>72</v>
      </c>
      <c r="G43" s="44"/>
      <c r="H43" s="44"/>
      <c r="I43" s="44"/>
      <c r="J43" s="44"/>
      <c r="K43" s="44"/>
      <c r="L43" s="44"/>
      <c r="M43" s="44"/>
      <c r="N43" s="44"/>
      <c r="O43" s="44"/>
      <c r="P43" s="44"/>
      <c r="Q43" s="44"/>
      <c r="R43" s="44"/>
      <c r="S43" s="44"/>
      <c r="T43" s="44"/>
      <c r="U43" s="44"/>
      <c r="V43" s="44"/>
      <c r="W43" s="44"/>
      <c r="X43" s="44"/>
      <c r="Y43" s="44"/>
      <c r="Z43" s="44"/>
      <c r="AA43" s="44"/>
      <c r="AB43" s="44"/>
    </row>
    <row r="44" spans="1:28">
      <c r="A44" s="44" t="s">
        <v>727</v>
      </c>
      <c r="B44" s="44" t="s">
        <v>396</v>
      </c>
      <c r="C44" s="7">
        <v>2024</v>
      </c>
      <c r="D44" s="44" t="s">
        <v>397</v>
      </c>
      <c r="E44" s="44" t="s">
        <v>9</v>
      </c>
      <c r="F44" s="44" t="s">
        <v>72</v>
      </c>
      <c r="G44" s="44"/>
      <c r="H44" s="44"/>
      <c r="I44" s="44"/>
      <c r="J44" s="44"/>
      <c r="K44" s="44"/>
      <c r="L44" s="44"/>
      <c r="M44" s="44"/>
      <c r="N44" s="44"/>
      <c r="O44" s="44"/>
      <c r="P44" s="44"/>
      <c r="Q44" s="44"/>
      <c r="R44" s="44"/>
      <c r="S44" s="44"/>
      <c r="T44" s="44"/>
      <c r="U44" s="44"/>
      <c r="V44" s="44"/>
      <c r="W44" s="44"/>
      <c r="X44" s="44"/>
      <c r="Y44" s="44"/>
      <c r="Z44" s="44"/>
      <c r="AA44" s="44"/>
      <c r="AB44" s="44"/>
    </row>
    <row r="45" spans="1:28">
      <c r="A45" s="44" t="s">
        <v>728</v>
      </c>
      <c r="B45" s="44" t="s">
        <v>577</v>
      </c>
      <c r="C45" s="7">
        <v>2022</v>
      </c>
      <c r="D45" s="44" t="s">
        <v>576</v>
      </c>
      <c r="E45" s="44" t="s">
        <v>9</v>
      </c>
      <c r="F45" s="44" t="s">
        <v>72</v>
      </c>
      <c r="G45" s="44"/>
      <c r="H45" s="44"/>
      <c r="I45" s="44"/>
      <c r="J45" s="44"/>
      <c r="K45" s="44"/>
      <c r="L45" s="44"/>
      <c r="M45" s="44"/>
      <c r="N45" s="44"/>
      <c r="O45" s="44"/>
      <c r="P45" s="44"/>
      <c r="Q45" s="44"/>
      <c r="R45" s="44"/>
      <c r="S45" s="44"/>
      <c r="T45" s="44"/>
      <c r="U45" s="44"/>
      <c r="V45" s="44"/>
      <c r="W45" s="44"/>
      <c r="X45" s="44"/>
      <c r="Y45" s="44"/>
      <c r="Z45" s="44"/>
      <c r="AA45" s="44"/>
      <c r="AB45" s="44"/>
    </row>
    <row r="46" spans="1:28">
      <c r="A46" s="5" t="s">
        <v>729</v>
      </c>
      <c r="B46" s="6" t="s">
        <v>22</v>
      </c>
      <c r="C46" s="9">
        <v>2021</v>
      </c>
      <c r="D46" s="5" t="s">
        <v>23</v>
      </c>
      <c r="E46" s="5" t="s">
        <v>9</v>
      </c>
      <c r="F46" s="44" t="s">
        <v>72</v>
      </c>
      <c r="G46" s="44"/>
      <c r="H46" s="44"/>
      <c r="I46" s="44"/>
      <c r="J46" s="44"/>
      <c r="K46" s="44"/>
      <c r="L46" s="44"/>
      <c r="M46" s="44"/>
      <c r="N46" s="44"/>
      <c r="O46" s="44"/>
      <c r="P46" s="44"/>
      <c r="Q46" s="44"/>
      <c r="R46" s="44"/>
      <c r="S46" s="44"/>
      <c r="T46" s="44"/>
      <c r="U46" s="44"/>
      <c r="V46" s="44"/>
      <c r="W46" s="44"/>
      <c r="X46" s="44"/>
      <c r="Y46" s="44"/>
      <c r="Z46" s="44"/>
      <c r="AA46" s="44"/>
      <c r="AB46" s="44"/>
    </row>
    <row r="47" spans="1:28">
      <c r="A47" s="44" t="s">
        <v>730</v>
      </c>
      <c r="B47" s="44" t="s">
        <v>575</v>
      </c>
      <c r="C47" s="7">
        <v>2022</v>
      </c>
      <c r="D47" s="44" t="s">
        <v>574</v>
      </c>
      <c r="E47" s="44" t="s">
        <v>19</v>
      </c>
      <c r="F47" s="44" t="s">
        <v>72</v>
      </c>
      <c r="G47" s="44"/>
      <c r="H47" s="44"/>
      <c r="I47" s="44"/>
      <c r="J47" s="44"/>
      <c r="K47" s="44"/>
      <c r="L47" s="44"/>
      <c r="M47" s="44"/>
      <c r="N47" s="44"/>
      <c r="O47" s="44"/>
      <c r="P47" s="44"/>
      <c r="Q47" s="44"/>
      <c r="R47" s="44"/>
      <c r="S47" s="44"/>
      <c r="T47" s="44"/>
      <c r="U47" s="44"/>
      <c r="V47" s="44"/>
      <c r="W47" s="44"/>
      <c r="X47" s="44"/>
      <c r="Y47" s="44"/>
      <c r="Z47" s="44"/>
      <c r="AA47" s="44"/>
      <c r="AB47" s="44"/>
    </row>
    <row r="48" spans="1:28">
      <c r="A48" s="5" t="s">
        <v>731</v>
      </c>
      <c r="B48" s="6" t="s">
        <v>24</v>
      </c>
      <c r="C48" s="9">
        <v>2021</v>
      </c>
      <c r="D48" s="5" t="s">
        <v>25</v>
      </c>
      <c r="E48" s="5" t="s">
        <v>19</v>
      </c>
      <c r="F48" s="44" t="s">
        <v>73</v>
      </c>
      <c r="G48" s="44"/>
      <c r="H48" s="44"/>
      <c r="I48" s="44"/>
      <c r="J48" s="44"/>
      <c r="K48" s="44"/>
      <c r="L48" s="44"/>
      <c r="M48" s="44"/>
      <c r="N48" s="44"/>
      <c r="O48" s="44"/>
      <c r="P48" s="44"/>
      <c r="Q48" s="44"/>
      <c r="R48" s="44"/>
      <c r="S48" s="44"/>
      <c r="T48" s="44"/>
      <c r="U48" s="44"/>
      <c r="V48" s="44"/>
      <c r="W48" s="44"/>
      <c r="X48" s="44"/>
      <c r="Y48" s="44"/>
      <c r="Z48" s="44"/>
      <c r="AA48" s="44"/>
      <c r="AB48" s="44"/>
    </row>
    <row r="49" spans="1:28">
      <c r="A49" s="5" t="s">
        <v>732</v>
      </c>
      <c r="B49" s="6" t="s">
        <v>26</v>
      </c>
      <c r="C49" s="9">
        <v>2021</v>
      </c>
      <c r="D49" s="5" t="s">
        <v>27</v>
      </c>
      <c r="E49" s="5" t="s">
        <v>9</v>
      </c>
      <c r="F49" s="44" t="s">
        <v>72</v>
      </c>
      <c r="G49" s="44"/>
      <c r="H49" s="44"/>
      <c r="I49" s="44"/>
      <c r="J49" s="44"/>
      <c r="K49" s="44"/>
      <c r="L49" s="44"/>
      <c r="M49" s="44"/>
      <c r="N49" s="44"/>
      <c r="O49" s="44"/>
      <c r="P49" s="44"/>
      <c r="Q49" s="44"/>
      <c r="R49" s="44"/>
      <c r="S49" s="44"/>
      <c r="T49" s="44"/>
      <c r="U49" s="44"/>
      <c r="V49" s="44"/>
      <c r="W49" s="44"/>
      <c r="X49" s="44"/>
      <c r="Y49" s="44"/>
      <c r="Z49" s="44"/>
      <c r="AA49" s="44"/>
      <c r="AB49" s="44"/>
    </row>
    <row r="50" spans="1:28">
      <c r="A50" s="5" t="s">
        <v>733</v>
      </c>
      <c r="B50" s="6" t="s">
        <v>28</v>
      </c>
      <c r="C50" s="9">
        <v>2021</v>
      </c>
      <c r="D50" s="5" t="s">
        <v>29</v>
      </c>
      <c r="E50" s="5" t="s">
        <v>9</v>
      </c>
      <c r="F50" s="44" t="s">
        <v>72</v>
      </c>
      <c r="G50" s="44"/>
      <c r="H50" s="44"/>
      <c r="I50" s="44"/>
      <c r="J50" s="44"/>
      <c r="K50" s="44"/>
      <c r="L50" s="44"/>
      <c r="M50" s="44"/>
      <c r="N50" s="44"/>
      <c r="O50" s="44"/>
      <c r="P50" s="44"/>
      <c r="Q50" s="44"/>
      <c r="R50" s="44"/>
      <c r="S50" s="44"/>
      <c r="T50" s="44"/>
      <c r="U50" s="44"/>
      <c r="V50" s="44"/>
      <c r="W50" s="44"/>
      <c r="X50" s="44"/>
      <c r="Y50" s="44"/>
      <c r="Z50" s="44"/>
      <c r="AA50" s="44"/>
      <c r="AB50" s="44"/>
    </row>
    <row r="51" spans="1:28">
      <c r="A51" s="44" t="s">
        <v>734</v>
      </c>
      <c r="B51" s="44" t="s">
        <v>412</v>
      </c>
      <c r="C51" s="7">
        <v>2023</v>
      </c>
      <c r="D51" s="44" t="s">
        <v>413</v>
      </c>
      <c r="E51" s="44" t="s">
        <v>9</v>
      </c>
      <c r="F51" s="44" t="s">
        <v>73</v>
      </c>
      <c r="G51" s="44"/>
      <c r="H51" s="44"/>
      <c r="I51" s="44"/>
      <c r="J51" s="44"/>
      <c r="K51" s="44"/>
      <c r="L51" s="44"/>
      <c r="M51" s="44"/>
      <c r="N51" s="44"/>
      <c r="O51" s="44"/>
      <c r="P51" s="44"/>
      <c r="Q51" s="44"/>
      <c r="R51" s="44"/>
      <c r="S51" s="44"/>
      <c r="T51" s="44"/>
      <c r="U51" s="44"/>
      <c r="V51" s="44"/>
      <c r="W51" s="44"/>
      <c r="X51" s="44"/>
      <c r="Y51" s="44"/>
      <c r="Z51" s="44"/>
      <c r="AA51" s="44"/>
      <c r="AB51" s="44"/>
    </row>
    <row r="52" spans="1:28">
      <c r="A52" s="44" t="s">
        <v>735</v>
      </c>
      <c r="B52" s="44" t="s">
        <v>45</v>
      </c>
      <c r="C52" s="7">
        <v>2021</v>
      </c>
      <c r="D52" s="44" t="s">
        <v>46</v>
      </c>
      <c r="E52" s="44" t="s">
        <v>9</v>
      </c>
      <c r="F52" s="44" t="s">
        <v>72</v>
      </c>
      <c r="H52" s="44"/>
      <c r="I52" s="44"/>
      <c r="J52" s="44"/>
      <c r="K52" s="44"/>
      <c r="L52" s="44"/>
      <c r="M52" s="44"/>
      <c r="N52" s="44"/>
      <c r="O52" s="44"/>
      <c r="P52" s="44"/>
      <c r="Q52" s="44"/>
      <c r="R52" s="44"/>
      <c r="S52" s="44"/>
      <c r="T52" s="44"/>
      <c r="U52" s="44"/>
      <c r="V52" s="44"/>
      <c r="W52" s="44"/>
      <c r="X52" s="44"/>
      <c r="Y52" s="44"/>
      <c r="Z52" s="44"/>
      <c r="AA52" s="44"/>
      <c r="AB52" s="44"/>
    </row>
    <row r="53" spans="1:28">
      <c r="A53" s="44" t="s">
        <v>736</v>
      </c>
      <c r="B53" s="44" t="s">
        <v>315</v>
      </c>
      <c r="C53" s="7">
        <v>2024</v>
      </c>
      <c r="D53" s="44" t="s">
        <v>316</v>
      </c>
      <c r="E53" s="44" t="s">
        <v>9</v>
      </c>
      <c r="F53" s="44" t="s">
        <v>72</v>
      </c>
      <c r="G53" s="44"/>
      <c r="H53" s="44"/>
      <c r="I53" s="44"/>
      <c r="J53" s="44"/>
      <c r="K53" s="44"/>
      <c r="L53" s="44"/>
      <c r="M53" s="44"/>
      <c r="N53" s="44"/>
      <c r="O53" s="44"/>
      <c r="P53" s="44"/>
      <c r="Q53" s="44"/>
      <c r="R53" s="44"/>
      <c r="S53" s="44"/>
      <c r="T53" s="44"/>
      <c r="U53" s="44"/>
      <c r="V53" s="44"/>
      <c r="W53" s="44"/>
      <c r="X53" s="44"/>
      <c r="Y53" s="44"/>
      <c r="Z53" s="44"/>
      <c r="AA53" s="44"/>
      <c r="AB53" s="44"/>
    </row>
    <row r="54" spans="1:28">
      <c r="A54" s="44" t="s">
        <v>737</v>
      </c>
      <c r="B54" s="44" t="s">
        <v>786</v>
      </c>
      <c r="C54" s="7">
        <v>2025</v>
      </c>
      <c r="D54" s="44" t="s">
        <v>966</v>
      </c>
      <c r="E54" s="44" t="s">
        <v>9</v>
      </c>
      <c r="F54" s="44" t="s">
        <v>72</v>
      </c>
      <c r="H54" s="44"/>
      <c r="I54" s="44"/>
      <c r="J54" s="44"/>
      <c r="K54" s="44"/>
      <c r="L54" s="44"/>
      <c r="M54" s="44"/>
      <c r="N54" s="44"/>
      <c r="O54" s="44"/>
      <c r="P54" s="44"/>
      <c r="Q54" s="44"/>
      <c r="R54" s="44"/>
      <c r="S54" s="44"/>
      <c r="T54" s="44"/>
      <c r="U54" s="44"/>
      <c r="V54" s="44"/>
      <c r="W54" s="44"/>
      <c r="X54" s="44"/>
      <c r="Y54" s="44"/>
      <c r="Z54" s="44"/>
      <c r="AA54" s="44"/>
      <c r="AB54" s="44"/>
    </row>
    <row r="55" spans="1:28" ht="15" customHeight="1">
      <c r="A55" s="44" t="s">
        <v>738</v>
      </c>
      <c r="B55" s="44" t="s">
        <v>793</v>
      </c>
      <c r="C55" s="7">
        <v>2025</v>
      </c>
      <c r="D55" s="44" t="s">
        <v>792</v>
      </c>
      <c r="E55" s="44" t="s">
        <v>9</v>
      </c>
      <c r="F55" s="44" t="s">
        <v>72</v>
      </c>
    </row>
    <row r="56" spans="1:28">
      <c r="A56" s="44" t="s">
        <v>783</v>
      </c>
      <c r="B56" s="44" t="s">
        <v>784</v>
      </c>
      <c r="C56" s="7">
        <v>2025</v>
      </c>
      <c r="D56" s="44" t="s">
        <v>782</v>
      </c>
      <c r="E56" s="44" t="s">
        <v>9</v>
      </c>
      <c r="F56" s="44" t="s">
        <v>72</v>
      </c>
      <c r="H56" s="44"/>
      <c r="I56" s="44"/>
      <c r="J56" s="44"/>
      <c r="K56" s="44"/>
      <c r="L56" s="44"/>
      <c r="M56" s="44"/>
      <c r="N56" s="44"/>
      <c r="O56" s="44"/>
      <c r="P56" s="44"/>
      <c r="Q56" s="44"/>
      <c r="R56" s="44"/>
      <c r="S56" s="44"/>
      <c r="T56" s="44"/>
      <c r="U56" s="44"/>
      <c r="V56" s="44"/>
      <c r="W56" s="44"/>
      <c r="X56" s="44"/>
      <c r="Y56" s="44"/>
      <c r="Z56" s="44"/>
      <c r="AA56" s="44"/>
      <c r="AB56" s="44"/>
    </row>
    <row r="57" spans="1:28" ht="15" customHeight="1">
      <c r="A57" s="44" t="s">
        <v>785</v>
      </c>
      <c r="B57" s="44" t="s">
        <v>789</v>
      </c>
      <c r="C57" s="7">
        <v>2025</v>
      </c>
      <c r="D57" s="44" t="s">
        <v>787</v>
      </c>
      <c r="E57" s="44" t="s">
        <v>9</v>
      </c>
      <c r="F57" s="44" t="s">
        <v>72</v>
      </c>
    </row>
    <row r="58" spans="1:28">
      <c r="A58" s="44" t="s">
        <v>843</v>
      </c>
      <c r="B58" s="44" t="s">
        <v>812</v>
      </c>
      <c r="C58" s="7">
        <v>2024</v>
      </c>
      <c r="D58" s="44" t="s">
        <v>811</v>
      </c>
      <c r="E58" s="44" t="s">
        <v>19</v>
      </c>
      <c r="F58" s="44" t="s">
        <v>72</v>
      </c>
      <c r="G58" s="44"/>
      <c r="H58" s="44"/>
      <c r="I58" s="44"/>
      <c r="J58" s="44"/>
      <c r="K58" s="44"/>
      <c r="L58" s="44"/>
      <c r="M58" s="44"/>
      <c r="N58" s="44"/>
      <c r="O58" s="44"/>
      <c r="P58" s="44"/>
      <c r="Q58" s="44"/>
      <c r="R58" s="44"/>
      <c r="S58" s="44"/>
      <c r="T58" s="44"/>
      <c r="U58" s="44"/>
      <c r="V58" s="44"/>
      <c r="W58" s="44"/>
      <c r="X58" s="44"/>
      <c r="Y58" s="44"/>
      <c r="Z58" s="44"/>
      <c r="AA58" s="44"/>
      <c r="AB58" s="44"/>
    </row>
    <row r="59" spans="1:28">
      <c r="A59" s="44" t="s">
        <v>788</v>
      </c>
      <c r="B59" s="44" t="s">
        <v>819</v>
      </c>
      <c r="C59" s="7">
        <v>2025</v>
      </c>
      <c r="D59" s="44" t="s">
        <v>836</v>
      </c>
      <c r="E59" s="44" t="s">
        <v>9</v>
      </c>
      <c r="F59" s="44" t="s">
        <v>72</v>
      </c>
      <c r="G59" s="44"/>
      <c r="H59" s="44"/>
      <c r="I59" s="44"/>
      <c r="J59" s="44"/>
      <c r="K59" s="44"/>
      <c r="L59" s="44"/>
      <c r="M59" s="44"/>
      <c r="N59" s="44"/>
      <c r="O59" s="44"/>
      <c r="P59" s="44"/>
      <c r="Q59" s="44"/>
      <c r="R59" s="44"/>
      <c r="S59" s="44"/>
      <c r="T59" s="44"/>
      <c r="U59" s="44"/>
      <c r="V59" s="44"/>
      <c r="W59" s="44"/>
      <c r="X59" s="44"/>
      <c r="Y59" s="44"/>
      <c r="Z59" s="44"/>
      <c r="AA59" s="44"/>
      <c r="AB59" s="44"/>
    </row>
    <row r="60" spans="1:28">
      <c r="A60" s="44" t="s">
        <v>877</v>
      </c>
      <c r="B60" s="44" t="s">
        <v>845</v>
      </c>
      <c r="C60" s="7">
        <v>2025</v>
      </c>
      <c r="D60" s="44" t="s">
        <v>846</v>
      </c>
      <c r="E60" s="44" t="s">
        <v>19</v>
      </c>
      <c r="F60" s="44" t="s">
        <v>73</v>
      </c>
      <c r="G60" s="44"/>
      <c r="H60" s="44"/>
      <c r="I60" s="44"/>
      <c r="J60" s="44"/>
      <c r="K60" s="44"/>
      <c r="L60" s="44"/>
      <c r="M60" s="44"/>
      <c r="N60" s="44"/>
      <c r="O60" s="44"/>
      <c r="P60" s="44"/>
      <c r="Q60" s="44"/>
      <c r="R60" s="44"/>
      <c r="S60" s="44"/>
      <c r="T60" s="44"/>
      <c r="U60" s="44"/>
      <c r="V60" s="44"/>
      <c r="W60" s="44"/>
      <c r="X60" s="44"/>
      <c r="Y60" s="44"/>
      <c r="Z60" s="44"/>
      <c r="AA60" s="44"/>
      <c r="AB60" s="44"/>
    </row>
    <row r="61" spans="1:28" ht="15" customHeight="1">
      <c r="A61" s="44" t="s">
        <v>904</v>
      </c>
      <c r="B61" s="44" t="s">
        <v>812</v>
      </c>
      <c r="C61" s="7">
        <v>2023</v>
      </c>
      <c r="D61" t="s">
        <v>875</v>
      </c>
      <c r="E61" s="44" t="s">
        <v>9</v>
      </c>
      <c r="F61" s="44" t="s">
        <v>72</v>
      </c>
    </row>
    <row r="62" spans="1:28" ht="15" customHeight="1">
      <c r="A62" s="44" t="s">
        <v>905</v>
      </c>
      <c r="B62" s="44" t="s">
        <v>812</v>
      </c>
      <c r="C62" s="7">
        <v>2023</v>
      </c>
      <c r="D62" t="s">
        <v>876</v>
      </c>
      <c r="E62" s="44" t="s">
        <v>9</v>
      </c>
      <c r="F62" s="44" t="s">
        <v>72</v>
      </c>
    </row>
    <row r="63" spans="1:28">
      <c r="A63" s="44"/>
      <c r="B63" s="44"/>
      <c r="C63" s="7"/>
      <c r="D63" s="44"/>
      <c r="E63" s="44"/>
      <c r="F63" s="44"/>
      <c r="G63" s="44"/>
      <c r="H63" s="44"/>
      <c r="I63" s="44"/>
      <c r="J63" s="44"/>
      <c r="K63" s="44"/>
      <c r="L63" s="44"/>
      <c r="M63" s="44"/>
      <c r="N63" s="44"/>
      <c r="O63" s="44"/>
      <c r="P63" s="44"/>
      <c r="Q63" s="44"/>
      <c r="R63" s="44"/>
      <c r="S63" s="44"/>
      <c r="T63" s="44"/>
      <c r="U63" s="44"/>
      <c r="V63" s="44"/>
      <c r="W63" s="44"/>
      <c r="X63" s="44"/>
      <c r="Y63" s="44"/>
      <c r="Z63" s="44"/>
      <c r="AA63" s="44"/>
      <c r="AB63" s="44"/>
    </row>
    <row r="64" spans="1:28">
      <c r="A64" s="44" t="s">
        <v>844</v>
      </c>
      <c r="B64" s="44" t="s">
        <v>795</v>
      </c>
      <c r="C64" s="7">
        <v>2024</v>
      </c>
      <c r="D64" s="44" t="s">
        <v>794</v>
      </c>
      <c r="E64" s="44" t="s">
        <v>9</v>
      </c>
      <c r="F64" s="44" t="s">
        <v>958</v>
      </c>
      <c r="H64" s="44"/>
      <c r="I64" s="44"/>
      <c r="J64" s="44"/>
      <c r="K64" s="44"/>
      <c r="L64" s="44"/>
      <c r="M64" s="44"/>
      <c r="N64" s="44"/>
      <c r="O64" s="44"/>
      <c r="P64" s="44"/>
      <c r="Q64" s="44"/>
      <c r="R64" s="44"/>
      <c r="S64" s="44"/>
      <c r="T64" s="44"/>
      <c r="U64" s="44"/>
      <c r="V64" s="44"/>
      <c r="W64" s="44"/>
      <c r="X64" s="44"/>
      <c r="Y64" s="44"/>
      <c r="Z64" s="44"/>
      <c r="AA64" s="44"/>
      <c r="AB64" s="44"/>
    </row>
    <row r="65" spans="1:28">
      <c r="A65" s="44" t="s">
        <v>844</v>
      </c>
      <c r="B65" s="44" t="s">
        <v>791</v>
      </c>
      <c r="C65" s="7">
        <v>2024</v>
      </c>
      <c r="D65" s="44" t="s">
        <v>790</v>
      </c>
      <c r="E65" s="44" t="s">
        <v>9</v>
      </c>
      <c r="F65" s="44" t="s">
        <v>959</v>
      </c>
      <c r="H65" s="44"/>
      <c r="I65" s="44"/>
      <c r="J65" s="44"/>
      <c r="K65" s="44"/>
      <c r="L65" s="44"/>
      <c r="M65" s="44"/>
      <c r="N65" s="44"/>
      <c r="O65" s="44"/>
      <c r="P65" s="44"/>
      <c r="Q65" s="44"/>
      <c r="R65" s="44"/>
      <c r="S65" s="44"/>
      <c r="T65" s="44"/>
      <c r="U65" s="44"/>
      <c r="V65" s="44"/>
      <c r="W65" s="44"/>
      <c r="X65" s="44"/>
      <c r="Y65" s="44"/>
      <c r="Z65" s="44"/>
      <c r="AA65" s="44"/>
      <c r="AB65" s="44"/>
    </row>
    <row r="66" spans="1:28">
      <c r="A66" s="44" t="s">
        <v>844</v>
      </c>
      <c r="B66" s="44" t="s">
        <v>609</v>
      </c>
      <c r="C66" s="7">
        <v>2022</v>
      </c>
      <c r="D66" s="44" t="s">
        <v>849</v>
      </c>
      <c r="E66" s="44" t="s">
        <v>19</v>
      </c>
      <c r="F66" s="44" t="s">
        <v>960</v>
      </c>
      <c r="H66" s="44"/>
      <c r="I66" s="44"/>
      <c r="J66" s="44"/>
      <c r="K66" s="44"/>
      <c r="L66" s="44"/>
      <c r="M66" s="44"/>
      <c r="N66" s="44"/>
      <c r="O66" s="44"/>
      <c r="P66" s="44"/>
      <c r="Q66" s="44"/>
      <c r="R66" s="44"/>
      <c r="S66" s="44"/>
      <c r="T66" s="44"/>
      <c r="U66" s="44"/>
      <c r="V66" s="44"/>
      <c r="W66" s="44"/>
      <c r="X66" s="44"/>
      <c r="Y66" s="44"/>
      <c r="Z66" s="44"/>
      <c r="AA66" s="44"/>
      <c r="AB66" s="44"/>
    </row>
    <row r="67" spans="1:28" ht="12.75" customHeight="1">
      <c r="A67" s="44"/>
      <c r="B67" s="44"/>
      <c r="C67" s="7"/>
      <c r="D67" s="44"/>
      <c r="E67" s="44"/>
      <c r="F67" s="44"/>
      <c r="G67" s="44"/>
      <c r="H67" s="44"/>
      <c r="I67" s="44"/>
      <c r="J67" s="44"/>
      <c r="K67" s="44"/>
      <c r="L67" s="44"/>
      <c r="M67" s="44"/>
      <c r="N67" s="44"/>
      <c r="O67" s="44"/>
      <c r="P67" s="44"/>
      <c r="Q67" s="44"/>
      <c r="R67" s="44"/>
      <c r="S67" s="44"/>
      <c r="T67" s="44"/>
      <c r="U67" s="44"/>
      <c r="V67" s="44"/>
      <c r="W67" s="44"/>
      <c r="X67" s="44"/>
      <c r="Y67" s="44"/>
      <c r="Z67" s="44"/>
      <c r="AA67" s="44"/>
      <c r="AB67" s="44"/>
    </row>
    <row r="68" spans="1:28" ht="12.75" customHeight="1">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c r="AA68" s="44"/>
      <c r="AB68" s="44"/>
    </row>
    <row r="69" spans="1:28" ht="12.75" customHeight="1">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row>
    <row r="70" spans="1:28" ht="12.75" customHeight="1">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c r="AA70" s="44"/>
      <c r="AB70" s="44"/>
    </row>
    <row r="71" spans="1:28" ht="12.75" customHeight="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c r="AA71" s="44"/>
      <c r="AB71" s="44"/>
    </row>
    <row r="72" spans="1:28" ht="12.75" customHeight="1">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c r="AA72" s="44"/>
      <c r="AB72" s="44"/>
    </row>
    <row r="73" spans="1:28" ht="12.75" customHeight="1">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c r="AA73" s="44"/>
      <c r="AB73" s="44"/>
    </row>
    <row r="74" spans="1:28" ht="12.75" customHeight="1">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c r="AA74" s="44"/>
      <c r="AB74" s="44"/>
    </row>
    <row r="75" spans="1:28" ht="12.75" customHeight="1">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c r="AA75" s="44"/>
      <c r="AB75" s="44"/>
    </row>
    <row r="76" spans="1:28" ht="12.75" customHeight="1">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c r="AA76" s="44"/>
      <c r="AB76" s="44"/>
    </row>
    <row r="77" spans="1:28" ht="12.75" customHeight="1">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c r="AA77" s="44"/>
      <c r="AB77" s="44"/>
    </row>
    <row r="78" spans="1:28" ht="12.75" customHeight="1">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c r="AA78" s="44"/>
      <c r="AB78" s="44"/>
    </row>
    <row r="79" spans="1:28" ht="12.75" customHeight="1">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c r="AA79" s="44"/>
      <c r="AB79" s="44"/>
    </row>
    <row r="80" spans="1:28" ht="12.75" customHeight="1">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c r="AA80" s="44"/>
      <c r="AB80" s="44"/>
    </row>
    <row r="81" spans="1:28" ht="12.75" customHeight="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c r="AA81" s="44"/>
      <c r="AB81" s="44"/>
    </row>
    <row r="82" spans="1:28" ht="12.75" customHeight="1">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c r="AA82" s="44"/>
      <c r="AB82" s="44"/>
    </row>
    <row r="83" spans="1:28" ht="12.75" customHeight="1">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c r="AA83" s="44"/>
      <c r="AB83" s="44"/>
    </row>
    <row r="84" spans="1:28" ht="12.75" customHeight="1">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c r="AA84" s="44"/>
      <c r="AB84" s="44"/>
    </row>
    <row r="85" spans="1:28" ht="12.75" customHeight="1">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c r="AA85" s="44"/>
      <c r="AB85" s="44"/>
    </row>
    <row r="86" spans="1:28" ht="12.75" customHeight="1">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row>
    <row r="87" spans="1:28" ht="12.75" customHeight="1">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c r="AA87" s="44"/>
      <c r="AB87" s="44"/>
    </row>
    <row r="88" spans="1:28" ht="12.75" customHeight="1">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c r="AA88" s="44"/>
      <c r="AB88" s="44"/>
    </row>
    <row r="89" spans="1:28" ht="12.75" customHeight="1">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c r="AA89" s="44"/>
      <c r="AB89" s="44"/>
    </row>
    <row r="90" spans="1:28" ht="12.75" customHeight="1">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c r="AA90" s="44"/>
      <c r="AB90" s="44"/>
    </row>
    <row r="91" spans="1:28" ht="12.75" customHeight="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c r="AA91" s="44"/>
      <c r="AB91" s="44"/>
    </row>
    <row r="92" spans="1:28" ht="12.75" customHeight="1">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c r="AA92" s="44"/>
      <c r="AB92" s="44"/>
    </row>
    <row r="93" spans="1:28" ht="12.75" customHeight="1">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c r="AA93" s="44"/>
      <c r="AB93" s="44"/>
    </row>
    <row r="94" spans="1:28" ht="12.75" customHeight="1">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c r="AA94" s="44"/>
      <c r="AB94" s="44"/>
    </row>
    <row r="95" spans="1:28" ht="12.75" customHeight="1">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c r="AA95" s="44"/>
      <c r="AB95" s="44"/>
    </row>
    <row r="96" spans="1:28" ht="12.75" customHeight="1">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c r="AA96" s="44"/>
      <c r="AB96" s="44"/>
    </row>
    <row r="97" spans="1:28" ht="12.75" customHeight="1">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c r="AA97" s="44"/>
      <c r="AB97" s="44"/>
    </row>
    <row r="98" spans="1:28" ht="12.75" customHeight="1">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c r="AA98" s="44"/>
      <c r="AB98" s="44"/>
    </row>
    <row r="99" spans="1:28" ht="12.75" customHeight="1">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c r="AA99" s="44"/>
      <c r="AB99" s="44"/>
    </row>
    <row r="100" spans="1:28" ht="12.75" customHeight="1">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c r="AA100" s="44"/>
      <c r="AB100" s="44"/>
    </row>
    <row r="101" spans="1:28" ht="12.75" customHeight="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c r="AA101" s="44"/>
      <c r="AB101" s="44"/>
    </row>
    <row r="102" spans="1:28" ht="12.75" customHeight="1">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c r="AA102" s="44"/>
      <c r="AB102" s="44"/>
    </row>
    <row r="103" spans="1:28" ht="12.75" customHeight="1">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c r="AA103" s="44"/>
      <c r="AB103" s="44"/>
    </row>
    <row r="104" spans="1:28" ht="12.75" customHeight="1">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c r="AA104" s="44"/>
      <c r="AB104" s="44"/>
    </row>
    <row r="105" spans="1:28" ht="12.75" customHeight="1">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c r="AA105" s="44"/>
      <c r="AB105" s="44"/>
    </row>
    <row r="106" spans="1:28" ht="12.75" customHeight="1">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row>
    <row r="107" spans="1:28" ht="12.75" customHeight="1">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c r="AA107" s="44"/>
      <c r="AB107" s="44"/>
    </row>
    <row r="108" spans="1:28" ht="12.75" customHeight="1">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c r="AA108" s="44"/>
      <c r="AB108" s="44"/>
    </row>
    <row r="109" spans="1:28" ht="12.75" customHeight="1">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c r="AA109" s="44"/>
      <c r="AB109" s="44"/>
    </row>
    <row r="110" spans="1:28" ht="12.75" customHeight="1">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c r="AA110" s="44"/>
      <c r="AB110" s="44"/>
    </row>
    <row r="111" spans="1:28" ht="12.75" customHeight="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c r="AA111" s="44"/>
      <c r="AB111" s="44"/>
    </row>
    <row r="112" spans="1:28" ht="12.75" customHeight="1">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c r="AA112" s="44"/>
      <c r="AB112" s="44"/>
    </row>
    <row r="113" spans="1:28" ht="12.75" customHeight="1">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row>
    <row r="114" spans="1:28" ht="12.75" customHeight="1">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c r="AA114" s="44"/>
      <c r="AB114" s="44"/>
    </row>
    <row r="115" spans="1:28" ht="12.75" customHeight="1">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c r="AA115" s="44"/>
      <c r="AB115" s="44"/>
    </row>
    <row r="116" spans="1:28" ht="12.75" customHeight="1">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c r="AA116" s="44"/>
      <c r="AB116" s="44"/>
    </row>
    <row r="117" spans="1:28" ht="12.75" customHeight="1">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c r="AA117" s="44"/>
      <c r="AB117" s="44"/>
    </row>
    <row r="118" spans="1:28" ht="12.75" customHeight="1">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c r="AA118" s="44"/>
      <c r="AB118" s="44"/>
    </row>
    <row r="119" spans="1:28" ht="12.75" customHeight="1">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c r="AA119" s="44"/>
      <c r="AB119" s="44"/>
    </row>
    <row r="120" spans="1:28" ht="12.75" customHeight="1">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c r="AA120" s="44"/>
      <c r="AB120" s="44"/>
    </row>
    <row r="121" spans="1:28" ht="12.75" customHeight="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c r="AA121" s="44"/>
      <c r="AB121" s="44"/>
    </row>
    <row r="122" spans="1:28" ht="12.75" customHeight="1">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c r="AA122" s="44"/>
      <c r="AB122" s="44"/>
    </row>
    <row r="123" spans="1:28" ht="12.75" customHeight="1">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c r="AA123" s="44"/>
      <c r="AB123" s="44"/>
    </row>
    <row r="124" spans="1:28" ht="12.75" customHeight="1">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c r="AA124" s="44"/>
      <c r="AB124" s="44"/>
    </row>
    <row r="125" spans="1:28" ht="12.75" customHeight="1">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c r="AA125" s="44"/>
      <c r="AB125" s="44"/>
    </row>
    <row r="126" spans="1:28" ht="12.75" customHeight="1">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c r="AA126" s="44"/>
      <c r="AB126" s="44"/>
    </row>
    <row r="127" spans="1:28" ht="12.75" customHeight="1">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c r="AA127" s="44"/>
      <c r="AB127" s="44"/>
    </row>
    <row r="128" spans="1:28" ht="12.75" customHeight="1">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c r="AA128" s="44"/>
      <c r="AB128" s="44"/>
    </row>
    <row r="129" spans="1:28" ht="12.75" customHeight="1">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c r="AA129" s="44"/>
      <c r="AB129" s="44"/>
    </row>
    <row r="130" spans="1:28" ht="12.75" customHeight="1">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c r="AA130" s="44"/>
      <c r="AB130" s="44"/>
    </row>
    <row r="131" spans="1:28" ht="12.75" customHeight="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A131" s="44"/>
      <c r="AB131" s="44"/>
    </row>
    <row r="132" spans="1:28" ht="12.75" customHeight="1">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row>
    <row r="133" spans="1:28" ht="12.75" customHeight="1">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c r="AB133" s="44"/>
    </row>
    <row r="134" spans="1:28" ht="12.75" customHeight="1">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c r="AB134" s="44"/>
    </row>
    <row r="135" spans="1:28" ht="12.75" customHeight="1">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c r="AB135" s="44"/>
    </row>
    <row r="136" spans="1:28" ht="12.75" customHeight="1">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c r="AB136" s="44"/>
    </row>
    <row r="137" spans="1:28" ht="12.75" customHeight="1">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c r="AB137" s="44"/>
    </row>
    <row r="138" spans="1:28" ht="12.75" customHeight="1">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c r="AB138" s="44"/>
    </row>
    <row r="139" spans="1:28" ht="12.75" customHeight="1">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c r="AB139" s="44"/>
    </row>
    <row r="140" spans="1:28" ht="12.75" customHeight="1">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c r="AB140" s="44"/>
    </row>
    <row r="141" spans="1:28" ht="12.75" customHeight="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c r="AA141" s="44"/>
      <c r="AB141" s="44"/>
    </row>
    <row r="142" spans="1:28" ht="12.75" customHeight="1">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c r="AA142" s="44"/>
      <c r="AB142" s="44"/>
    </row>
    <row r="143" spans="1:28" ht="12.75" customHeight="1">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row>
    <row r="144" spans="1:28" ht="12.75" customHeight="1">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c r="AB144" s="44"/>
    </row>
    <row r="145" spans="1:28" ht="12.75" customHeight="1">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c r="AB145" s="44"/>
    </row>
    <row r="146" spans="1:28" ht="12.75" customHeight="1">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c r="AA146" s="44"/>
      <c r="AB146" s="44"/>
    </row>
    <row r="147" spans="1:28" ht="12.75" customHeight="1">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c r="AA147" s="44"/>
      <c r="AB147" s="44"/>
    </row>
    <row r="148" spans="1:28" ht="12.75" customHeight="1">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c r="AB148" s="44"/>
    </row>
    <row r="149" spans="1:28" ht="12.75" customHeight="1">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c r="AA149" s="44"/>
      <c r="AB149" s="44"/>
    </row>
    <row r="150" spans="1:28" ht="12.75" customHeight="1">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A150" s="44"/>
      <c r="AB150" s="44"/>
    </row>
    <row r="151" spans="1:28" ht="12.75" customHeight="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c r="AB151" s="44"/>
    </row>
    <row r="152" spans="1:28" ht="12.75" customHeight="1">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c r="AB152" s="44"/>
    </row>
    <row r="153" spans="1:28" ht="12.75" customHeight="1">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c r="AB153" s="44"/>
    </row>
    <row r="154" spans="1:28" ht="12.75" customHeight="1">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c r="AB154" s="44"/>
    </row>
    <row r="155" spans="1:28" ht="12.75" customHeight="1">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row>
    <row r="156" spans="1:28" ht="12.75" customHeight="1">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c r="AB156" s="44"/>
    </row>
    <row r="157" spans="1:28" ht="12.75" customHeight="1">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c r="AB157" s="44"/>
    </row>
    <row r="158" spans="1:28" ht="12.75" customHeight="1">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c r="AB158" s="44"/>
    </row>
    <row r="159" spans="1:28" ht="12.75" customHeight="1">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c r="AB159" s="44"/>
    </row>
    <row r="160" spans="1:28" ht="12.75" customHeight="1">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A160" s="44"/>
      <c r="AB160" s="44"/>
    </row>
    <row r="161" spans="1:28" ht="12.75" customHeight="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c r="AA161" s="44"/>
      <c r="AB161" s="44"/>
    </row>
    <row r="162" spans="1:28" ht="12.75" customHeight="1">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c r="AA162" s="44"/>
      <c r="AB162" s="44"/>
    </row>
    <row r="163" spans="1:28" ht="12.75" customHeight="1">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c r="AA163" s="44"/>
      <c r="AB163" s="44"/>
    </row>
    <row r="164" spans="1:28" ht="12.75" customHeight="1">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c r="AA164" s="44"/>
      <c r="AB164" s="44"/>
    </row>
    <row r="165" spans="1:28" ht="12.75" customHeight="1">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c r="AA165" s="44"/>
      <c r="AB165" s="44"/>
    </row>
    <row r="166" spans="1:28" ht="12.75" customHeight="1">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c r="AA166" s="44"/>
      <c r="AB166" s="44"/>
    </row>
    <row r="167" spans="1:28" ht="12.75" customHeight="1">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c r="AA167" s="44"/>
      <c r="AB167" s="44"/>
    </row>
    <row r="168" spans="1:28" ht="12.75" customHeight="1">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c r="AA168" s="44"/>
      <c r="AB168" s="44"/>
    </row>
    <row r="169" spans="1:28" ht="12.75" customHeight="1">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c r="AA169" s="44"/>
      <c r="AB169" s="44"/>
    </row>
    <row r="170" spans="1:28" ht="12.75" customHeight="1">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c r="AA170" s="44"/>
      <c r="AB170" s="44"/>
    </row>
    <row r="171" spans="1:28" ht="12.75" customHeight="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c r="AA171" s="44"/>
      <c r="AB171" s="44"/>
    </row>
    <row r="172" spans="1:28" ht="12.75" customHeight="1">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c r="AA172" s="44"/>
      <c r="AB172" s="44"/>
    </row>
    <row r="173" spans="1:28" ht="12.75" customHeight="1">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c r="AA173" s="44"/>
      <c r="AB173" s="44"/>
    </row>
    <row r="174" spans="1:28" ht="12.75" customHeight="1">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c r="AA174" s="44"/>
      <c r="AB174" s="44"/>
    </row>
    <row r="175" spans="1:28" ht="12.75" customHeight="1">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c r="AA175" s="44"/>
      <c r="AB175" s="44"/>
    </row>
    <row r="176" spans="1:28" ht="12.75" customHeight="1">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c r="AA176" s="44"/>
      <c r="AB176" s="44"/>
    </row>
    <row r="177" spans="1:28" ht="12.75" customHeight="1">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c r="AA177" s="44"/>
      <c r="AB177" s="44"/>
    </row>
    <row r="178" spans="1:28" ht="12.75" customHeight="1">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c r="AA178" s="44"/>
      <c r="AB178" s="44"/>
    </row>
    <row r="179" spans="1:28" ht="12.75" customHeight="1">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c r="AA179" s="44"/>
      <c r="AB179" s="44"/>
    </row>
    <row r="180" spans="1:28" ht="12.75" customHeight="1">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row>
    <row r="181" spans="1:28" ht="12.75" customHeight="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c r="AA181" s="44"/>
      <c r="AB181" s="44"/>
    </row>
    <row r="182" spans="1:28" ht="12.75" customHeight="1">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c r="AA182" s="44"/>
      <c r="AB182" s="44"/>
    </row>
    <row r="183" spans="1:28" ht="12.75" customHeight="1">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c r="AA183" s="44"/>
      <c r="AB183" s="44"/>
    </row>
    <row r="184" spans="1:28" ht="12.75" customHeight="1">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c r="AA184" s="44"/>
      <c r="AB184" s="44"/>
    </row>
    <row r="185" spans="1:28" ht="12.75" customHeight="1">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c r="AA185" s="44"/>
      <c r="AB185" s="44"/>
    </row>
    <row r="186" spans="1:28" ht="12.75" customHeight="1">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c r="AA186" s="44"/>
      <c r="AB186" s="44"/>
    </row>
    <row r="187" spans="1:28" ht="12.75" customHeight="1">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c r="AA187" s="44"/>
      <c r="AB187" s="44"/>
    </row>
    <row r="188" spans="1:28" ht="12.75" customHeight="1">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c r="AA188" s="44"/>
      <c r="AB188" s="44"/>
    </row>
    <row r="189" spans="1:28" ht="12.75" customHeight="1">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c r="AA189" s="44"/>
      <c r="AB189" s="44"/>
    </row>
    <row r="190" spans="1:28" ht="12.75" customHeight="1">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c r="AA190" s="44"/>
      <c r="AB190" s="44"/>
    </row>
    <row r="191" spans="1:28" ht="12.75" customHeight="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c r="AA191" s="44"/>
      <c r="AB191" s="44"/>
    </row>
    <row r="192" spans="1:28" ht="12.75" customHeight="1">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c r="AA192" s="44"/>
      <c r="AB192" s="44"/>
    </row>
    <row r="193" spans="1:28" ht="12.75" customHeight="1">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c r="AA193" s="44"/>
      <c r="AB193" s="44"/>
    </row>
    <row r="194" spans="1:28" ht="12.75" customHeight="1">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c r="AA194" s="44"/>
      <c r="AB194" s="44"/>
    </row>
    <row r="195" spans="1:28" ht="12.75" customHeight="1">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c r="AA195" s="44"/>
      <c r="AB195" s="44"/>
    </row>
    <row r="196" spans="1:28" ht="12.75" customHeight="1">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c r="AA196" s="44"/>
      <c r="AB196" s="44"/>
    </row>
    <row r="197" spans="1:28" ht="12.75" customHeight="1">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c r="AA197" s="44"/>
      <c r="AB197" s="44"/>
    </row>
    <row r="198" spans="1:28" ht="12.75" customHeight="1">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row>
    <row r="199" spans="1:28" ht="12.75" customHeight="1">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c r="AA199" s="44"/>
      <c r="AB199" s="44"/>
    </row>
    <row r="200" spans="1:28" ht="12.75" customHeight="1">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c r="AA200" s="44"/>
      <c r="AB200" s="44"/>
    </row>
    <row r="201" spans="1:28" ht="12.75" customHeight="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c r="AA201" s="44"/>
      <c r="AB201" s="44"/>
    </row>
    <row r="202" spans="1:28" ht="12.75" customHeight="1">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c r="AA202" s="44"/>
      <c r="AB202" s="44"/>
    </row>
    <row r="203" spans="1:28" ht="12.75" customHeight="1">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c r="AA203" s="44"/>
      <c r="AB203" s="44"/>
    </row>
    <row r="204" spans="1:28" ht="12.75" customHeight="1">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c r="AA204" s="44"/>
      <c r="AB204" s="44"/>
    </row>
    <row r="205" spans="1:28" ht="12.75" customHeight="1">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c r="AA205" s="44"/>
      <c r="AB205" s="44"/>
    </row>
    <row r="206" spans="1:28" ht="12.75" customHeight="1">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c r="AA206" s="44"/>
      <c r="AB206" s="44"/>
    </row>
    <row r="207" spans="1:28" ht="12.75" customHeight="1">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c r="AA207" s="44"/>
      <c r="AB207" s="44"/>
    </row>
    <row r="208" spans="1:28" ht="12.75" customHeight="1">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c r="AA208" s="44"/>
      <c r="AB208" s="44"/>
    </row>
    <row r="209" spans="1:28" ht="12.75" customHeight="1">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c r="AA209" s="44"/>
      <c r="AB209" s="44"/>
    </row>
    <row r="210" spans="1:28" ht="12.75" customHeight="1">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c r="AA210" s="44"/>
      <c r="AB210" s="44"/>
    </row>
    <row r="211" spans="1:28" ht="12.75" customHeight="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c r="AA211" s="44"/>
      <c r="AB211" s="44"/>
    </row>
    <row r="212" spans="1:28" ht="12.75" customHeight="1">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row>
    <row r="213" spans="1:28" ht="12.75" customHeight="1">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c r="AA213" s="44"/>
      <c r="AB213" s="44"/>
    </row>
    <row r="214" spans="1:28" ht="12.75" customHeight="1">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c r="AA214" s="44"/>
      <c r="AB214" s="44"/>
    </row>
    <row r="215" spans="1:28" ht="12.75" customHeight="1">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c r="AA215" s="44"/>
      <c r="AB215" s="44"/>
    </row>
    <row r="216" spans="1:28" ht="12.75" customHeight="1">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c r="AA216" s="44"/>
      <c r="AB216" s="44"/>
    </row>
    <row r="217" spans="1:28" ht="12.75" customHeight="1">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c r="AA217" s="44"/>
      <c r="AB217" s="44"/>
    </row>
    <row r="218" spans="1:28" ht="12.75" customHeight="1">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c r="AA218" s="44"/>
      <c r="AB218" s="44"/>
    </row>
    <row r="219" spans="1:28" ht="12.75" customHeight="1">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c r="AA219" s="44"/>
      <c r="AB219" s="44"/>
    </row>
    <row r="220" spans="1:28" ht="12.75" customHeight="1">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c r="AA220" s="44"/>
      <c r="AB220" s="44"/>
    </row>
    <row r="221" spans="1:28" ht="12.75" customHeight="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c r="AA221" s="44"/>
      <c r="AB221" s="44"/>
    </row>
    <row r="222" spans="1:28" ht="12.75" customHeight="1">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c r="AA222" s="44"/>
      <c r="AB222" s="44"/>
    </row>
    <row r="223" spans="1:28" ht="12.75" customHeight="1">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c r="AA223" s="44"/>
      <c r="AB223" s="44"/>
    </row>
    <row r="224" spans="1:28" ht="12.75" customHeight="1">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c r="AA224" s="44"/>
      <c r="AB224" s="44"/>
    </row>
    <row r="225" spans="1:28" ht="12.75" customHeight="1">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c r="AA225" s="44"/>
      <c r="AB225" s="44"/>
    </row>
    <row r="226" spans="1:28" ht="12.75" customHeight="1">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c r="AA226" s="44"/>
      <c r="AB226" s="44"/>
    </row>
    <row r="227" spans="1:28" ht="12.75" customHeight="1">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c r="AA227" s="44"/>
      <c r="AB227" s="44"/>
    </row>
    <row r="228" spans="1:28" ht="12.75" customHeight="1">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c r="AA228" s="44"/>
      <c r="AB228" s="44"/>
    </row>
    <row r="229" spans="1:28" ht="12.75" customHeight="1">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c r="AA229" s="44"/>
      <c r="AB229" s="44"/>
    </row>
    <row r="230" spans="1:28" ht="12.75" customHeight="1">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row>
    <row r="231" spans="1:28" ht="12.75" customHeight="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c r="AA231" s="44"/>
      <c r="AB231" s="44"/>
    </row>
    <row r="232" spans="1:28" ht="12.75" customHeight="1">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c r="AA232" s="44"/>
      <c r="AB232" s="44"/>
    </row>
    <row r="233" spans="1:28" ht="12.75" customHeight="1">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c r="AA233" s="44"/>
      <c r="AB233" s="44"/>
    </row>
    <row r="234" spans="1:28" ht="12.75" customHeight="1">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c r="AA234" s="44"/>
      <c r="AB234" s="44"/>
    </row>
    <row r="235" spans="1:28" ht="12.75" customHeight="1">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c r="AA235" s="44"/>
      <c r="AB235" s="44"/>
    </row>
    <row r="236" spans="1:28" ht="12.75" customHeight="1">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c r="AA236" s="44"/>
      <c r="AB236" s="44"/>
    </row>
    <row r="237" spans="1:28" ht="12.75" customHeight="1">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c r="AA237" s="44"/>
      <c r="AB237" s="44"/>
    </row>
    <row r="238" spans="1:28" ht="12.75" customHeight="1">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c r="AA238" s="44"/>
      <c r="AB238" s="44"/>
    </row>
    <row r="239" spans="1:28" ht="12.75" customHeight="1">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c r="AA239" s="44"/>
      <c r="AB239" s="44"/>
    </row>
    <row r="240" spans="1:28" ht="12.75" customHeight="1">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c r="AA240" s="44"/>
      <c r="AB240" s="44"/>
    </row>
    <row r="241" spans="1:28" ht="12.75" customHeight="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c r="AA241" s="44"/>
      <c r="AB241" s="44"/>
    </row>
    <row r="242" spans="1:28" ht="12.75" customHeight="1">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c r="AA242" s="44"/>
      <c r="AB242" s="44"/>
    </row>
    <row r="243" spans="1:28" ht="12.75" customHeight="1">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c r="AA243" s="44"/>
      <c r="AB243" s="44"/>
    </row>
    <row r="244" spans="1:28" ht="12.75" customHeight="1">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c r="AA244" s="44"/>
      <c r="AB244" s="44"/>
    </row>
    <row r="245" spans="1:28" ht="12.75" customHeight="1">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c r="AA245" s="44"/>
      <c r="AB245" s="44"/>
    </row>
    <row r="246" spans="1:28" ht="12.75" customHeight="1">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c r="AA246" s="44"/>
      <c r="AB246" s="44"/>
    </row>
    <row r="247" spans="1:28" ht="12.75" customHeight="1">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c r="AA247" s="44"/>
      <c r="AB247" s="44"/>
    </row>
    <row r="248" spans="1:28" ht="12.75" customHeight="1">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c r="AA248" s="44"/>
      <c r="AB248" s="44"/>
    </row>
    <row r="249" spans="1:28" ht="12.75" customHeight="1">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c r="AA249" s="44"/>
      <c r="AB249" s="44"/>
    </row>
    <row r="250" spans="1:28" ht="12.75" customHeight="1">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c r="AA250" s="44"/>
      <c r="AB250" s="44"/>
    </row>
    <row r="251" spans="1:28" ht="12.75" customHeight="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c r="AA251" s="44"/>
      <c r="AB251" s="44"/>
    </row>
    <row r="252" spans="1:28" ht="12.75" customHeight="1">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c r="AA252" s="44"/>
      <c r="AB252" s="44"/>
    </row>
    <row r="253" spans="1:28" ht="12.75" customHeight="1">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c r="AA253" s="44"/>
      <c r="AB253" s="44"/>
    </row>
    <row r="254" spans="1:28" ht="12.75" customHeight="1">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c r="AA254" s="44"/>
      <c r="AB254" s="44"/>
    </row>
    <row r="255" spans="1:28" ht="12.75" customHeight="1">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c r="AA255" s="44"/>
      <c r="AB255" s="44"/>
    </row>
    <row r="256" spans="1:28" ht="12.75" customHeight="1">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c r="AA256" s="44"/>
      <c r="AB256" s="44"/>
    </row>
    <row r="257" spans="1:28" ht="12.75" customHeight="1">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c r="AA257" s="44"/>
      <c r="AB257" s="44"/>
    </row>
    <row r="258" spans="1:28" ht="12.75" customHeight="1">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c r="AA258" s="44"/>
      <c r="AB258" s="44"/>
    </row>
    <row r="259" spans="1:28" ht="12.75" customHeight="1">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c r="AA259" s="44"/>
      <c r="AB259" s="44"/>
    </row>
    <row r="260" spans="1:28" ht="12.75" customHeight="1">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c r="AA260" s="44"/>
      <c r="AB260" s="44"/>
    </row>
    <row r="261" spans="1:28" ht="12.75" customHeight="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c r="AA261" s="44"/>
      <c r="AB261" s="44"/>
    </row>
    <row r="262" spans="1:28" ht="12.75" customHeight="1">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c r="AA262" s="44"/>
      <c r="AB262" s="44"/>
    </row>
    <row r="263" spans="1:28" ht="12.75" customHeight="1">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c r="AA263" s="44"/>
      <c r="AB263" s="44"/>
    </row>
    <row r="264" spans="1:28" ht="12.75" customHeight="1">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c r="AA264" s="44"/>
      <c r="AB264" s="44"/>
    </row>
    <row r="265" spans="1:28" ht="12.75" customHeight="1">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c r="AA265" s="44"/>
      <c r="AB265" s="44"/>
    </row>
    <row r="266" spans="1:28" ht="12.75" customHeight="1">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c r="AA266" s="44"/>
      <c r="AB266" s="44"/>
    </row>
    <row r="267" spans="1:28" ht="12.75" customHeight="1">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c r="AA267" s="44"/>
      <c r="AB267" s="44"/>
    </row>
    <row r="268" spans="1:28" ht="12.75" customHeight="1">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c r="AA268" s="44"/>
      <c r="AB268" s="44"/>
    </row>
    <row r="269" spans="1:28" ht="12.75" customHeight="1">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row>
    <row r="270" spans="1:28" ht="12.75" customHeight="1">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c r="AA270" s="44"/>
      <c r="AB270" s="44"/>
    </row>
    <row r="271" spans="1:28" ht="12.75" customHeight="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c r="AA271" s="44"/>
      <c r="AB271" s="44"/>
    </row>
    <row r="272" spans="1:28" ht="12.75" customHeight="1">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c r="AA272" s="44"/>
      <c r="AB272" s="44"/>
    </row>
    <row r="273" spans="1:28" ht="12.75" customHeight="1">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c r="AA273" s="44"/>
      <c r="AB273" s="44"/>
    </row>
    <row r="274" spans="1:28" ht="12.75" customHeight="1">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c r="AA274" s="44"/>
      <c r="AB274" s="44"/>
    </row>
    <row r="275" spans="1:28" ht="12.75" customHeight="1">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c r="AA275" s="44"/>
      <c r="AB275" s="44"/>
    </row>
    <row r="276" spans="1:28" ht="12.75" customHeight="1">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c r="AA276" s="44"/>
      <c r="AB276" s="44"/>
    </row>
    <row r="277" spans="1:28" ht="12.75" customHeight="1">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c r="AA277" s="44"/>
      <c r="AB277" s="44"/>
    </row>
    <row r="278" spans="1:28" ht="12.75" customHeight="1">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c r="AA278" s="44"/>
      <c r="AB278" s="44"/>
    </row>
    <row r="279" spans="1:28" ht="12.75" customHeight="1">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c r="AA279" s="44"/>
      <c r="AB279" s="44"/>
    </row>
    <row r="280" spans="1:28" ht="12.75" customHeight="1">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c r="AA280" s="44"/>
      <c r="AB280" s="44"/>
    </row>
    <row r="281" spans="1:28" ht="12.75" customHeight="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c r="AA281" s="44"/>
      <c r="AB281" s="44"/>
    </row>
    <row r="282" spans="1:28" ht="12.75" customHeight="1">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c r="AA282" s="44"/>
      <c r="AB282" s="44"/>
    </row>
    <row r="283" spans="1:28" ht="12.75" customHeight="1">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c r="AA283" s="44"/>
      <c r="AB283" s="44"/>
    </row>
    <row r="284" spans="1:28" ht="12.75" customHeight="1">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c r="AA284" s="44"/>
      <c r="AB284" s="44"/>
    </row>
    <row r="285" spans="1:28" ht="12.75" customHeight="1">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c r="AA285" s="44"/>
      <c r="AB285" s="44"/>
    </row>
    <row r="286" spans="1:28" ht="12.75" customHeight="1">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c r="AA286" s="44"/>
      <c r="AB286" s="44"/>
    </row>
    <row r="287" spans="1:28" ht="12.75" customHeight="1">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c r="AA287" s="44"/>
      <c r="AB287" s="44"/>
    </row>
    <row r="288" spans="1:28" ht="12.75" customHeight="1">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c r="AA288" s="44"/>
      <c r="AB288" s="44"/>
    </row>
    <row r="289" spans="1:28" ht="12.75" customHeight="1">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c r="AA289" s="44"/>
      <c r="AB289" s="44"/>
    </row>
    <row r="290" spans="1:28" ht="12.75" customHeight="1">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c r="AA290" s="44"/>
      <c r="AB290" s="44"/>
    </row>
    <row r="291" spans="1:28" ht="12.75" customHeight="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c r="AA291" s="44"/>
      <c r="AB291" s="44"/>
    </row>
    <row r="292" spans="1:28" ht="12.75" customHeight="1">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c r="AA292" s="44"/>
      <c r="AB292" s="44"/>
    </row>
    <row r="293" spans="1:28" ht="12.75" customHeight="1">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c r="AA293" s="44"/>
      <c r="AB293" s="44"/>
    </row>
    <row r="294" spans="1:28" ht="12.75" customHeight="1">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c r="AA294" s="44"/>
      <c r="AB294" s="44"/>
    </row>
    <row r="295" spans="1:28" ht="12.75" customHeight="1">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c r="AA295" s="44"/>
      <c r="AB295" s="44"/>
    </row>
    <row r="296" spans="1:28" ht="12.75" customHeight="1">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c r="AA296" s="44"/>
      <c r="AB296" s="44"/>
    </row>
    <row r="297" spans="1:28" ht="12.75" customHeight="1">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c r="AA297" s="44"/>
      <c r="AB297" s="44"/>
    </row>
    <row r="298" spans="1:28" ht="12.75" customHeight="1">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c r="AA298" s="44"/>
      <c r="AB298" s="44"/>
    </row>
    <row r="299" spans="1:28" ht="12.75" customHeight="1">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c r="AA299" s="44"/>
      <c r="AB299" s="44"/>
    </row>
    <row r="300" spans="1:28" ht="12.75" customHeight="1">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c r="AA300" s="44"/>
      <c r="AB300" s="44"/>
    </row>
    <row r="301" spans="1:28" ht="12.75" customHeight="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c r="AA301" s="44"/>
      <c r="AB301" s="44"/>
    </row>
    <row r="302" spans="1:28" ht="12.75" customHeight="1">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c r="AA302" s="44"/>
      <c r="AB302" s="44"/>
    </row>
    <row r="303" spans="1:28" ht="12.75" customHeight="1">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c r="AA303" s="44"/>
      <c r="AB303" s="44"/>
    </row>
    <row r="304" spans="1:28" ht="12.75" customHeight="1">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c r="AA304" s="44"/>
      <c r="AB304" s="44"/>
    </row>
    <row r="305" spans="1:28" ht="12.75" customHeight="1">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c r="AA305" s="44"/>
      <c r="AB305" s="44"/>
    </row>
    <row r="306" spans="1:28" ht="12.75" customHeight="1">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c r="AA306" s="44"/>
      <c r="AB306" s="44"/>
    </row>
    <row r="307" spans="1:28" ht="12.75" customHeight="1">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c r="AA307" s="44"/>
      <c r="AB307" s="44"/>
    </row>
    <row r="308" spans="1:28" ht="12.75" customHeight="1">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c r="AA308" s="44"/>
      <c r="AB308" s="44"/>
    </row>
    <row r="309" spans="1:28" ht="12.75" customHeight="1">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c r="AA309" s="44"/>
      <c r="AB309" s="44"/>
    </row>
    <row r="310" spans="1:28" ht="12.75" customHeight="1">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c r="AA310" s="44"/>
      <c r="AB310" s="44"/>
    </row>
    <row r="311" spans="1:28" ht="12.75" customHeight="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c r="AA311" s="44"/>
      <c r="AB311" s="44"/>
    </row>
    <row r="312" spans="1:28" ht="12.75" customHeight="1">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c r="AA312" s="44"/>
      <c r="AB312" s="44"/>
    </row>
    <row r="313" spans="1:28" ht="12.75" customHeight="1">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c r="AA313" s="44"/>
      <c r="AB313" s="44"/>
    </row>
    <row r="314" spans="1:28" ht="12.75" customHeight="1">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c r="AA314" s="44"/>
      <c r="AB314" s="44"/>
    </row>
    <row r="315" spans="1:28" ht="12.75" customHeight="1">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c r="AA315" s="44"/>
      <c r="AB315" s="44"/>
    </row>
    <row r="316" spans="1:28" ht="12.75" customHeight="1">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c r="AA316" s="44"/>
      <c r="AB316" s="44"/>
    </row>
    <row r="317" spans="1:28" ht="12.75" customHeight="1">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c r="AA317" s="44"/>
      <c r="AB317" s="44"/>
    </row>
    <row r="318" spans="1:28" ht="12.75" customHeight="1">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c r="AA318" s="44"/>
      <c r="AB318" s="44"/>
    </row>
    <row r="319" spans="1:28" ht="12.75" customHeight="1">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c r="AA319" s="44"/>
      <c r="AB319" s="44"/>
    </row>
    <row r="320" spans="1:28" ht="12.75" customHeight="1">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c r="AA320" s="44"/>
      <c r="AB320" s="44"/>
    </row>
    <row r="321" spans="1:28" ht="12.75" customHeight="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c r="AA321" s="44"/>
      <c r="AB321" s="44"/>
    </row>
    <row r="322" spans="1:28" ht="12.75" customHeight="1">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c r="AA322" s="44"/>
      <c r="AB322" s="44"/>
    </row>
    <row r="323" spans="1:28" ht="12.75" customHeight="1">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c r="AA323" s="44"/>
      <c r="AB323" s="44"/>
    </row>
    <row r="324" spans="1:28" ht="12.75" customHeight="1">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c r="AA324" s="44"/>
      <c r="AB324" s="44"/>
    </row>
    <row r="325" spans="1:28" ht="12.75" customHeight="1">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c r="AA325" s="44"/>
      <c r="AB325" s="44"/>
    </row>
    <row r="326" spans="1:28" ht="12.75" customHeight="1">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c r="AA326" s="44"/>
      <c r="AB326" s="44"/>
    </row>
    <row r="327" spans="1:28" ht="12.75" customHeight="1">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c r="AA327" s="44"/>
      <c r="AB327" s="44"/>
    </row>
    <row r="328" spans="1:28" ht="12.75" customHeight="1">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c r="AA328" s="44"/>
      <c r="AB328" s="44"/>
    </row>
    <row r="329" spans="1:28" ht="12.75" customHeight="1">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c r="AA329" s="44"/>
      <c r="AB329" s="44"/>
    </row>
    <row r="330" spans="1:28" ht="12.75" customHeight="1">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c r="AA330" s="44"/>
      <c r="AB330" s="44"/>
    </row>
    <row r="331" spans="1:28" ht="12.75" customHeight="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c r="AA331" s="44"/>
      <c r="AB331" s="44"/>
    </row>
    <row r="332" spans="1:28" ht="12.75" customHeight="1">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c r="AA332" s="44"/>
      <c r="AB332" s="44"/>
    </row>
    <row r="333" spans="1:28" ht="12.75" customHeight="1">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c r="AA333" s="44"/>
      <c r="AB333" s="44"/>
    </row>
    <row r="334" spans="1:28" ht="12.75" customHeight="1">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c r="AA334" s="44"/>
      <c r="AB334" s="44"/>
    </row>
    <row r="335" spans="1:28" ht="12.75" customHeight="1">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c r="AA335" s="44"/>
      <c r="AB335" s="44"/>
    </row>
    <row r="336" spans="1:28" ht="12.75" customHeight="1">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c r="AA336" s="44"/>
      <c r="AB336" s="44"/>
    </row>
    <row r="337" spans="1:28" ht="12.75" customHeight="1">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c r="AA337" s="44"/>
      <c r="AB337" s="44"/>
    </row>
    <row r="338" spans="1:28" ht="12.75" customHeight="1">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c r="AA338" s="44"/>
      <c r="AB338" s="44"/>
    </row>
    <row r="339" spans="1:28" ht="12.75" customHeight="1">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c r="AA339" s="44"/>
      <c r="AB339" s="44"/>
    </row>
    <row r="340" spans="1:28" ht="12.75" customHeight="1">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c r="AA340" s="44"/>
      <c r="AB340" s="44"/>
    </row>
    <row r="341" spans="1:28" ht="12.75" customHeight="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c r="AA341" s="44"/>
      <c r="AB341" s="44"/>
    </row>
    <row r="342" spans="1:28" ht="12.75" customHeight="1">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c r="AA342" s="44"/>
      <c r="AB342" s="44"/>
    </row>
    <row r="343" spans="1:28" ht="12.75" customHeight="1">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c r="AA343" s="44"/>
      <c r="AB343" s="44"/>
    </row>
    <row r="344" spans="1:28" ht="12.75" customHeight="1">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c r="AA344" s="44"/>
      <c r="AB344" s="44"/>
    </row>
    <row r="345" spans="1:28" ht="12.75" customHeight="1">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c r="AA345" s="44"/>
      <c r="AB345" s="44"/>
    </row>
    <row r="346" spans="1:28" ht="12.75" customHeight="1">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c r="AA346" s="44"/>
      <c r="AB346" s="44"/>
    </row>
    <row r="347" spans="1:28" ht="12.75" customHeight="1">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c r="AA347" s="44"/>
      <c r="AB347" s="44"/>
    </row>
    <row r="348" spans="1:28" ht="12.75" customHeight="1">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c r="AA348" s="44"/>
      <c r="AB348" s="44"/>
    </row>
    <row r="349" spans="1:28" ht="12.75" customHeight="1">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c r="AA349" s="44"/>
      <c r="AB349" s="44"/>
    </row>
    <row r="350" spans="1:28" ht="12.75" customHeight="1">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c r="AA350" s="44"/>
      <c r="AB350" s="44"/>
    </row>
    <row r="351" spans="1:28" ht="12.75" customHeight="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c r="AA351" s="44"/>
      <c r="AB351" s="44"/>
    </row>
    <row r="352" spans="1:28" ht="12.75" customHeight="1">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c r="AA352" s="44"/>
      <c r="AB352" s="44"/>
    </row>
    <row r="353" spans="1:28" ht="12.75" customHeight="1">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c r="AA353" s="44"/>
      <c r="AB353" s="44"/>
    </row>
    <row r="354" spans="1:28" ht="12.75" customHeight="1">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c r="AA354" s="44"/>
      <c r="AB354" s="44"/>
    </row>
    <row r="355" spans="1:28" ht="12.75" customHeight="1">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c r="AA355" s="44"/>
      <c r="AB355" s="44"/>
    </row>
    <row r="356" spans="1:28" ht="12.75" customHeight="1">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c r="AA356" s="44"/>
      <c r="AB356" s="44"/>
    </row>
    <row r="357" spans="1:28" ht="12.75" customHeight="1">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c r="AA357" s="44"/>
      <c r="AB357" s="44"/>
    </row>
    <row r="358" spans="1:28" ht="12.75" customHeight="1">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c r="AA358" s="44"/>
      <c r="AB358" s="44"/>
    </row>
    <row r="359" spans="1:28" ht="12.75" customHeight="1">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c r="AA359" s="44"/>
      <c r="AB359" s="44"/>
    </row>
    <row r="360" spans="1:28" ht="12.75" customHeight="1">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c r="AA360" s="44"/>
      <c r="AB360" s="44"/>
    </row>
    <row r="361" spans="1:28" ht="12.75" customHeight="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c r="AA361" s="44"/>
      <c r="AB361" s="44"/>
    </row>
    <row r="362" spans="1:28" ht="12.75" customHeight="1">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c r="AA362" s="44"/>
      <c r="AB362" s="44"/>
    </row>
    <row r="363" spans="1:28" ht="12.75" customHeight="1">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c r="AA363" s="44"/>
      <c r="AB363" s="44"/>
    </row>
    <row r="364" spans="1:28" ht="12.75" customHeight="1">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c r="AA364" s="44"/>
      <c r="AB364" s="44"/>
    </row>
    <row r="365" spans="1:28" ht="12.75" customHeight="1">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c r="AA365" s="44"/>
      <c r="AB365" s="44"/>
    </row>
    <row r="366" spans="1:28" ht="12.75" customHeight="1">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c r="AA366" s="44"/>
      <c r="AB366" s="44"/>
    </row>
    <row r="367" spans="1:28" ht="12.75" customHeight="1">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c r="AA367" s="44"/>
      <c r="AB367" s="44"/>
    </row>
    <row r="368" spans="1:28" ht="12.75" customHeight="1">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c r="AA368" s="44"/>
      <c r="AB368" s="44"/>
    </row>
    <row r="369" spans="1:28" ht="12.75" customHeight="1">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c r="AA369" s="44"/>
      <c r="AB369" s="44"/>
    </row>
    <row r="370" spans="1:28" ht="12.75" customHeight="1">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c r="AA370" s="44"/>
      <c r="AB370" s="44"/>
    </row>
    <row r="371" spans="1:28" ht="12.75" customHeight="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c r="AA371" s="44"/>
      <c r="AB371" s="44"/>
    </row>
    <row r="372" spans="1:28" ht="12.75" customHeight="1">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c r="AA372" s="44"/>
      <c r="AB372" s="44"/>
    </row>
    <row r="373" spans="1:28" ht="12.75" customHeight="1">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c r="AA373" s="44"/>
      <c r="AB373" s="44"/>
    </row>
    <row r="374" spans="1:28" ht="12.75" customHeight="1">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c r="AA374" s="44"/>
      <c r="AB374" s="44"/>
    </row>
    <row r="375" spans="1:28" ht="12.75" customHeight="1">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c r="AA375" s="44"/>
      <c r="AB375" s="44"/>
    </row>
    <row r="376" spans="1:28" ht="12.75" customHeight="1">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c r="AA376" s="44"/>
      <c r="AB376" s="44"/>
    </row>
    <row r="377" spans="1:28" ht="12.75" customHeight="1">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c r="AA377" s="44"/>
      <c r="AB377" s="44"/>
    </row>
    <row r="378" spans="1:28" ht="12.75" customHeight="1">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c r="AA378" s="44"/>
      <c r="AB378" s="44"/>
    </row>
    <row r="379" spans="1:28" ht="12.75" customHeight="1">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c r="AA379" s="44"/>
      <c r="AB379" s="44"/>
    </row>
    <row r="380" spans="1:28" ht="12.75" customHeight="1">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c r="AA380" s="44"/>
      <c r="AB380" s="44"/>
    </row>
    <row r="381" spans="1:28" ht="12.75" customHeight="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c r="AA381" s="44"/>
      <c r="AB381" s="44"/>
    </row>
    <row r="382" spans="1:28" ht="12.75" customHeight="1">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c r="AA382" s="44"/>
      <c r="AB382" s="44"/>
    </row>
    <row r="383" spans="1:28" ht="12.75" customHeight="1">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c r="AA383" s="44"/>
      <c r="AB383" s="44"/>
    </row>
    <row r="384" spans="1:28" ht="12.75" customHeight="1">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c r="AA384" s="44"/>
      <c r="AB384" s="44"/>
    </row>
    <row r="385" spans="1:28" ht="12.75" customHeight="1">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c r="AA385" s="44"/>
      <c r="AB385" s="44"/>
    </row>
    <row r="386" spans="1:28" ht="12.75" customHeight="1">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c r="AA386" s="44"/>
      <c r="AB386" s="44"/>
    </row>
    <row r="387" spans="1:28" ht="12.75" customHeight="1">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c r="AA387" s="44"/>
      <c r="AB387" s="44"/>
    </row>
    <row r="388" spans="1:28" ht="12.75" customHeight="1">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c r="AA388" s="44"/>
      <c r="AB388" s="44"/>
    </row>
    <row r="389" spans="1:28" ht="12.75" customHeight="1">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c r="AA389" s="44"/>
      <c r="AB389" s="44"/>
    </row>
    <row r="390" spans="1:28" ht="12.75" customHeight="1">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c r="AA390" s="44"/>
      <c r="AB390" s="44"/>
    </row>
    <row r="391" spans="1:28" ht="12.75" customHeight="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c r="AA391" s="44"/>
      <c r="AB391" s="44"/>
    </row>
    <row r="392" spans="1:28" ht="12.75" customHeight="1">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c r="AA392" s="44"/>
      <c r="AB392" s="44"/>
    </row>
    <row r="393" spans="1:28" ht="12.75" customHeight="1">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c r="AA393" s="44"/>
      <c r="AB393" s="44"/>
    </row>
    <row r="394" spans="1:28" ht="12.75" customHeight="1">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c r="AA394" s="44"/>
      <c r="AB394" s="44"/>
    </row>
    <row r="395" spans="1:28" ht="12.75" customHeight="1">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c r="AA395" s="44"/>
      <c r="AB395" s="44"/>
    </row>
    <row r="396" spans="1:28" ht="12.75" customHeight="1">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c r="AA396" s="44"/>
      <c r="AB396" s="44"/>
    </row>
    <row r="397" spans="1:28" ht="12.75" customHeight="1">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c r="AA397" s="44"/>
      <c r="AB397" s="44"/>
    </row>
    <row r="398" spans="1:28" ht="12.75" customHeight="1">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c r="AA398" s="44"/>
      <c r="AB398" s="44"/>
    </row>
    <row r="399" spans="1:28" ht="12.75" customHeight="1">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c r="AA399" s="44"/>
      <c r="AB399" s="44"/>
    </row>
    <row r="400" spans="1:28" ht="12.75" customHeight="1">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c r="AA400" s="44"/>
      <c r="AB400" s="44"/>
    </row>
    <row r="401" spans="1:28" ht="12.75" customHeight="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c r="AA401" s="44"/>
      <c r="AB401" s="44"/>
    </row>
    <row r="402" spans="1:28" ht="12.75" customHeight="1">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c r="AA402" s="44"/>
      <c r="AB402" s="44"/>
    </row>
    <row r="403" spans="1:28" ht="12.75" customHeight="1">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c r="AA403" s="44"/>
      <c r="AB403" s="44"/>
    </row>
    <row r="404" spans="1:28" ht="12.75" customHeight="1">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c r="AA404" s="44"/>
      <c r="AB404" s="44"/>
    </row>
    <row r="405" spans="1:28" ht="12.75" customHeight="1">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c r="AA405" s="44"/>
      <c r="AB405" s="44"/>
    </row>
    <row r="406" spans="1:28" ht="12.75" customHeight="1">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c r="AA406" s="44"/>
      <c r="AB406" s="44"/>
    </row>
    <row r="407" spans="1:28" ht="12.75" customHeight="1">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c r="AA407" s="44"/>
      <c r="AB407" s="44"/>
    </row>
    <row r="408" spans="1:28" ht="12.75" customHeight="1">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c r="AA408" s="44"/>
      <c r="AB408" s="44"/>
    </row>
    <row r="409" spans="1:28" ht="12.75" customHeight="1">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c r="AA409" s="44"/>
      <c r="AB409" s="44"/>
    </row>
    <row r="410" spans="1:28" ht="12.75" customHeight="1">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c r="AA410" s="44"/>
      <c r="AB410" s="44"/>
    </row>
    <row r="411" spans="1:28" ht="12.75" customHeight="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c r="AA411" s="44"/>
      <c r="AB411" s="44"/>
    </row>
    <row r="412" spans="1:28" ht="12.75" customHeight="1">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c r="AA412" s="44"/>
      <c r="AB412" s="44"/>
    </row>
    <row r="413" spans="1:28" ht="12.75" customHeight="1">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c r="AA413" s="44"/>
      <c r="AB413" s="44"/>
    </row>
    <row r="414" spans="1:28" ht="12.75" customHeight="1">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c r="AA414" s="44"/>
      <c r="AB414" s="44"/>
    </row>
    <row r="415" spans="1:28" ht="12.75" customHeight="1">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c r="AA415" s="44"/>
      <c r="AB415" s="44"/>
    </row>
    <row r="416" spans="1:28" ht="12.75" customHeight="1">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c r="AA416" s="44"/>
      <c r="AB416" s="44"/>
    </row>
    <row r="417" spans="1:28" ht="12.75" customHeight="1">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c r="AA417" s="44"/>
      <c r="AB417" s="44"/>
    </row>
    <row r="418" spans="1:28" ht="12.75" customHeight="1">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c r="AA418" s="44"/>
      <c r="AB418" s="44"/>
    </row>
    <row r="419" spans="1:28" ht="12.75" customHeight="1">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c r="AA419" s="44"/>
      <c r="AB419" s="44"/>
    </row>
    <row r="420" spans="1:28" ht="12.75" customHeight="1">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c r="AA420" s="44"/>
      <c r="AB420" s="44"/>
    </row>
    <row r="421" spans="1:28" ht="12.75" customHeight="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c r="AA421" s="44"/>
      <c r="AB421" s="44"/>
    </row>
    <row r="422" spans="1:28" ht="12.75" customHeight="1">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c r="AA422" s="44"/>
      <c r="AB422" s="44"/>
    </row>
    <row r="423" spans="1:28" ht="12.75" customHeight="1">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c r="AA423" s="44"/>
      <c r="AB423" s="44"/>
    </row>
    <row r="424" spans="1:28" ht="12.75" customHeight="1">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c r="AA424" s="44"/>
      <c r="AB424" s="44"/>
    </row>
    <row r="425" spans="1:28" ht="12.75" customHeight="1">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c r="AA425" s="44"/>
      <c r="AB425" s="44"/>
    </row>
    <row r="426" spans="1:28" ht="12.75" customHeight="1">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c r="AA426" s="44"/>
      <c r="AB426" s="44"/>
    </row>
    <row r="427" spans="1:28" ht="12.75" customHeight="1">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c r="AA427" s="44"/>
      <c r="AB427" s="44"/>
    </row>
    <row r="428" spans="1:28" ht="12.75" customHeight="1">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c r="AA428" s="44"/>
      <c r="AB428" s="44"/>
    </row>
    <row r="429" spans="1:28" ht="12.75" customHeight="1">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c r="AA429" s="44"/>
      <c r="AB429" s="44"/>
    </row>
    <row r="430" spans="1:28" ht="12.75" customHeight="1">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c r="AA430" s="44"/>
      <c r="AB430" s="44"/>
    </row>
    <row r="431" spans="1:28" ht="12.75" customHeight="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c r="AA431" s="44"/>
      <c r="AB431" s="44"/>
    </row>
    <row r="432" spans="1:28" ht="12.75" customHeight="1">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c r="AA432" s="44"/>
      <c r="AB432" s="44"/>
    </row>
    <row r="433" spans="1:28" ht="12.75" customHeight="1">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c r="AA433" s="44"/>
      <c r="AB433" s="44"/>
    </row>
    <row r="434" spans="1:28" ht="12.75" customHeight="1">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c r="AA434" s="44"/>
      <c r="AB434" s="44"/>
    </row>
    <row r="435" spans="1:28" ht="12.75" customHeight="1">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c r="AA435" s="44"/>
      <c r="AB435" s="44"/>
    </row>
    <row r="436" spans="1:28" ht="12.75" customHeight="1">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c r="AA436" s="44"/>
      <c r="AB436" s="44"/>
    </row>
    <row r="437" spans="1:28" ht="12.75" customHeight="1">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c r="AA437" s="44"/>
      <c r="AB437" s="44"/>
    </row>
    <row r="438" spans="1:28" ht="12.75" customHeight="1">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c r="AA438" s="44"/>
      <c r="AB438" s="44"/>
    </row>
    <row r="439" spans="1:28" ht="12.75" customHeight="1">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c r="AA439" s="44"/>
      <c r="AB439" s="44"/>
    </row>
    <row r="440" spans="1:28" ht="12.75" customHeight="1">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c r="AA440" s="44"/>
      <c r="AB440" s="44"/>
    </row>
    <row r="441" spans="1:28" ht="12.75" customHeight="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c r="AA441" s="44"/>
      <c r="AB441" s="44"/>
    </row>
    <row r="442" spans="1:28" ht="12.75" customHeight="1">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c r="AA442" s="44"/>
      <c r="AB442" s="44"/>
    </row>
    <row r="443" spans="1:28" ht="12.75" customHeight="1">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c r="AA443" s="44"/>
      <c r="AB443" s="44"/>
    </row>
    <row r="444" spans="1:28" ht="12.75" customHeight="1">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c r="AA444" s="44"/>
      <c r="AB444" s="44"/>
    </row>
    <row r="445" spans="1:28" ht="12.75" customHeight="1">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c r="AA445" s="44"/>
      <c r="AB445" s="44"/>
    </row>
    <row r="446" spans="1:28" ht="12.75" customHeight="1">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c r="AA446" s="44"/>
      <c r="AB446" s="44"/>
    </row>
    <row r="447" spans="1:28" ht="12.75" customHeight="1">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c r="AA447" s="44"/>
      <c r="AB447" s="44"/>
    </row>
    <row r="448" spans="1:28" ht="12.75" customHeight="1">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c r="AA448" s="44"/>
      <c r="AB448" s="44"/>
    </row>
    <row r="449" spans="1:28" ht="12.75" customHeight="1">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c r="AA449" s="44"/>
      <c r="AB449" s="44"/>
    </row>
    <row r="450" spans="1:28" ht="12.75" customHeight="1">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c r="AA450" s="44"/>
      <c r="AB450" s="44"/>
    </row>
    <row r="451" spans="1:28" ht="12.75" customHeight="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c r="AA451" s="44"/>
      <c r="AB451" s="44"/>
    </row>
    <row r="452" spans="1:28" ht="12.75" customHeight="1">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c r="AA452" s="44"/>
      <c r="AB452" s="44"/>
    </row>
    <row r="453" spans="1:28" ht="12.75" customHeight="1">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c r="AA453" s="44"/>
      <c r="AB453" s="44"/>
    </row>
    <row r="454" spans="1:28" ht="12.75" customHeight="1">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c r="AA454" s="44"/>
      <c r="AB454" s="44"/>
    </row>
    <row r="455" spans="1:28" ht="12.75" customHeight="1">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c r="AA455" s="44"/>
      <c r="AB455" s="44"/>
    </row>
    <row r="456" spans="1:28" ht="12.75" customHeight="1">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c r="AA456" s="44"/>
      <c r="AB456" s="44"/>
    </row>
    <row r="457" spans="1:28" ht="12.75" customHeight="1">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c r="AA457" s="44"/>
      <c r="AB457" s="44"/>
    </row>
    <row r="458" spans="1:28" ht="12.75" customHeight="1">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c r="AA458" s="44"/>
      <c r="AB458" s="44"/>
    </row>
    <row r="459" spans="1:28" ht="12.75" customHeight="1">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c r="AA459" s="44"/>
      <c r="AB459" s="44"/>
    </row>
    <row r="460" spans="1:28" ht="12.75" customHeight="1">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c r="AA460" s="44"/>
      <c r="AB460" s="44"/>
    </row>
    <row r="461" spans="1:28" ht="12.75" customHeight="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c r="AA461" s="44"/>
      <c r="AB461" s="44"/>
    </row>
    <row r="462" spans="1:28" ht="12.75" customHeight="1">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c r="AA462" s="44"/>
      <c r="AB462" s="44"/>
    </row>
    <row r="463" spans="1:28" ht="12.75" customHeight="1">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c r="AA463" s="44"/>
      <c r="AB463" s="44"/>
    </row>
    <row r="464" spans="1:28" ht="12.75" customHeight="1">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c r="AA464" s="44"/>
      <c r="AB464" s="44"/>
    </row>
    <row r="465" spans="1:28" ht="12.75" customHeight="1">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c r="AA465" s="44"/>
      <c r="AB465" s="44"/>
    </row>
    <row r="466" spans="1:28" ht="12.75" customHeight="1">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c r="AA466" s="44"/>
      <c r="AB466" s="44"/>
    </row>
    <row r="467" spans="1:28" ht="12.75" customHeight="1">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c r="AA467" s="44"/>
      <c r="AB467" s="44"/>
    </row>
    <row r="468" spans="1:28" ht="12.75" customHeight="1">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c r="AA468" s="44"/>
      <c r="AB468" s="44"/>
    </row>
    <row r="469" spans="1:28" ht="12.75" customHeight="1">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c r="AA469" s="44"/>
      <c r="AB469" s="44"/>
    </row>
    <row r="470" spans="1:28" ht="12.75" customHeight="1">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c r="AA470" s="44"/>
      <c r="AB470" s="44"/>
    </row>
    <row r="471" spans="1:28" ht="12.75" customHeight="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c r="AA471" s="44"/>
      <c r="AB471" s="44"/>
    </row>
    <row r="472" spans="1:28" ht="12.75" customHeight="1">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c r="AA472" s="44"/>
      <c r="AB472" s="44"/>
    </row>
    <row r="473" spans="1:28" ht="12.75" customHeight="1">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c r="AA473" s="44"/>
      <c r="AB473" s="44"/>
    </row>
    <row r="474" spans="1:28" ht="12.75" customHeight="1">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c r="AA474" s="44"/>
      <c r="AB474" s="44"/>
    </row>
    <row r="475" spans="1:28" ht="12.75" customHeight="1">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c r="AA475" s="44"/>
      <c r="AB475" s="44"/>
    </row>
    <row r="476" spans="1:28" ht="12.75" customHeight="1">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c r="AA476" s="44"/>
      <c r="AB476" s="44"/>
    </row>
    <row r="477" spans="1:28" ht="12.75" customHeight="1">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c r="AA477" s="44"/>
      <c r="AB477" s="44"/>
    </row>
    <row r="478" spans="1:28" ht="12.75" customHeight="1">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c r="AA478" s="44"/>
      <c r="AB478" s="44"/>
    </row>
    <row r="479" spans="1:28" ht="12.75" customHeight="1">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c r="AA479" s="44"/>
      <c r="AB479" s="44"/>
    </row>
    <row r="480" spans="1:28" ht="12.75" customHeight="1">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c r="AA480" s="44"/>
      <c r="AB480" s="44"/>
    </row>
    <row r="481" spans="1:28" ht="12.75" customHeight="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c r="AA481" s="44"/>
      <c r="AB481" s="44"/>
    </row>
    <row r="482" spans="1:28" ht="12.75" customHeight="1">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c r="AA482" s="44"/>
      <c r="AB482" s="44"/>
    </row>
    <row r="483" spans="1:28" ht="12.75" customHeight="1">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c r="AA483" s="44"/>
      <c r="AB483" s="44"/>
    </row>
    <row r="484" spans="1:28" ht="12.75" customHeight="1">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c r="AA484" s="44"/>
      <c r="AB484" s="44"/>
    </row>
    <row r="485" spans="1:28" ht="12.75" customHeight="1">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c r="AA485" s="44"/>
      <c r="AB485" s="44"/>
    </row>
    <row r="486" spans="1:28" ht="12.75" customHeight="1">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c r="AA486" s="44"/>
      <c r="AB486" s="44"/>
    </row>
    <row r="487" spans="1:28" ht="12.75" customHeight="1">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c r="AA487" s="44"/>
      <c r="AB487" s="44"/>
    </row>
    <row r="488" spans="1:28" ht="12.75" customHeight="1">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c r="AA488" s="44"/>
      <c r="AB488" s="44"/>
    </row>
    <row r="489" spans="1:28" ht="12.75" customHeight="1">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c r="AA489" s="44"/>
      <c r="AB489" s="44"/>
    </row>
    <row r="490" spans="1:28" ht="12.75" customHeight="1">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c r="AA490" s="44"/>
      <c r="AB490" s="44"/>
    </row>
    <row r="491" spans="1:28" ht="12.75" customHeight="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c r="AA491" s="44"/>
      <c r="AB491" s="44"/>
    </row>
    <row r="492" spans="1:28" ht="12.75" customHeight="1">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c r="AA492" s="44"/>
      <c r="AB492" s="44"/>
    </row>
    <row r="493" spans="1:28" ht="12.75" customHeight="1">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c r="AA493" s="44"/>
      <c r="AB493" s="44"/>
    </row>
    <row r="494" spans="1:28" ht="12.75" customHeight="1">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c r="AA494" s="44"/>
      <c r="AB494" s="44"/>
    </row>
    <row r="495" spans="1:28" ht="12.75" customHeight="1">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c r="AA495" s="44"/>
      <c r="AB495" s="44"/>
    </row>
    <row r="496" spans="1:28" ht="12.75" customHeight="1">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c r="AA496" s="44"/>
      <c r="AB496" s="44"/>
    </row>
    <row r="497" spans="1:28" ht="12.75" customHeight="1">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c r="AA497" s="44"/>
      <c r="AB497" s="44"/>
    </row>
    <row r="498" spans="1:28" ht="12.75" customHeight="1">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c r="AA498" s="44"/>
      <c r="AB498" s="44"/>
    </row>
    <row r="499" spans="1:28" ht="12.75" customHeight="1">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c r="AA499" s="44"/>
      <c r="AB499" s="44"/>
    </row>
    <row r="500" spans="1:28" ht="12.75" customHeight="1">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c r="AA500" s="44"/>
      <c r="AB500" s="44"/>
    </row>
    <row r="501" spans="1:28" ht="12.75" customHeight="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c r="AA501" s="44"/>
      <c r="AB501" s="44"/>
    </row>
    <row r="502" spans="1:28" ht="12.75" customHeight="1">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c r="AA502" s="44"/>
      <c r="AB502" s="44"/>
    </row>
    <row r="503" spans="1:28" ht="12.75" customHeight="1">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c r="AA503" s="44"/>
      <c r="AB503" s="44"/>
    </row>
    <row r="504" spans="1:28" ht="12.75" customHeight="1">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c r="AA504" s="44"/>
      <c r="AB504" s="44"/>
    </row>
    <row r="505" spans="1:28" ht="12.75" customHeight="1">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c r="AA505" s="44"/>
      <c r="AB505" s="44"/>
    </row>
    <row r="506" spans="1:28" ht="12.75" customHeight="1">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c r="AA506" s="44"/>
      <c r="AB506" s="44"/>
    </row>
    <row r="507" spans="1:28" ht="12.75" customHeight="1">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c r="AA507" s="44"/>
      <c r="AB507" s="44"/>
    </row>
    <row r="508" spans="1:28" ht="12.75" customHeight="1">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c r="AA508" s="44"/>
      <c r="AB508" s="44"/>
    </row>
    <row r="509" spans="1:28" ht="12.75" customHeight="1">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c r="AA509" s="44"/>
      <c r="AB509" s="44"/>
    </row>
    <row r="510" spans="1:28" ht="12.75" customHeight="1">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c r="AA510" s="44"/>
      <c r="AB510" s="44"/>
    </row>
    <row r="511" spans="1:28" ht="12.75" customHeight="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c r="AA511" s="44"/>
      <c r="AB511" s="44"/>
    </row>
    <row r="512" spans="1:28" ht="12.75" customHeight="1">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c r="AA512" s="44"/>
      <c r="AB512" s="44"/>
    </row>
    <row r="513" spans="1:28" ht="12.75" customHeight="1">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c r="AA513" s="44"/>
      <c r="AB513" s="44"/>
    </row>
    <row r="514" spans="1:28" ht="12.75" customHeight="1">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c r="AA514" s="44"/>
      <c r="AB514" s="44"/>
    </row>
    <row r="515" spans="1:28" ht="12.75" customHeight="1">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c r="AA515" s="44"/>
      <c r="AB515" s="44"/>
    </row>
    <row r="516" spans="1:28" ht="12.75" customHeight="1">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c r="AA516" s="44"/>
      <c r="AB516" s="44"/>
    </row>
    <row r="517" spans="1:28" ht="12.75" customHeight="1">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c r="AA517" s="44"/>
      <c r="AB517" s="44"/>
    </row>
    <row r="518" spans="1:28" ht="12.75" customHeight="1">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c r="AA518" s="44"/>
      <c r="AB518" s="44"/>
    </row>
    <row r="519" spans="1:28" ht="12.75" customHeight="1">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c r="AA519" s="44"/>
      <c r="AB519" s="44"/>
    </row>
    <row r="520" spans="1:28" ht="12.75" customHeight="1">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c r="AA520" s="44"/>
      <c r="AB520" s="44"/>
    </row>
    <row r="521" spans="1:28" ht="12.75" customHeight="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c r="AA521" s="44"/>
      <c r="AB521" s="44"/>
    </row>
    <row r="522" spans="1:28" ht="12.75" customHeight="1">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c r="AA522" s="44"/>
      <c r="AB522" s="44"/>
    </row>
    <row r="523" spans="1:28" ht="12.75" customHeight="1">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c r="AA523" s="44"/>
      <c r="AB523" s="44"/>
    </row>
    <row r="524" spans="1:28" ht="12.75" customHeight="1">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c r="AA524" s="44"/>
      <c r="AB524" s="44"/>
    </row>
    <row r="525" spans="1:28" ht="12.75" customHeight="1">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c r="AA525" s="44"/>
      <c r="AB525" s="44"/>
    </row>
    <row r="526" spans="1:28" ht="12.75" customHeight="1">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c r="AA526" s="44"/>
      <c r="AB526" s="44"/>
    </row>
    <row r="527" spans="1:28" ht="12.75" customHeight="1">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c r="AA527" s="44"/>
      <c r="AB527" s="44"/>
    </row>
    <row r="528" spans="1:28" ht="12.75" customHeight="1">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c r="AA528" s="44"/>
      <c r="AB528" s="44"/>
    </row>
    <row r="529" spans="1:28" ht="12.75" customHeight="1">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c r="AA529" s="44"/>
      <c r="AB529" s="44"/>
    </row>
    <row r="530" spans="1:28" ht="12.75" customHeight="1">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c r="AA530" s="44"/>
      <c r="AB530" s="44"/>
    </row>
    <row r="531" spans="1:28" ht="12.75" customHeight="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c r="AA531" s="44"/>
      <c r="AB531" s="44"/>
    </row>
    <row r="532" spans="1:28" ht="12.75" customHeight="1">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c r="AA532" s="44"/>
      <c r="AB532" s="44"/>
    </row>
    <row r="533" spans="1:28" ht="12.75" customHeight="1">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c r="AA533" s="44"/>
      <c r="AB533" s="44"/>
    </row>
    <row r="534" spans="1:28" ht="12.75" customHeight="1">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c r="AA534" s="44"/>
      <c r="AB534" s="44"/>
    </row>
    <row r="535" spans="1:28" ht="12.75" customHeight="1">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c r="AA535" s="44"/>
      <c r="AB535" s="44"/>
    </row>
    <row r="536" spans="1:28" ht="12.75" customHeight="1">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c r="AA536" s="44"/>
      <c r="AB536" s="44"/>
    </row>
    <row r="537" spans="1:28" ht="12.75" customHeight="1">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c r="AA537" s="44"/>
      <c r="AB537" s="44"/>
    </row>
    <row r="538" spans="1:28" ht="12.75" customHeight="1">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c r="AA538" s="44"/>
      <c r="AB538" s="44"/>
    </row>
    <row r="539" spans="1:28" ht="12.75" customHeight="1">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c r="AA539" s="44"/>
      <c r="AB539" s="44"/>
    </row>
    <row r="540" spans="1:28" ht="12.75" customHeight="1">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c r="AA540" s="44"/>
      <c r="AB540" s="44"/>
    </row>
    <row r="541" spans="1:28" ht="12.75" customHeight="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c r="AA541" s="44"/>
      <c r="AB541" s="44"/>
    </row>
    <row r="542" spans="1:28" ht="12.75" customHeight="1">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c r="AA542" s="44"/>
      <c r="AB542" s="44"/>
    </row>
    <row r="543" spans="1:28" ht="12.75" customHeight="1">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c r="AA543" s="44"/>
      <c r="AB543" s="44"/>
    </row>
    <row r="544" spans="1:28" ht="12.75" customHeight="1">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c r="AA544" s="44"/>
      <c r="AB544" s="44"/>
    </row>
    <row r="545" spans="1:28" ht="12.75" customHeight="1">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c r="AA545" s="44"/>
      <c r="AB545" s="44"/>
    </row>
    <row r="546" spans="1:28" ht="12.75" customHeight="1">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c r="AA546" s="44"/>
      <c r="AB546" s="44"/>
    </row>
    <row r="547" spans="1:28" ht="12.75" customHeight="1">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c r="AA547" s="44"/>
      <c r="AB547" s="44"/>
    </row>
    <row r="548" spans="1:28" ht="12.75" customHeight="1">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c r="AA548" s="44"/>
      <c r="AB548" s="44"/>
    </row>
    <row r="549" spans="1:28" ht="12.75" customHeight="1">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c r="AA549" s="44"/>
      <c r="AB549" s="44"/>
    </row>
    <row r="550" spans="1:28" ht="12.75" customHeight="1">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c r="AA550" s="44"/>
      <c r="AB550" s="44"/>
    </row>
    <row r="551" spans="1:28" ht="12.75" customHeight="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c r="AA551" s="44"/>
      <c r="AB551" s="44"/>
    </row>
    <row r="552" spans="1:28" ht="12.75" customHeight="1">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c r="AA552" s="44"/>
      <c r="AB552" s="44"/>
    </row>
    <row r="553" spans="1:28" ht="12.75" customHeight="1">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c r="AA553" s="44"/>
      <c r="AB553" s="44"/>
    </row>
    <row r="554" spans="1:28" ht="12.75" customHeight="1">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c r="AA554" s="44"/>
      <c r="AB554" s="44"/>
    </row>
    <row r="555" spans="1:28" ht="12.75" customHeight="1">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c r="AA555" s="44"/>
      <c r="AB555" s="44"/>
    </row>
    <row r="556" spans="1:28" ht="12.75" customHeight="1">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c r="AA556" s="44"/>
      <c r="AB556" s="44"/>
    </row>
    <row r="557" spans="1:28" ht="12.75" customHeight="1">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c r="AA557" s="44"/>
      <c r="AB557" s="44"/>
    </row>
    <row r="558" spans="1:28" ht="12.75" customHeight="1">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c r="AA558" s="44"/>
      <c r="AB558" s="44"/>
    </row>
    <row r="559" spans="1:28" ht="12.75" customHeight="1">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c r="AA559" s="44"/>
      <c r="AB559" s="44"/>
    </row>
    <row r="560" spans="1:28" ht="12.75" customHeight="1">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c r="AA560" s="44"/>
      <c r="AB560" s="44"/>
    </row>
    <row r="561" spans="1:28" ht="12.75" customHeight="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c r="AA561" s="44"/>
      <c r="AB561" s="44"/>
    </row>
    <row r="562" spans="1:28" ht="12.75" customHeight="1">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c r="AA562" s="44"/>
      <c r="AB562" s="44"/>
    </row>
    <row r="563" spans="1:28" ht="12.75" customHeight="1">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c r="AA563" s="44"/>
      <c r="AB563" s="44"/>
    </row>
    <row r="564" spans="1:28" ht="12.75" customHeight="1">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c r="AA564" s="44"/>
      <c r="AB564" s="44"/>
    </row>
    <row r="565" spans="1:28" ht="12.75" customHeight="1">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c r="AA565" s="44"/>
      <c r="AB565" s="44"/>
    </row>
    <row r="566" spans="1:28" ht="12.75" customHeight="1">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c r="AA566" s="44"/>
      <c r="AB566" s="44"/>
    </row>
    <row r="567" spans="1:28" ht="12.75" customHeight="1">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c r="AA567" s="44"/>
      <c r="AB567" s="44"/>
    </row>
    <row r="568" spans="1:28" ht="12.75" customHeight="1">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c r="AA568" s="44"/>
      <c r="AB568" s="44"/>
    </row>
    <row r="569" spans="1:28" ht="12.75" customHeight="1">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c r="AA569" s="44"/>
      <c r="AB569" s="44"/>
    </row>
    <row r="570" spans="1:28" ht="12.75" customHeight="1">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c r="AA570" s="44"/>
      <c r="AB570" s="44"/>
    </row>
    <row r="571" spans="1:28" ht="12.75" customHeight="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c r="AA571" s="44"/>
      <c r="AB571" s="44"/>
    </row>
    <row r="572" spans="1:28" ht="12.75" customHeight="1">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c r="AA572" s="44"/>
      <c r="AB572" s="44"/>
    </row>
    <row r="573" spans="1:28" ht="12.75" customHeight="1">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c r="AA573" s="44"/>
      <c r="AB573" s="44"/>
    </row>
    <row r="574" spans="1:28" ht="12.75" customHeight="1">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c r="AA574" s="44"/>
      <c r="AB574" s="44"/>
    </row>
    <row r="575" spans="1:28" ht="12.75" customHeight="1">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c r="AA575" s="44"/>
      <c r="AB575" s="44"/>
    </row>
    <row r="576" spans="1:28" ht="12.75" customHeight="1">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c r="AA576" s="44"/>
      <c r="AB576" s="44"/>
    </row>
    <row r="577" spans="1:28" ht="12.75" customHeight="1">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c r="AA577" s="44"/>
      <c r="AB577" s="44"/>
    </row>
    <row r="578" spans="1:28" ht="12.75" customHeight="1">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c r="AA578" s="44"/>
      <c r="AB578" s="44"/>
    </row>
    <row r="579" spans="1:28" ht="12.75" customHeight="1">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c r="AA579" s="44"/>
      <c r="AB579" s="44"/>
    </row>
    <row r="580" spans="1:28" ht="12.75" customHeight="1">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c r="AA580" s="44"/>
      <c r="AB580" s="44"/>
    </row>
    <row r="581" spans="1:28" ht="12.75" customHeight="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c r="AA581" s="44"/>
      <c r="AB581" s="44"/>
    </row>
    <row r="582" spans="1:28" ht="12.75" customHeight="1">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c r="AA582" s="44"/>
      <c r="AB582" s="44"/>
    </row>
    <row r="583" spans="1:28" ht="12.75" customHeight="1">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c r="AA583" s="44"/>
      <c r="AB583" s="44"/>
    </row>
    <row r="584" spans="1:28" ht="12.75" customHeight="1">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c r="AA584" s="44"/>
      <c r="AB584" s="44"/>
    </row>
    <row r="585" spans="1:28" ht="12.75" customHeight="1">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c r="AA585" s="44"/>
      <c r="AB585" s="44"/>
    </row>
    <row r="586" spans="1:28" ht="12.75" customHeight="1">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c r="AA586" s="44"/>
      <c r="AB586" s="44"/>
    </row>
    <row r="587" spans="1:28" ht="12.75" customHeight="1">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c r="AA587" s="44"/>
      <c r="AB587" s="44"/>
    </row>
    <row r="588" spans="1:28" ht="12.75" customHeight="1">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c r="AA588" s="44"/>
      <c r="AB588" s="44"/>
    </row>
    <row r="589" spans="1:28" ht="12.75" customHeight="1">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c r="AA589" s="44"/>
      <c r="AB589" s="44"/>
    </row>
    <row r="590" spans="1:28" ht="12.75" customHeight="1">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c r="AA590" s="44"/>
      <c r="AB590" s="44"/>
    </row>
    <row r="591" spans="1:28" ht="12.75" customHeight="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c r="AA591" s="44"/>
      <c r="AB591" s="44"/>
    </row>
    <row r="592" spans="1:28" ht="12.75" customHeight="1">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c r="AA592" s="44"/>
      <c r="AB592" s="44"/>
    </row>
    <row r="593" spans="1:28" ht="12.75" customHeight="1">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c r="AA593" s="44"/>
      <c r="AB593" s="44"/>
    </row>
    <row r="594" spans="1:28" ht="12.75" customHeight="1">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c r="AA594" s="44"/>
      <c r="AB594" s="44"/>
    </row>
    <row r="595" spans="1:28" ht="12.75" customHeight="1">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c r="AA595" s="44"/>
      <c r="AB595" s="44"/>
    </row>
    <row r="596" spans="1:28" ht="12.75" customHeight="1">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c r="AA596" s="44"/>
      <c r="AB596" s="44"/>
    </row>
    <row r="597" spans="1:28" ht="12.75" customHeight="1">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c r="AA597" s="44"/>
      <c r="AB597" s="44"/>
    </row>
    <row r="598" spans="1:28" ht="12.75" customHeight="1">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c r="AA598" s="44"/>
      <c r="AB598" s="44"/>
    </row>
    <row r="599" spans="1:28" ht="12.75" customHeight="1">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c r="AA599" s="44"/>
      <c r="AB599" s="44"/>
    </row>
    <row r="600" spans="1:28" ht="12.75" customHeight="1">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c r="AA600" s="44"/>
      <c r="AB600" s="44"/>
    </row>
    <row r="601" spans="1:28" ht="12.75" customHeight="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c r="AA601" s="44"/>
      <c r="AB601" s="44"/>
    </row>
    <row r="602" spans="1:28" ht="12.75" customHeight="1">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c r="AA602" s="44"/>
      <c r="AB602" s="44"/>
    </row>
    <row r="603" spans="1:28" ht="12.75" customHeight="1">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c r="AA603" s="44"/>
      <c r="AB603" s="44"/>
    </row>
    <row r="604" spans="1:28" ht="12.75" customHeight="1">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c r="AA604" s="44"/>
      <c r="AB604" s="44"/>
    </row>
    <row r="605" spans="1:28" ht="12.75" customHeight="1">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c r="AA605" s="44"/>
      <c r="AB605" s="44"/>
    </row>
    <row r="606" spans="1:28" ht="12.75" customHeight="1">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c r="AA606" s="44"/>
      <c r="AB606" s="44"/>
    </row>
    <row r="607" spans="1:28" ht="12.75" customHeight="1">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c r="AA607" s="44"/>
      <c r="AB607" s="44"/>
    </row>
    <row r="608" spans="1:28" ht="12.75" customHeight="1">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c r="AA608" s="44"/>
      <c r="AB608" s="44"/>
    </row>
    <row r="609" spans="1:28" ht="12.75" customHeight="1">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c r="AA609" s="44"/>
      <c r="AB609" s="44"/>
    </row>
    <row r="610" spans="1:28" ht="12.75" customHeight="1">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c r="AA610" s="44"/>
      <c r="AB610" s="44"/>
    </row>
    <row r="611" spans="1:28" ht="12.75" customHeight="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c r="AA611" s="44"/>
      <c r="AB611" s="44"/>
    </row>
    <row r="612" spans="1:28" ht="12.75" customHeight="1">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c r="AA612" s="44"/>
      <c r="AB612" s="44"/>
    </row>
    <row r="613" spans="1:28" ht="12.75" customHeight="1">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c r="AA613" s="44"/>
      <c r="AB613" s="44"/>
    </row>
    <row r="614" spans="1:28" ht="12.75" customHeight="1">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c r="AA614" s="44"/>
      <c r="AB614" s="44"/>
    </row>
    <row r="615" spans="1:28" ht="12.75" customHeight="1">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c r="AA615" s="44"/>
      <c r="AB615" s="44"/>
    </row>
    <row r="616" spans="1:28" ht="12.75" customHeight="1">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c r="AA616" s="44"/>
      <c r="AB616" s="44"/>
    </row>
    <row r="617" spans="1:28" ht="12.75" customHeight="1">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c r="AA617" s="44"/>
      <c r="AB617" s="44"/>
    </row>
    <row r="618" spans="1:28" ht="12.75" customHeight="1">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c r="AA618" s="44"/>
      <c r="AB618" s="44"/>
    </row>
    <row r="619" spans="1:28" ht="12.75" customHeight="1">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c r="AA619" s="44"/>
      <c r="AB619" s="44"/>
    </row>
    <row r="620" spans="1:28" ht="12.75" customHeight="1">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c r="AA620" s="44"/>
      <c r="AB620" s="44"/>
    </row>
    <row r="621" spans="1:28" ht="12.75" customHeight="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c r="AA621" s="44"/>
      <c r="AB621" s="44"/>
    </row>
    <row r="622" spans="1:28" ht="12.75" customHeight="1">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c r="AA622" s="44"/>
      <c r="AB622" s="44"/>
    </row>
    <row r="623" spans="1:28" ht="12.75" customHeight="1">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c r="AA623" s="44"/>
      <c r="AB623" s="44"/>
    </row>
    <row r="624" spans="1:28" ht="12.75" customHeight="1">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c r="AA624" s="44"/>
      <c r="AB624" s="44"/>
    </row>
    <row r="625" spans="1:28" ht="12.75" customHeight="1">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c r="AA625" s="44"/>
      <c r="AB625" s="44"/>
    </row>
    <row r="626" spans="1:28" ht="12.75" customHeight="1">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c r="AA626" s="44"/>
      <c r="AB626" s="44"/>
    </row>
    <row r="627" spans="1:28" ht="12.75" customHeight="1">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c r="AA627" s="44"/>
      <c r="AB627" s="44"/>
    </row>
    <row r="628" spans="1:28" ht="12.75" customHeight="1">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c r="AA628" s="44"/>
      <c r="AB628" s="44"/>
    </row>
    <row r="629" spans="1:28" ht="12.75" customHeight="1">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c r="AA629" s="44"/>
      <c r="AB629" s="44"/>
    </row>
    <row r="630" spans="1:28" ht="12.75" customHeight="1">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c r="AA630" s="44"/>
      <c r="AB630" s="44"/>
    </row>
    <row r="631" spans="1:28" ht="12.75" customHeight="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c r="AA631" s="44"/>
      <c r="AB631" s="44"/>
    </row>
    <row r="632" spans="1:28" ht="12.75" customHeight="1">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c r="AA632" s="44"/>
      <c r="AB632" s="44"/>
    </row>
    <row r="633" spans="1:28" ht="12.75" customHeight="1">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c r="AA633" s="44"/>
      <c r="AB633" s="44"/>
    </row>
    <row r="634" spans="1:28" ht="12.75" customHeight="1">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c r="AA634" s="44"/>
      <c r="AB634" s="44"/>
    </row>
    <row r="635" spans="1:28" ht="12.75" customHeight="1">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c r="AA635" s="44"/>
      <c r="AB635" s="44"/>
    </row>
    <row r="636" spans="1:28" ht="12.75" customHeight="1">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c r="AA636" s="44"/>
      <c r="AB636" s="44"/>
    </row>
    <row r="637" spans="1:28" ht="12.75" customHeight="1">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c r="AA637" s="44"/>
      <c r="AB637" s="44"/>
    </row>
    <row r="638" spans="1:28" ht="12.75" customHeight="1">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c r="AA638" s="44"/>
      <c r="AB638" s="44"/>
    </row>
    <row r="639" spans="1:28" ht="12.75" customHeight="1">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c r="AA639" s="44"/>
      <c r="AB639" s="44"/>
    </row>
    <row r="640" spans="1:28" ht="12.75" customHeight="1">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c r="AA640" s="44"/>
      <c r="AB640" s="44"/>
    </row>
    <row r="641" spans="1:28" ht="12.75" customHeight="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c r="AA641" s="44"/>
      <c r="AB641" s="44"/>
    </row>
    <row r="642" spans="1:28" ht="12.75" customHeight="1">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c r="AA642" s="44"/>
      <c r="AB642" s="44"/>
    </row>
    <row r="643" spans="1:28" ht="12.75" customHeight="1">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c r="AA643" s="44"/>
      <c r="AB643" s="44"/>
    </row>
    <row r="644" spans="1:28" ht="12.75" customHeight="1">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c r="AA644" s="44"/>
      <c r="AB644" s="44"/>
    </row>
    <row r="645" spans="1:28" ht="12.75" customHeight="1">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c r="AA645" s="44"/>
      <c r="AB645" s="44"/>
    </row>
    <row r="646" spans="1:28" ht="12.75" customHeight="1">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c r="AA646" s="44"/>
      <c r="AB646" s="44"/>
    </row>
    <row r="647" spans="1:28" ht="12.75" customHeight="1">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c r="AA647" s="44"/>
      <c r="AB647" s="44"/>
    </row>
    <row r="648" spans="1:28" ht="12.75" customHeight="1">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c r="AA648" s="44"/>
      <c r="AB648" s="44"/>
    </row>
    <row r="649" spans="1:28" ht="12.75" customHeight="1">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c r="AA649" s="44"/>
      <c r="AB649" s="44"/>
    </row>
    <row r="650" spans="1:28" ht="12.75" customHeight="1">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c r="AA650" s="44"/>
      <c r="AB650" s="44"/>
    </row>
    <row r="651" spans="1:28" ht="12.75" customHeight="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c r="AA651" s="44"/>
      <c r="AB651" s="44"/>
    </row>
    <row r="652" spans="1:28" ht="12.75" customHeight="1">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c r="AA652" s="44"/>
      <c r="AB652" s="44"/>
    </row>
    <row r="653" spans="1:28" ht="12.75" customHeight="1">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c r="AA653" s="44"/>
      <c r="AB653" s="44"/>
    </row>
    <row r="654" spans="1:28" ht="12.75" customHeight="1">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c r="AA654" s="44"/>
      <c r="AB654" s="44"/>
    </row>
    <row r="655" spans="1:28" ht="12.75" customHeight="1">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c r="AA655" s="44"/>
      <c r="AB655" s="44"/>
    </row>
    <row r="656" spans="1:28" ht="12.75" customHeight="1">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c r="AA656" s="44"/>
      <c r="AB656" s="44"/>
    </row>
    <row r="657" spans="1:28" ht="12.75" customHeight="1">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c r="AA657" s="44"/>
      <c r="AB657" s="44"/>
    </row>
    <row r="658" spans="1:28" ht="12.75" customHeight="1">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c r="AA658" s="44"/>
      <c r="AB658" s="44"/>
    </row>
    <row r="659" spans="1:28" ht="12.75" customHeight="1">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c r="AA659" s="44"/>
      <c r="AB659" s="44"/>
    </row>
    <row r="660" spans="1:28" ht="12.75" customHeight="1">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c r="AA660" s="44"/>
      <c r="AB660" s="44"/>
    </row>
    <row r="661" spans="1:28" ht="12.75" customHeight="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c r="AA661" s="44"/>
      <c r="AB661" s="44"/>
    </row>
    <row r="662" spans="1:28" ht="12.75" customHeight="1">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c r="AA662" s="44"/>
      <c r="AB662" s="44"/>
    </row>
    <row r="663" spans="1:28" ht="12.75" customHeight="1">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c r="AA663" s="44"/>
      <c r="AB663" s="44"/>
    </row>
    <row r="664" spans="1:28" ht="12.75" customHeight="1">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c r="AA664" s="44"/>
      <c r="AB664" s="44"/>
    </row>
    <row r="665" spans="1:28" ht="12.75" customHeight="1">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c r="AA665" s="44"/>
      <c r="AB665" s="44"/>
    </row>
    <row r="666" spans="1:28" ht="12.75" customHeight="1">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c r="AA666" s="44"/>
      <c r="AB666" s="44"/>
    </row>
    <row r="667" spans="1:28" ht="12.75" customHeight="1">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c r="AA667" s="44"/>
      <c r="AB667" s="44"/>
    </row>
    <row r="668" spans="1:28" ht="12.75" customHeight="1">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c r="AA668" s="44"/>
      <c r="AB668" s="44"/>
    </row>
    <row r="669" spans="1:28" ht="12.75" customHeight="1">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c r="AA669" s="44"/>
      <c r="AB669" s="44"/>
    </row>
    <row r="670" spans="1:28" ht="12.75" customHeight="1">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c r="AA670" s="44"/>
      <c r="AB670" s="44"/>
    </row>
    <row r="671" spans="1:28" ht="12.75" customHeight="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c r="AA671" s="44"/>
      <c r="AB671" s="44"/>
    </row>
    <row r="672" spans="1:28" ht="12.75" customHeight="1">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c r="AA672" s="44"/>
      <c r="AB672" s="44"/>
    </row>
    <row r="673" spans="1:28" ht="12.75" customHeight="1">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c r="AA673" s="44"/>
      <c r="AB673" s="44"/>
    </row>
    <row r="674" spans="1:28" ht="12.75" customHeight="1">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c r="AA674" s="44"/>
      <c r="AB674" s="44"/>
    </row>
    <row r="675" spans="1:28" ht="12.75" customHeight="1">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c r="AA675" s="44"/>
      <c r="AB675" s="44"/>
    </row>
    <row r="676" spans="1:28" ht="12.75" customHeight="1">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c r="AA676" s="44"/>
      <c r="AB676" s="44"/>
    </row>
    <row r="677" spans="1:28" ht="12.75" customHeight="1">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c r="AA677" s="44"/>
      <c r="AB677" s="44"/>
    </row>
    <row r="678" spans="1:28" ht="12.75" customHeight="1">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c r="AA678" s="44"/>
      <c r="AB678" s="44"/>
    </row>
    <row r="679" spans="1:28" ht="12.75" customHeight="1">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c r="AA679" s="44"/>
      <c r="AB679" s="44"/>
    </row>
    <row r="680" spans="1:28" ht="12.75" customHeight="1">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c r="AA680" s="44"/>
      <c r="AB680" s="44"/>
    </row>
    <row r="681" spans="1:28" ht="12.75" customHeight="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c r="AA681" s="44"/>
      <c r="AB681" s="44"/>
    </row>
    <row r="682" spans="1:28" ht="12.75" customHeight="1">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c r="AA682" s="44"/>
      <c r="AB682" s="44"/>
    </row>
    <row r="683" spans="1:28" ht="12.75" customHeight="1">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c r="AA683" s="44"/>
      <c r="AB683" s="44"/>
    </row>
    <row r="684" spans="1:28" ht="12.75" customHeight="1">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c r="AA684" s="44"/>
      <c r="AB684" s="44"/>
    </row>
    <row r="685" spans="1:28" ht="12.75" customHeight="1">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c r="AA685" s="44"/>
      <c r="AB685" s="44"/>
    </row>
    <row r="686" spans="1:28" ht="12.75" customHeight="1">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c r="AA686" s="44"/>
      <c r="AB686" s="44"/>
    </row>
    <row r="687" spans="1:28" ht="12.75" customHeight="1">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c r="AA687" s="44"/>
      <c r="AB687" s="44"/>
    </row>
    <row r="688" spans="1:28" ht="12.75" customHeight="1">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c r="AA688" s="44"/>
      <c r="AB688" s="44"/>
    </row>
    <row r="689" spans="1:28" ht="12.75" customHeight="1">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c r="AA689" s="44"/>
      <c r="AB689" s="44"/>
    </row>
    <row r="690" spans="1:28" ht="12.75" customHeight="1">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c r="AA690" s="44"/>
      <c r="AB690" s="44"/>
    </row>
    <row r="691" spans="1:28" ht="12.75" customHeight="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c r="AA691" s="44"/>
      <c r="AB691" s="44"/>
    </row>
    <row r="692" spans="1:28" ht="12.75" customHeight="1">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c r="AA692" s="44"/>
      <c r="AB692" s="44"/>
    </row>
    <row r="693" spans="1:28" ht="12.75" customHeight="1">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c r="AA693" s="44"/>
      <c r="AB693" s="44"/>
    </row>
    <row r="694" spans="1:28" ht="12.75" customHeight="1">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c r="AA694" s="44"/>
      <c r="AB694" s="44"/>
    </row>
    <row r="695" spans="1:28" ht="12.75" customHeight="1">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c r="AA695" s="44"/>
      <c r="AB695" s="44"/>
    </row>
    <row r="696" spans="1:28" ht="12.75" customHeight="1">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c r="AA696" s="44"/>
      <c r="AB696" s="44"/>
    </row>
    <row r="697" spans="1:28" ht="12.75" customHeight="1">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c r="AA697" s="44"/>
      <c r="AB697" s="44"/>
    </row>
    <row r="698" spans="1:28" ht="12.75" customHeight="1">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c r="AA698" s="44"/>
      <c r="AB698" s="44"/>
    </row>
    <row r="699" spans="1:28" ht="12.75" customHeight="1">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c r="AA699" s="44"/>
      <c r="AB699" s="44"/>
    </row>
    <row r="700" spans="1:28" ht="12.75" customHeight="1">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c r="AA700" s="44"/>
      <c r="AB700" s="44"/>
    </row>
    <row r="701" spans="1:28" ht="12.75" customHeight="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c r="AA701" s="44"/>
      <c r="AB701" s="44"/>
    </row>
    <row r="702" spans="1:28" ht="12.75" customHeight="1">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c r="AA702" s="44"/>
      <c r="AB702" s="44"/>
    </row>
    <row r="703" spans="1:28" ht="12.75" customHeight="1">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c r="AA703" s="44"/>
      <c r="AB703" s="44"/>
    </row>
    <row r="704" spans="1:28" ht="12.75" customHeight="1">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c r="AA704" s="44"/>
      <c r="AB704" s="44"/>
    </row>
    <row r="705" spans="1:28" ht="12.75" customHeight="1">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c r="AA705" s="44"/>
      <c r="AB705" s="44"/>
    </row>
    <row r="706" spans="1:28" ht="12.75" customHeight="1">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c r="AA706" s="44"/>
      <c r="AB706" s="44"/>
    </row>
    <row r="707" spans="1:28" ht="12.75" customHeight="1">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c r="AA707" s="44"/>
      <c r="AB707" s="44"/>
    </row>
    <row r="708" spans="1:28" ht="12.75" customHeight="1">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c r="AA708" s="44"/>
      <c r="AB708" s="44"/>
    </row>
    <row r="709" spans="1:28" ht="12.75" customHeight="1">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c r="AA709" s="44"/>
      <c r="AB709" s="44"/>
    </row>
    <row r="710" spans="1:28" ht="12.75" customHeight="1">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c r="AA710" s="44"/>
      <c r="AB710" s="44"/>
    </row>
    <row r="711" spans="1:28" ht="12.75" customHeight="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c r="AA711" s="44"/>
      <c r="AB711" s="44"/>
    </row>
    <row r="712" spans="1:28" ht="12.75" customHeight="1">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c r="AA712" s="44"/>
      <c r="AB712" s="44"/>
    </row>
    <row r="713" spans="1:28" ht="12.75" customHeight="1">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c r="AA713" s="44"/>
      <c r="AB713" s="44"/>
    </row>
    <row r="714" spans="1:28" ht="12.75" customHeight="1">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c r="AA714" s="44"/>
      <c r="AB714" s="44"/>
    </row>
    <row r="715" spans="1:28" ht="12.75" customHeight="1">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c r="AA715" s="44"/>
      <c r="AB715" s="44"/>
    </row>
    <row r="716" spans="1:28" ht="12.75" customHeight="1">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c r="AA716" s="44"/>
      <c r="AB716" s="44"/>
    </row>
    <row r="717" spans="1:28" ht="12.75" customHeight="1">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c r="AA717" s="44"/>
      <c r="AB717" s="44"/>
    </row>
    <row r="718" spans="1:28" ht="12.75" customHeight="1">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c r="AA718" s="44"/>
      <c r="AB718" s="44"/>
    </row>
    <row r="719" spans="1:28" ht="12.75" customHeight="1">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c r="AA719" s="44"/>
      <c r="AB719" s="44"/>
    </row>
    <row r="720" spans="1:28" ht="12.75" customHeight="1">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c r="AA720" s="44"/>
      <c r="AB720" s="44"/>
    </row>
    <row r="721" spans="1:28" ht="12.75" customHeight="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c r="AA721" s="44"/>
      <c r="AB721" s="44"/>
    </row>
    <row r="722" spans="1:28" ht="12.75" customHeight="1">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c r="AA722" s="44"/>
      <c r="AB722" s="44"/>
    </row>
    <row r="723" spans="1:28" ht="12.75" customHeight="1">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c r="AA723" s="44"/>
      <c r="AB723" s="44"/>
    </row>
    <row r="724" spans="1:28" ht="12.75" customHeight="1">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c r="AA724" s="44"/>
      <c r="AB724" s="44"/>
    </row>
    <row r="725" spans="1:28" ht="12.75" customHeight="1">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c r="AA725" s="44"/>
      <c r="AB725" s="44"/>
    </row>
    <row r="726" spans="1:28" ht="12.75" customHeight="1">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c r="AA726" s="44"/>
      <c r="AB726" s="44"/>
    </row>
    <row r="727" spans="1:28" ht="12.75" customHeight="1">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c r="AA727" s="44"/>
      <c r="AB727" s="44"/>
    </row>
    <row r="728" spans="1:28" ht="12.75" customHeight="1">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c r="AA728" s="44"/>
      <c r="AB728" s="44"/>
    </row>
    <row r="729" spans="1:28" ht="12.75" customHeight="1">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c r="AA729" s="44"/>
      <c r="AB729" s="44"/>
    </row>
    <row r="730" spans="1:28" ht="12.75" customHeight="1">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c r="AA730" s="44"/>
      <c r="AB730" s="44"/>
    </row>
    <row r="731" spans="1:28" ht="12.75" customHeight="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c r="AA731" s="44"/>
      <c r="AB731" s="44"/>
    </row>
    <row r="732" spans="1:28" ht="12.75" customHeight="1">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c r="AA732" s="44"/>
      <c r="AB732" s="44"/>
    </row>
    <row r="733" spans="1:28" ht="12.75" customHeight="1">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c r="AA733" s="44"/>
      <c r="AB733" s="44"/>
    </row>
    <row r="734" spans="1:28" ht="12.75" customHeight="1">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c r="AA734" s="44"/>
      <c r="AB734" s="44"/>
    </row>
    <row r="735" spans="1:28" ht="12.75" customHeight="1">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c r="AA735" s="44"/>
      <c r="AB735" s="44"/>
    </row>
    <row r="736" spans="1:28" ht="12.75" customHeight="1">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c r="AA736" s="44"/>
      <c r="AB736" s="44"/>
    </row>
    <row r="737" spans="1:28" ht="12.75" customHeight="1">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c r="AA737" s="44"/>
      <c r="AB737" s="44"/>
    </row>
    <row r="738" spans="1:28" ht="12.75" customHeight="1">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c r="AA738" s="44"/>
      <c r="AB738" s="44"/>
    </row>
    <row r="739" spans="1:28" ht="12.75" customHeight="1">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c r="AA739" s="44"/>
      <c r="AB739" s="44"/>
    </row>
    <row r="740" spans="1:28" ht="12.75" customHeight="1">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c r="AA740" s="44"/>
      <c r="AB740" s="44"/>
    </row>
    <row r="741" spans="1:28" ht="12.75" customHeight="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c r="AA741" s="44"/>
      <c r="AB741" s="44"/>
    </row>
    <row r="742" spans="1:28" ht="12.75" customHeight="1">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c r="AA742" s="44"/>
      <c r="AB742" s="44"/>
    </row>
    <row r="743" spans="1:28" ht="12.75" customHeight="1">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c r="AA743" s="44"/>
      <c r="AB743" s="44"/>
    </row>
    <row r="744" spans="1:28" ht="12.75" customHeight="1">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c r="AA744" s="44"/>
      <c r="AB744" s="44"/>
    </row>
    <row r="745" spans="1:28" ht="12.75" customHeight="1">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c r="AA745" s="44"/>
      <c r="AB745" s="44"/>
    </row>
    <row r="746" spans="1:28" ht="12.75" customHeight="1">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c r="AA746" s="44"/>
      <c r="AB746" s="44"/>
    </row>
    <row r="747" spans="1:28" ht="12.75" customHeight="1">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c r="AA747" s="44"/>
      <c r="AB747" s="44"/>
    </row>
    <row r="748" spans="1:28" ht="12.75" customHeight="1">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c r="AA748" s="44"/>
      <c r="AB748" s="44"/>
    </row>
    <row r="749" spans="1:28" ht="12.75" customHeight="1">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c r="AA749" s="44"/>
      <c r="AB749" s="44"/>
    </row>
    <row r="750" spans="1:28" ht="12.75" customHeight="1">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c r="AA750" s="44"/>
      <c r="AB750" s="44"/>
    </row>
    <row r="751" spans="1:28" ht="12.75" customHeight="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c r="AA751" s="44"/>
      <c r="AB751" s="44"/>
    </row>
    <row r="752" spans="1:28" ht="12.75" customHeight="1">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c r="AA752" s="44"/>
      <c r="AB752" s="44"/>
    </row>
    <row r="753" spans="1:28" ht="12.75" customHeight="1">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c r="AA753" s="44"/>
      <c r="AB753" s="44"/>
    </row>
    <row r="754" spans="1:28" ht="12.75" customHeight="1">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c r="AA754" s="44"/>
      <c r="AB754" s="44"/>
    </row>
    <row r="755" spans="1:28" ht="12.75" customHeight="1">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c r="AA755" s="44"/>
      <c r="AB755" s="44"/>
    </row>
    <row r="756" spans="1:28" ht="12.75" customHeight="1">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c r="AA756" s="44"/>
      <c r="AB756" s="44"/>
    </row>
    <row r="757" spans="1:28" ht="12.75" customHeight="1">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c r="AA757" s="44"/>
      <c r="AB757" s="44"/>
    </row>
    <row r="758" spans="1:28" ht="12.75" customHeight="1">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c r="AA758" s="44"/>
      <c r="AB758" s="44"/>
    </row>
    <row r="759" spans="1:28" ht="12.75" customHeight="1">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c r="AA759" s="44"/>
      <c r="AB759" s="44"/>
    </row>
    <row r="760" spans="1:28" ht="12.75" customHeight="1">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c r="AA760" s="44"/>
      <c r="AB760" s="44"/>
    </row>
    <row r="761" spans="1:28" ht="12.75" customHeight="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c r="AA761" s="44"/>
      <c r="AB761" s="44"/>
    </row>
    <row r="762" spans="1:28" ht="12.75" customHeight="1">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c r="AA762" s="44"/>
      <c r="AB762" s="44"/>
    </row>
    <row r="763" spans="1:28" ht="12.75" customHeight="1">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c r="AA763" s="44"/>
      <c r="AB763" s="44"/>
    </row>
    <row r="764" spans="1:28" ht="12.75" customHeight="1">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c r="AA764" s="44"/>
      <c r="AB764" s="44"/>
    </row>
    <row r="765" spans="1:28" ht="12.75" customHeight="1">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c r="AA765" s="44"/>
      <c r="AB765" s="44"/>
    </row>
    <row r="766" spans="1:28" ht="12.75" customHeight="1">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c r="AA766" s="44"/>
      <c r="AB766" s="44"/>
    </row>
    <row r="767" spans="1:28" ht="12.75" customHeight="1">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c r="AA767" s="44"/>
      <c r="AB767" s="44"/>
    </row>
    <row r="768" spans="1:28" ht="12.75" customHeight="1">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c r="AA768" s="44"/>
      <c r="AB768" s="44"/>
    </row>
    <row r="769" spans="1:28" ht="12.75" customHeight="1">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c r="AA769" s="44"/>
      <c r="AB769" s="44"/>
    </row>
    <row r="770" spans="1:28" ht="12.75" customHeight="1">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c r="AA770" s="44"/>
      <c r="AB770" s="44"/>
    </row>
    <row r="771" spans="1:28" ht="12.75" customHeight="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c r="AA771" s="44"/>
      <c r="AB771" s="44"/>
    </row>
    <row r="772" spans="1:28" ht="12.75" customHeight="1">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c r="AA772" s="44"/>
      <c r="AB772" s="44"/>
    </row>
    <row r="773" spans="1:28" ht="12.75" customHeight="1">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c r="AA773" s="44"/>
      <c r="AB773" s="44"/>
    </row>
    <row r="774" spans="1:28" ht="12.75" customHeight="1">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c r="AA774" s="44"/>
      <c r="AB774" s="44"/>
    </row>
    <row r="775" spans="1:28" ht="12.75" customHeight="1">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c r="AA775" s="44"/>
      <c r="AB775" s="44"/>
    </row>
    <row r="776" spans="1:28" ht="12.75" customHeight="1">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c r="AA776" s="44"/>
      <c r="AB776" s="44"/>
    </row>
    <row r="777" spans="1:28" ht="12.75" customHeight="1">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c r="AA777" s="44"/>
      <c r="AB777" s="44"/>
    </row>
    <row r="778" spans="1:28" ht="12.75" customHeight="1">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c r="AA778" s="44"/>
      <c r="AB778" s="44"/>
    </row>
    <row r="779" spans="1:28" ht="12.75" customHeight="1">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c r="AA779" s="44"/>
      <c r="AB779" s="44"/>
    </row>
    <row r="780" spans="1:28" ht="12.75" customHeight="1">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c r="AA780" s="44"/>
      <c r="AB780" s="44"/>
    </row>
    <row r="781" spans="1:28" ht="12.75" customHeight="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c r="AA781" s="44"/>
      <c r="AB781" s="44"/>
    </row>
    <row r="782" spans="1:28" ht="12.75" customHeight="1">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c r="AA782" s="44"/>
      <c r="AB782" s="44"/>
    </row>
    <row r="783" spans="1:28" ht="12.75" customHeight="1">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c r="AA783" s="44"/>
      <c r="AB783" s="44"/>
    </row>
    <row r="784" spans="1:28" ht="12.75" customHeight="1">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c r="AA784" s="44"/>
      <c r="AB784" s="44"/>
    </row>
    <row r="785" spans="1:28" ht="12.75" customHeight="1">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c r="AA785" s="44"/>
      <c r="AB785" s="44"/>
    </row>
    <row r="786" spans="1:28" ht="12.75" customHeight="1">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c r="AA786" s="44"/>
      <c r="AB786" s="44"/>
    </row>
    <row r="787" spans="1:28" ht="12.75" customHeight="1">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c r="AA787" s="44"/>
      <c r="AB787" s="44"/>
    </row>
    <row r="788" spans="1:28" ht="12.75" customHeight="1">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c r="AA788" s="44"/>
      <c r="AB788" s="44"/>
    </row>
    <row r="789" spans="1:28" ht="12.75" customHeight="1">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c r="AA789" s="44"/>
      <c r="AB789" s="44"/>
    </row>
    <row r="790" spans="1:28" ht="12.75" customHeight="1">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c r="AA790" s="44"/>
      <c r="AB790" s="44"/>
    </row>
    <row r="791" spans="1:28" ht="12.75" customHeight="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c r="AA791" s="44"/>
      <c r="AB791" s="44"/>
    </row>
    <row r="792" spans="1:28" ht="12.75" customHeight="1">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c r="AA792" s="44"/>
      <c r="AB792" s="44"/>
    </row>
    <row r="793" spans="1:28" ht="12.75" customHeight="1">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c r="AA793" s="44"/>
      <c r="AB793" s="44"/>
    </row>
    <row r="794" spans="1:28" ht="12.75" customHeight="1">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c r="AA794" s="44"/>
      <c r="AB794" s="44"/>
    </row>
    <row r="795" spans="1:28" ht="12.75" customHeight="1">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c r="AA795" s="44"/>
      <c r="AB795" s="44"/>
    </row>
    <row r="796" spans="1:28" ht="12.75" customHeight="1">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c r="AA796" s="44"/>
      <c r="AB796" s="44"/>
    </row>
    <row r="797" spans="1:28" ht="12.75" customHeight="1">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c r="AA797" s="44"/>
      <c r="AB797" s="44"/>
    </row>
    <row r="798" spans="1:28" ht="12.75" customHeight="1">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c r="AA798" s="44"/>
      <c r="AB798" s="44"/>
    </row>
    <row r="799" spans="1:28" ht="12.75" customHeight="1">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c r="AA799" s="44"/>
      <c r="AB799" s="44"/>
    </row>
    <row r="800" spans="1:28" ht="12.75" customHeight="1">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c r="AA800" s="44"/>
      <c r="AB800" s="44"/>
    </row>
    <row r="801" spans="1:28" ht="12.75" customHeight="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c r="AA801" s="44"/>
      <c r="AB801" s="44"/>
    </row>
    <row r="802" spans="1:28" ht="12.75" customHeight="1">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c r="AA802" s="44"/>
      <c r="AB802" s="44"/>
    </row>
    <row r="803" spans="1:28" ht="12.75" customHeight="1">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c r="AA803" s="44"/>
      <c r="AB803" s="44"/>
    </row>
    <row r="804" spans="1:28" ht="12.75" customHeight="1">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c r="AA804" s="44"/>
      <c r="AB804" s="44"/>
    </row>
    <row r="805" spans="1:28" ht="12.75" customHeight="1">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c r="AA805" s="44"/>
      <c r="AB805" s="44"/>
    </row>
    <row r="806" spans="1:28" ht="12.75" customHeight="1">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c r="AA806" s="44"/>
      <c r="AB806" s="44"/>
    </row>
    <row r="807" spans="1:28" ht="12.75" customHeight="1">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c r="AA807" s="44"/>
      <c r="AB807" s="44"/>
    </row>
    <row r="808" spans="1:28" ht="12.75" customHeight="1">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c r="AA808" s="44"/>
      <c r="AB808" s="44"/>
    </row>
    <row r="809" spans="1:28" ht="12.75" customHeight="1">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c r="AA809" s="44"/>
      <c r="AB809" s="44"/>
    </row>
    <row r="810" spans="1:28" ht="12.75" customHeight="1">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c r="AA810" s="44"/>
      <c r="AB810" s="44"/>
    </row>
    <row r="811" spans="1:28" ht="12.75" customHeight="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c r="AA811" s="44"/>
      <c r="AB811" s="44"/>
    </row>
    <row r="812" spans="1:28" ht="12.75" customHeight="1">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c r="AA812" s="44"/>
      <c r="AB812" s="44"/>
    </row>
    <row r="813" spans="1:28" ht="12.75" customHeight="1">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c r="AA813" s="44"/>
      <c r="AB813" s="44"/>
    </row>
    <row r="814" spans="1:28" ht="12.75" customHeight="1">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c r="AA814" s="44"/>
      <c r="AB814" s="44"/>
    </row>
    <row r="815" spans="1:28" ht="12.75" customHeight="1">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c r="AA815" s="44"/>
      <c r="AB815" s="44"/>
    </row>
    <row r="816" spans="1:28" ht="12.75" customHeight="1">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c r="AA816" s="44"/>
      <c r="AB816" s="44"/>
    </row>
    <row r="817" spans="1:28" ht="12.75" customHeight="1">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c r="AA817" s="44"/>
      <c r="AB817" s="44"/>
    </row>
    <row r="818" spans="1:28" ht="12.75" customHeight="1">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c r="AA818" s="44"/>
      <c r="AB818" s="44"/>
    </row>
    <row r="819" spans="1:28" ht="12.75" customHeight="1">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c r="AA819" s="44"/>
      <c r="AB819" s="44"/>
    </row>
    <row r="820" spans="1:28" ht="12.75" customHeight="1">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c r="AA820" s="44"/>
      <c r="AB820" s="44"/>
    </row>
    <row r="821" spans="1:28" ht="12.75" customHeight="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c r="AA821" s="44"/>
      <c r="AB821" s="44"/>
    </row>
    <row r="822" spans="1:28" ht="12.75" customHeight="1">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c r="AA822" s="44"/>
      <c r="AB822" s="44"/>
    </row>
    <row r="823" spans="1:28" ht="12.75" customHeight="1">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c r="AA823" s="44"/>
      <c r="AB823" s="44"/>
    </row>
    <row r="824" spans="1:28" ht="12.75" customHeight="1">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c r="AA824" s="44"/>
      <c r="AB824" s="44"/>
    </row>
    <row r="825" spans="1:28" ht="12.75" customHeight="1">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c r="AA825" s="44"/>
      <c r="AB825" s="44"/>
    </row>
    <row r="826" spans="1:28" ht="12.75" customHeight="1">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c r="AA826" s="44"/>
      <c r="AB826" s="44"/>
    </row>
    <row r="827" spans="1:28" ht="12.75" customHeight="1">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c r="AA827" s="44"/>
      <c r="AB827" s="44"/>
    </row>
    <row r="828" spans="1:28" ht="12.75" customHeight="1">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c r="AA828" s="44"/>
      <c r="AB828" s="44"/>
    </row>
    <row r="829" spans="1:28" ht="12.75" customHeight="1">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c r="AA829" s="44"/>
      <c r="AB829" s="44"/>
    </row>
    <row r="830" spans="1:28" ht="12.75" customHeight="1">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c r="AA830" s="44"/>
      <c r="AB830" s="44"/>
    </row>
    <row r="831" spans="1:28" ht="12.75" customHeight="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c r="AA831" s="44"/>
      <c r="AB831" s="44"/>
    </row>
    <row r="832" spans="1:28" ht="12.75" customHeight="1">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c r="AA832" s="44"/>
      <c r="AB832" s="44"/>
    </row>
    <row r="833" spans="1:28" ht="12.75" customHeight="1">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c r="AA833" s="44"/>
      <c r="AB833" s="44"/>
    </row>
    <row r="834" spans="1:28" ht="12.75" customHeight="1">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c r="AA834" s="44"/>
      <c r="AB834" s="44"/>
    </row>
    <row r="835" spans="1:28" ht="12.75" customHeight="1">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c r="AA835" s="44"/>
      <c r="AB835" s="44"/>
    </row>
    <row r="836" spans="1:28" ht="12.75" customHeight="1">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c r="AA836" s="44"/>
      <c r="AB836" s="44"/>
    </row>
    <row r="837" spans="1:28" ht="12.75" customHeight="1">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c r="AA837" s="44"/>
      <c r="AB837" s="44"/>
    </row>
    <row r="838" spans="1:28" ht="12.75" customHeight="1">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c r="AA838" s="44"/>
      <c r="AB838" s="44"/>
    </row>
    <row r="839" spans="1:28" ht="12.75" customHeight="1">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c r="AA839" s="44"/>
      <c r="AB839" s="44"/>
    </row>
    <row r="840" spans="1:28" ht="12.75" customHeight="1">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c r="AA840" s="44"/>
      <c r="AB840" s="44"/>
    </row>
    <row r="841" spans="1:28" ht="12.75" customHeight="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c r="AA841" s="44"/>
      <c r="AB841" s="44"/>
    </row>
    <row r="842" spans="1:28" ht="12.75" customHeight="1">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c r="AA842" s="44"/>
      <c r="AB842" s="44"/>
    </row>
    <row r="843" spans="1:28" ht="12.75" customHeight="1">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c r="AA843" s="44"/>
      <c r="AB843" s="44"/>
    </row>
    <row r="844" spans="1:28" ht="12.75" customHeight="1">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c r="AA844" s="44"/>
      <c r="AB844" s="44"/>
    </row>
    <row r="845" spans="1:28" ht="12.75" customHeight="1">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c r="AA845" s="44"/>
      <c r="AB845" s="44"/>
    </row>
    <row r="846" spans="1:28" ht="12.75" customHeight="1">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c r="AA846" s="44"/>
      <c r="AB846" s="44"/>
    </row>
    <row r="847" spans="1:28" ht="12.75" customHeight="1">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c r="AA847" s="44"/>
      <c r="AB847" s="44"/>
    </row>
    <row r="848" spans="1:28" ht="12.75" customHeight="1">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c r="AA848" s="44"/>
      <c r="AB848" s="44"/>
    </row>
    <row r="849" spans="1:28" ht="12.75" customHeight="1">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c r="AA849" s="44"/>
      <c r="AB849" s="44"/>
    </row>
    <row r="850" spans="1:28" ht="12.75" customHeight="1">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c r="AA850" s="44"/>
      <c r="AB850" s="44"/>
    </row>
    <row r="851" spans="1:28" ht="12.75" customHeight="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c r="AA851" s="44"/>
      <c r="AB851" s="44"/>
    </row>
    <row r="852" spans="1:28" ht="12.75" customHeight="1">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c r="AA852" s="44"/>
      <c r="AB852" s="44"/>
    </row>
    <row r="853" spans="1:28" ht="12.75" customHeight="1">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c r="AA853" s="44"/>
      <c r="AB853" s="44"/>
    </row>
    <row r="854" spans="1:28" ht="12.75" customHeight="1">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c r="AA854" s="44"/>
      <c r="AB854" s="44"/>
    </row>
    <row r="855" spans="1:28" ht="12.75" customHeight="1">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c r="AA855" s="44"/>
      <c r="AB855" s="44"/>
    </row>
    <row r="856" spans="1:28" ht="12.75" customHeight="1">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c r="AA856" s="44"/>
      <c r="AB856" s="44"/>
    </row>
    <row r="857" spans="1:28" ht="12.75" customHeight="1">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c r="AA857" s="44"/>
      <c r="AB857" s="44"/>
    </row>
    <row r="858" spans="1:28" ht="12.75" customHeight="1">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c r="AA858" s="44"/>
      <c r="AB858" s="44"/>
    </row>
    <row r="859" spans="1:28" ht="12.75" customHeight="1">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c r="AA859" s="44"/>
      <c r="AB859" s="44"/>
    </row>
    <row r="860" spans="1:28" ht="12.75" customHeight="1">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c r="AA860" s="44"/>
      <c r="AB860" s="44"/>
    </row>
    <row r="861" spans="1:28" ht="12.75" customHeight="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c r="AA861" s="44"/>
      <c r="AB861" s="44"/>
    </row>
    <row r="862" spans="1:28" ht="12.75" customHeight="1">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c r="AA862" s="44"/>
      <c r="AB862" s="44"/>
    </row>
    <row r="863" spans="1:28" ht="12.75" customHeight="1">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c r="AA863" s="44"/>
      <c r="AB863" s="44"/>
    </row>
    <row r="864" spans="1:28" ht="12.75" customHeight="1">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c r="AA864" s="44"/>
      <c r="AB864" s="44"/>
    </row>
    <row r="865" spans="1:28" ht="12.75" customHeight="1">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c r="AA865" s="44"/>
      <c r="AB865" s="44"/>
    </row>
    <row r="866" spans="1:28" ht="12.75" customHeight="1">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c r="AA866" s="44"/>
      <c r="AB866" s="44"/>
    </row>
    <row r="867" spans="1:28" ht="12.75" customHeight="1">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c r="AA867" s="44"/>
      <c r="AB867" s="44"/>
    </row>
    <row r="868" spans="1:28" ht="12.75" customHeight="1">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c r="AA868" s="44"/>
      <c r="AB868" s="44"/>
    </row>
    <row r="869" spans="1:28" ht="12.75" customHeight="1">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c r="AA869" s="44"/>
      <c r="AB869" s="44"/>
    </row>
    <row r="870" spans="1:28" ht="12.75" customHeight="1">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c r="AA870" s="44"/>
      <c r="AB870" s="44"/>
    </row>
    <row r="871" spans="1:28" ht="12.75" customHeight="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c r="AA871" s="44"/>
      <c r="AB871" s="44"/>
    </row>
    <row r="872" spans="1:28" ht="12.75" customHeight="1">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c r="AA872" s="44"/>
      <c r="AB872" s="44"/>
    </row>
    <row r="873" spans="1:28" ht="12.75" customHeight="1">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c r="AA873" s="44"/>
      <c r="AB873" s="44"/>
    </row>
    <row r="874" spans="1:28" ht="12.75" customHeight="1">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c r="AA874" s="44"/>
      <c r="AB874" s="44"/>
    </row>
    <row r="875" spans="1:28" ht="12.75" customHeight="1">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c r="AA875" s="44"/>
      <c r="AB875" s="44"/>
    </row>
    <row r="876" spans="1:28" ht="12.75" customHeight="1">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c r="AA876" s="44"/>
      <c r="AB876" s="44"/>
    </row>
    <row r="877" spans="1:28" ht="12.75" customHeight="1">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c r="AA877" s="44"/>
      <c r="AB877" s="44"/>
    </row>
    <row r="878" spans="1:28" ht="12.75" customHeight="1">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c r="AA878" s="44"/>
      <c r="AB878" s="44"/>
    </row>
    <row r="879" spans="1:28" ht="12.75" customHeight="1">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c r="AA879" s="44"/>
      <c r="AB879" s="44"/>
    </row>
    <row r="880" spans="1:28" ht="12.75" customHeight="1">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c r="AA880" s="44"/>
      <c r="AB880" s="44"/>
    </row>
    <row r="881" spans="1:28" ht="12.75" customHeight="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c r="AA881" s="44"/>
      <c r="AB881" s="44"/>
    </row>
    <row r="882" spans="1:28" ht="12.75" customHeight="1">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c r="AA882" s="44"/>
      <c r="AB882" s="44"/>
    </row>
    <row r="883" spans="1:28" ht="12.75" customHeight="1">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c r="AA883" s="44"/>
      <c r="AB883" s="44"/>
    </row>
    <row r="884" spans="1:28" ht="12.75" customHeight="1">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c r="AA884" s="44"/>
      <c r="AB884" s="44"/>
    </row>
    <row r="885" spans="1:28" ht="12.75" customHeight="1">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c r="AA885" s="44"/>
      <c r="AB885" s="44"/>
    </row>
    <row r="886" spans="1:28" ht="12.75" customHeight="1">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c r="AA886" s="44"/>
      <c r="AB886" s="44"/>
    </row>
    <row r="887" spans="1:28" ht="12.75" customHeight="1">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c r="AA887" s="44"/>
      <c r="AB887" s="44"/>
    </row>
    <row r="888" spans="1:28" ht="12.75" customHeight="1">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c r="AA888" s="44"/>
      <c r="AB888" s="44"/>
    </row>
    <row r="889" spans="1:28" ht="12.75" customHeight="1">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c r="AA889" s="44"/>
      <c r="AB889" s="44"/>
    </row>
    <row r="890" spans="1:28" ht="12.75" customHeight="1">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c r="AA890" s="44"/>
      <c r="AB890" s="44"/>
    </row>
    <row r="891" spans="1:28" ht="12.75" customHeight="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c r="AA891" s="44"/>
      <c r="AB891" s="44"/>
    </row>
    <row r="892" spans="1:28" ht="12.75" customHeight="1">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c r="AA892" s="44"/>
      <c r="AB892" s="44"/>
    </row>
    <row r="893" spans="1:28" ht="12.75" customHeight="1">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c r="AA893" s="44"/>
      <c r="AB893" s="44"/>
    </row>
    <row r="894" spans="1:28" ht="12.75" customHeight="1">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c r="AA894" s="44"/>
      <c r="AB894" s="44"/>
    </row>
    <row r="895" spans="1:28" ht="12.75" customHeight="1">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c r="AA895" s="44"/>
      <c r="AB895" s="44"/>
    </row>
    <row r="896" spans="1:28" ht="12.75" customHeight="1">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c r="AA896" s="44"/>
      <c r="AB896" s="44"/>
    </row>
    <row r="897" spans="1:28" ht="12.75" customHeight="1">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c r="AA897" s="44"/>
      <c r="AB897" s="44"/>
    </row>
    <row r="898" spans="1:28" ht="12.75" customHeight="1">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c r="AA898" s="44"/>
      <c r="AB898" s="44"/>
    </row>
    <row r="899" spans="1:28" ht="12.75" customHeight="1">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c r="AA899" s="44"/>
      <c r="AB899" s="44"/>
    </row>
    <row r="900" spans="1:28" ht="12.75" customHeight="1">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c r="AA900" s="44"/>
      <c r="AB900" s="44"/>
    </row>
    <row r="901" spans="1:28" ht="12.75" customHeight="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c r="AA901" s="44"/>
      <c r="AB901" s="44"/>
    </row>
    <row r="902" spans="1:28" ht="12.75" customHeight="1">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c r="AA902" s="44"/>
      <c r="AB902" s="44"/>
    </row>
    <row r="903" spans="1:28" ht="12.75" customHeight="1">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c r="AA903" s="44"/>
      <c r="AB903" s="44"/>
    </row>
    <row r="904" spans="1:28" ht="12.75" customHeight="1">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c r="AA904" s="44"/>
      <c r="AB904" s="44"/>
    </row>
    <row r="905" spans="1:28" ht="12.75" customHeight="1">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c r="AA905" s="44"/>
      <c r="AB905" s="44"/>
    </row>
    <row r="906" spans="1:28" ht="12.75" customHeight="1">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c r="AA906" s="44"/>
      <c r="AB906" s="44"/>
    </row>
    <row r="907" spans="1:28" ht="12.75" customHeight="1">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c r="AA907" s="44"/>
      <c r="AB907" s="44"/>
    </row>
    <row r="908" spans="1:28" ht="12.75" customHeight="1">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c r="AA908" s="44"/>
      <c r="AB908" s="44"/>
    </row>
    <row r="909" spans="1:28" ht="12.75" customHeight="1">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c r="AA909" s="44"/>
      <c r="AB909" s="44"/>
    </row>
    <row r="910" spans="1:28" ht="12.75" customHeight="1">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c r="AA910" s="44"/>
      <c r="AB910" s="44"/>
    </row>
    <row r="911" spans="1:28" ht="12.75" customHeight="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c r="AA911" s="44"/>
      <c r="AB911" s="44"/>
    </row>
    <row r="912" spans="1:28" ht="12.75" customHeight="1">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c r="AA912" s="44"/>
      <c r="AB912" s="44"/>
    </row>
    <row r="913" spans="1:28" ht="12.75" customHeight="1">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c r="AA913" s="44"/>
      <c r="AB913" s="44"/>
    </row>
    <row r="914" spans="1:28" ht="12.75" customHeight="1">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c r="AA914" s="44"/>
      <c r="AB914" s="44"/>
    </row>
    <row r="915" spans="1:28" ht="12.75" customHeight="1">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c r="AA915" s="44"/>
      <c r="AB915" s="44"/>
    </row>
    <row r="916" spans="1:28" ht="12.75" customHeight="1">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c r="AA916" s="44"/>
      <c r="AB916" s="44"/>
    </row>
    <row r="917" spans="1:28" ht="12.75" customHeight="1">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c r="AA917" s="44"/>
      <c r="AB917" s="44"/>
    </row>
    <row r="918" spans="1:28" ht="12.75" customHeight="1">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c r="AA918" s="44"/>
      <c r="AB918" s="44"/>
    </row>
    <row r="919" spans="1:28" ht="12.75" customHeight="1">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c r="AA919" s="44"/>
      <c r="AB919" s="44"/>
    </row>
    <row r="920" spans="1:28" ht="12.75" customHeight="1">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c r="AA920" s="44"/>
      <c r="AB920" s="44"/>
    </row>
    <row r="921" spans="1:28" ht="12.75" customHeight="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c r="AA921" s="44"/>
      <c r="AB921" s="44"/>
    </row>
    <row r="922" spans="1:28" ht="12.75" customHeight="1">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c r="AA922" s="44"/>
      <c r="AB922" s="44"/>
    </row>
    <row r="923" spans="1:28" ht="12.75" customHeight="1">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c r="AA923" s="44"/>
      <c r="AB923" s="44"/>
    </row>
    <row r="924" spans="1:28" ht="12.75" customHeight="1">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c r="AA924" s="44"/>
      <c r="AB924" s="44"/>
    </row>
    <row r="925" spans="1:28" ht="12.75" customHeight="1">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c r="AA925" s="44"/>
      <c r="AB925" s="44"/>
    </row>
    <row r="926" spans="1:28" ht="12.75" customHeight="1">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c r="AA926" s="44"/>
      <c r="AB926" s="44"/>
    </row>
    <row r="927" spans="1:28" ht="12.75" customHeight="1">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c r="AA927" s="44"/>
      <c r="AB927" s="44"/>
    </row>
    <row r="928" spans="1:28" ht="12.75" customHeight="1">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c r="AA928" s="44"/>
      <c r="AB928" s="44"/>
    </row>
    <row r="929" spans="1:28" ht="12.75" customHeight="1">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c r="AA929" s="44"/>
      <c r="AB929" s="44"/>
    </row>
    <row r="930" spans="1:28" ht="12.75" customHeight="1">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c r="AA930" s="44"/>
      <c r="AB930" s="44"/>
    </row>
    <row r="931" spans="1:28" ht="12.75" customHeight="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c r="AA931" s="44"/>
      <c r="AB931" s="44"/>
    </row>
    <row r="932" spans="1:28" ht="12.75" customHeight="1">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c r="AA932" s="44"/>
      <c r="AB932" s="44"/>
    </row>
    <row r="933" spans="1:28" ht="12.75" customHeight="1">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c r="AA933" s="44"/>
      <c r="AB933" s="44"/>
    </row>
    <row r="934" spans="1:28" ht="12.75" customHeight="1">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c r="AA934" s="44"/>
      <c r="AB934" s="44"/>
    </row>
    <row r="935" spans="1:28" ht="12.75" customHeight="1">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c r="AA935" s="44"/>
      <c r="AB935" s="44"/>
    </row>
    <row r="936" spans="1:28" ht="12.75" customHeight="1">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c r="AA936" s="44"/>
      <c r="AB936" s="44"/>
    </row>
    <row r="937" spans="1:28" ht="12.75" customHeight="1">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c r="AA937" s="44"/>
      <c r="AB937" s="44"/>
    </row>
    <row r="938" spans="1:28" ht="12.75" customHeight="1">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c r="AA938" s="44"/>
      <c r="AB938" s="44"/>
    </row>
    <row r="939" spans="1:28" ht="12.75" customHeight="1">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c r="AA939" s="44"/>
      <c r="AB939" s="44"/>
    </row>
    <row r="940" spans="1:28" ht="12.75" customHeight="1">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c r="AA940" s="44"/>
      <c r="AB940" s="44"/>
    </row>
    <row r="941" spans="1:28" ht="12.75" customHeight="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c r="AA941" s="44"/>
      <c r="AB941" s="44"/>
    </row>
    <row r="942" spans="1:28" ht="12.75" customHeight="1">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c r="AA942" s="44"/>
      <c r="AB942" s="44"/>
    </row>
    <row r="943" spans="1:28" ht="12.75" customHeight="1">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c r="AA943" s="44"/>
      <c r="AB943" s="44"/>
    </row>
    <row r="944" spans="1:28" ht="12.75" customHeight="1">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c r="AA944" s="44"/>
      <c r="AB944" s="44"/>
    </row>
    <row r="945" spans="1:28" ht="12.75" customHeight="1">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c r="AA945" s="44"/>
      <c r="AB945" s="44"/>
    </row>
  </sheetData>
  <autoFilter ref="A1:AB62" xr:uid="{00000000-0001-0000-0000-000000000000}"/>
  <sortState xmlns:xlrd2="http://schemas.microsoft.com/office/spreadsheetml/2017/richdata2" ref="A2:F945">
    <sortCondition ref="A1:A945"/>
  </sortState>
  <phoneticPr fontId="19" type="noConversion"/>
  <pageMargins left="0.74791666666666701" right="0.74791666666666701" top="0.98402777777777795" bottom="0.98402777777777795" header="0" footer="0"/>
  <pageSetup paperSize="9"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09E57-6B88-8547-8C3A-05F7D3865759}">
  <dimension ref="A1:AO956"/>
  <sheetViews>
    <sheetView zoomScale="138" zoomScaleNormal="50" workbookViewId="0">
      <pane xSplit="3" ySplit="3" topLeftCell="D4" activePane="bottomRight" state="frozen"/>
      <selection pane="topRight" activeCell="D1" sqref="D1"/>
      <selection pane="bottomLeft" activeCell="A4" sqref="A4"/>
      <selection pane="bottomRight" activeCell="H9" sqref="H9"/>
    </sheetView>
  </sheetViews>
  <sheetFormatPr baseColWidth="10" defaultRowHeight="14"/>
  <cols>
    <col min="1" max="1" width="14.3984375" customWidth="1"/>
    <col min="2" max="2" width="6.3984375" customWidth="1"/>
    <col min="3" max="3" width="22" bestFit="1" customWidth="1"/>
    <col min="36" max="36" width="14" bestFit="1" customWidth="1"/>
    <col min="37" max="37" width="11.19921875" bestFit="1" customWidth="1"/>
    <col min="38" max="38" width="14" bestFit="1" customWidth="1"/>
    <col min="39" max="39" width="8.3984375" bestFit="1" customWidth="1"/>
    <col min="40" max="40" width="15" customWidth="1"/>
  </cols>
  <sheetData>
    <row r="1" spans="1:39" ht="15">
      <c r="A1" s="190" t="s">
        <v>61</v>
      </c>
      <c r="B1" s="190"/>
      <c r="C1" s="191"/>
      <c r="D1" s="181" t="s">
        <v>63</v>
      </c>
      <c r="E1" s="182"/>
      <c r="F1" s="183"/>
      <c r="G1" s="181" t="s">
        <v>64</v>
      </c>
      <c r="H1" s="182"/>
      <c r="I1" s="183"/>
      <c r="J1" s="181" t="s">
        <v>65</v>
      </c>
      <c r="K1" s="182"/>
      <c r="L1" s="183"/>
      <c r="M1" s="181" t="s">
        <v>66</v>
      </c>
      <c r="N1" s="182"/>
      <c r="O1" s="183"/>
      <c r="P1" s="181" t="s">
        <v>67</v>
      </c>
      <c r="Q1" s="182"/>
      <c r="R1" s="183"/>
      <c r="S1" s="181" t="s">
        <v>68</v>
      </c>
      <c r="T1" s="182"/>
      <c r="U1" s="182"/>
      <c r="V1" s="182"/>
      <c r="W1" s="182"/>
      <c r="X1" s="181" t="s">
        <v>69</v>
      </c>
      <c r="Y1" s="182"/>
      <c r="Z1" s="183"/>
      <c r="AA1" s="181" t="s">
        <v>70</v>
      </c>
      <c r="AB1" s="182"/>
      <c r="AC1" s="182"/>
      <c r="AD1" s="182"/>
      <c r="AE1" s="182"/>
      <c r="AF1" s="181" t="s">
        <v>71</v>
      </c>
      <c r="AG1" s="182"/>
      <c r="AH1" s="183"/>
      <c r="AJ1" s="182" t="s">
        <v>288</v>
      </c>
      <c r="AK1" s="182"/>
      <c r="AL1" s="182"/>
      <c r="AM1" s="182"/>
    </row>
    <row r="2" spans="1:39" ht="15" customHeight="1">
      <c r="A2" s="184" t="s">
        <v>2</v>
      </c>
      <c r="B2" s="184" t="s">
        <v>62</v>
      </c>
      <c r="C2" s="186" t="s">
        <v>3</v>
      </c>
      <c r="D2" s="188" t="s">
        <v>253</v>
      </c>
      <c r="E2" s="184" t="s">
        <v>254</v>
      </c>
      <c r="F2" s="186" t="s">
        <v>257</v>
      </c>
      <c r="G2" s="188" t="s">
        <v>253</v>
      </c>
      <c r="H2" s="184" t="s">
        <v>254</v>
      </c>
      <c r="I2" s="186" t="s">
        <v>257</v>
      </c>
      <c r="J2" s="188" t="s">
        <v>253</v>
      </c>
      <c r="K2" s="184" t="s">
        <v>254</v>
      </c>
      <c r="L2" s="186" t="s">
        <v>257</v>
      </c>
      <c r="M2" s="188" t="s">
        <v>253</v>
      </c>
      <c r="N2" s="184" t="s">
        <v>254</v>
      </c>
      <c r="O2" s="186" t="s">
        <v>257</v>
      </c>
      <c r="P2" s="188" t="s">
        <v>253</v>
      </c>
      <c r="Q2" s="184" t="s">
        <v>254</v>
      </c>
      <c r="R2" s="186" t="s">
        <v>257</v>
      </c>
      <c r="S2" s="188" t="s">
        <v>253</v>
      </c>
      <c r="T2" s="184" t="s">
        <v>254</v>
      </c>
      <c r="U2" s="184"/>
      <c r="V2" s="193" t="s">
        <v>258</v>
      </c>
      <c r="W2" s="193"/>
      <c r="X2" s="188" t="s">
        <v>253</v>
      </c>
      <c r="Y2" s="184" t="s">
        <v>254</v>
      </c>
      <c r="Z2" s="186" t="s">
        <v>257</v>
      </c>
      <c r="AA2" s="188" t="s">
        <v>253</v>
      </c>
      <c r="AB2" s="184" t="s">
        <v>254</v>
      </c>
      <c r="AC2" s="184"/>
      <c r="AD2" s="193" t="s">
        <v>258</v>
      </c>
      <c r="AE2" s="193"/>
      <c r="AF2" s="188" t="s">
        <v>253</v>
      </c>
      <c r="AG2" s="184" t="s">
        <v>254</v>
      </c>
      <c r="AH2" s="186" t="s">
        <v>257</v>
      </c>
      <c r="AJ2" s="188" t="s">
        <v>253</v>
      </c>
      <c r="AK2" s="184" t="s">
        <v>254</v>
      </c>
      <c r="AL2" s="186" t="s">
        <v>258</v>
      </c>
      <c r="AM2" s="181" t="s">
        <v>287</v>
      </c>
    </row>
    <row r="3" spans="1:39" ht="31" customHeight="1">
      <c r="A3" s="185"/>
      <c r="B3" s="185"/>
      <c r="C3" s="187"/>
      <c r="D3" s="189"/>
      <c r="E3" s="185"/>
      <c r="F3" s="187"/>
      <c r="G3" s="189"/>
      <c r="H3" s="184"/>
      <c r="I3" s="187"/>
      <c r="J3" s="189"/>
      <c r="K3" s="185"/>
      <c r="L3" s="187"/>
      <c r="M3" s="189"/>
      <c r="N3" s="185"/>
      <c r="O3" s="187"/>
      <c r="P3" s="189"/>
      <c r="Q3" s="185"/>
      <c r="R3" s="187"/>
      <c r="S3" s="189"/>
      <c r="T3" s="158" t="s">
        <v>703</v>
      </c>
      <c r="U3" s="158" t="s">
        <v>704</v>
      </c>
      <c r="V3" s="158" t="s">
        <v>255</v>
      </c>
      <c r="W3" s="158" t="s">
        <v>256</v>
      </c>
      <c r="X3" s="189"/>
      <c r="Y3" s="185"/>
      <c r="Z3" s="187"/>
      <c r="AA3" s="189"/>
      <c r="AB3" s="158" t="s">
        <v>703</v>
      </c>
      <c r="AC3" s="158" t="s">
        <v>704</v>
      </c>
      <c r="AD3" s="158" t="s">
        <v>255</v>
      </c>
      <c r="AE3" s="158" t="s">
        <v>256</v>
      </c>
      <c r="AF3" s="189"/>
      <c r="AG3" s="185"/>
      <c r="AH3" s="187"/>
      <c r="AJ3" s="189"/>
      <c r="AK3" s="185"/>
      <c r="AL3" s="187"/>
      <c r="AM3" s="181"/>
    </row>
    <row r="4" spans="1:39" ht="15">
      <c r="A4" s="13" t="s">
        <v>858</v>
      </c>
      <c r="B4" s="14">
        <v>1</v>
      </c>
      <c r="C4" s="11" t="s">
        <v>744</v>
      </c>
      <c r="D4" s="59" t="s">
        <v>72</v>
      </c>
      <c r="E4" t="s">
        <v>223</v>
      </c>
      <c r="F4" s="23" t="s">
        <v>72</v>
      </c>
      <c r="G4" s="59" t="s">
        <v>1</v>
      </c>
      <c r="H4" t="s">
        <v>223</v>
      </c>
      <c r="I4" s="19" t="s">
        <v>1</v>
      </c>
      <c r="J4" s="59" t="s">
        <v>1</v>
      </c>
      <c r="K4" t="s">
        <v>223</v>
      </c>
      <c r="L4" s="19" t="s">
        <v>1</v>
      </c>
      <c r="M4" s="59" t="s">
        <v>72</v>
      </c>
      <c r="N4" t="s">
        <v>223</v>
      </c>
      <c r="O4" s="19" t="s">
        <v>72</v>
      </c>
      <c r="P4" s="59" t="s">
        <v>73</v>
      </c>
      <c r="Q4" t="s">
        <v>223</v>
      </c>
      <c r="R4" s="23" t="s">
        <v>223</v>
      </c>
      <c r="S4" s="59" t="s">
        <v>72</v>
      </c>
      <c r="T4" t="s">
        <v>223</v>
      </c>
      <c r="U4" t="s">
        <v>223</v>
      </c>
      <c r="V4" s="19" t="s">
        <v>72</v>
      </c>
      <c r="W4" s="23" t="s">
        <v>72</v>
      </c>
      <c r="X4" s="59" t="s">
        <v>72</v>
      </c>
      <c r="Y4" t="s">
        <v>223</v>
      </c>
      <c r="Z4" s="23" t="s">
        <v>223</v>
      </c>
      <c r="AA4" s="59" t="s">
        <v>72</v>
      </c>
      <c r="AB4" t="s">
        <v>223</v>
      </c>
      <c r="AC4" t="s">
        <v>223</v>
      </c>
      <c r="AD4" s="19" t="s">
        <v>72</v>
      </c>
      <c r="AE4" s="19" t="s">
        <v>72</v>
      </c>
      <c r="AF4" s="59" t="s">
        <v>72</v>
      </c>
      <c r="AG4" t="s">
        <v>223</v>
      </c>
      <c r="AH4" s="23" t="s">
        <v>72</v>
      </c>
      <c r="AJ4" s="164">
        <f>IF(D4&lt;&gt;"n/a",(COUNTIF(D4,"yes")+COUNTIF(G4,"yes")+COUNTIF(J4,"yes")+COUNTIF(M4,"yes")+COUNTIF(P4,"yes")+COUNTIF(S4,"yes")+COUNTIF(X4,"yes")+COUNTIF(AA4,"yes")+COUNTIF(AF4,"yes"))/9,"#")</f>
        <v>0.66666666666666663</v>
      </c>
      <c r="AK4" s="164" t="str">
        <f>IF(E4&lt;&gt;"n/a",(COUNTIF(E4,"yes")+COUNTIF(H4,"yes")+COUNTIF(K4,"yes")+COUNTIF(N4,"yes")+COUNTIF(Q4,"yes")+IF(COUNTIF(T4:U4,"yes")&gt;=1,1,0)+COUNTIF(Y4,"yes")+IF(COUNTIF(AB4:AC4,"yes")&gt;=1,1,0)+COUNTIF(AG4,"yes"))/8,"#")</f>
        <v>#</v>
      </c>
      <c r="AL4" s="164">
        <f>IF(F4&lt;&gt;"n/a",(COUNTIF(F4,"yes")+COUNTIF(I4,"yes")+COUNTIF(L4,"yes")+COUNTIF(O4,"yes")+COUNTIF(R4,"yes")+IF(COUNTIF(V4:W4,"yes")&gt;=1,1,0)+COUNTIF(Z4,"yes")+IF(COUNTIF(AD4:AE4,"yes")&gt;=1,1,0)+COUNTIF(AH4,"yes"))/7,"#")</f>
        <v>0.7142857142857143</v>
      </c>
      <c r="AM4" s="164">
        <f>AVERAGE(AJ4:AL4)</f>
        <v>0.69047619047619047</v>
      </c>
    </row>
    <row r="5" spans="1:39" ht="15">
      <c r="A5" s="13" t="s">
        <v>858</v>
      </c>
      <c r="B5" s="14">
        <v>2</v>
      </c>
      <c r="C5" s="11" t="s">
        <v>744</v>
      </c>
      <c r="D5" s="59" t="s">
        <v>72</v>
      </c>
      <c r="E5" t="s">
        <v>223</v>
      </c>
      <c r="F5" s="23" t="s">
        <v>72</v>
      </c>
      <c r="G5" s="59" t="s">
        <v>1</v>
      </c>
      <c r="H5" t="s">
        <v>223</v>
      </c>
      <c r="I5" s="19" t="s">
        <v>1</v>
      </c>
      <c r="J5" s="59" t="s">
        <v>1</v>
      </c>
      <c r="K5" t="s">
        <v>223</v>
      </c>
      <c r="L5" s="19" t="s">
        <v>1</v>
      </c>
      <c r="M5" s="59" t="s">
        <v>72</v>
      </c>
      <c r="N5" t="s">
        <v>223</v>
      </c>
      <c r="O5" s="19" t="s">
        <v>72</v>
      </c>
      <c r="P5" s="59" t="s">
        <v>73</v>
      </c>
      <c r="Q5" t="s">
        <v>223</v>
      </c>
      <c r="R5" s="23" t="s">
        <v>223</v>
      </c>
      <c r="S5" s="59" t="s">
        <v>72</v>
      </c>
      <c r="T5" t="s">
        <v>223</v>
      </c>
      <c r="U5" t="s">
        <v>223</v>
      </c>
      <c r="V5" s="19" t="s">
        <v>72</v>
      </c>
      <c r="W5" s="23" t="s">
        <v>72</v>
      </c>
      <c r="X5" s="59" t="s">
        <v>72</v>
      </c>
      <c r="Y5" t="s">
        <v>223</v>
      </c>
      <c r="Z5" s="23" t="s">
        <v>223</v>
      </c>
      <c r="AA5" s="59" t="s">
        <v>72</v>
      </c>
      <c r="AB5" t="s">
        <v>223</v>
      </c>
      <c r="AC5" t="s">
        <v>223</v>
      </c>
      <c r="AD5" s="19" t="s">
        <v>72</v>
      </c>
      <c r="AE5" s="19" t="s">
        <v>72</v>
      </c>
      <c r="AF5" s="59" t="s">
        <v>72</v>
      </c>
      <c r="AG5" t="s">
        <v>223</v>
      </c>
      <c r="AH5" s="23" t="s">
        <v>72</v>
      </c>
      <c r="AJ5" s="164">
        <f t="shared" ref="AJ5:AJ68" si="0">IF(D5&lt;&gt;"n/a",(COUNTIF(D5,"yes")+COUNTIF(G5,"yes")+COUNTIF(J5,"yes")+COUNTIF(M5,"yes")+COUNTIF(P5,"yes")+COUNTIF(S5,"yes")+COUNTIF(X5,"yes")+COUNTIF(AA5,"yes")+COUNTIF(AF5,"yes"))/9,"#")</f>
        <v>0.66666666666666663</v>
      </c>
      <c r="AK5" s="164" t="str">
        <f t="shared" ref="AK5:AK68" si="1">IF(E5&lt;&gt;"n/a",(COUNTIF(E5,"yes")+COUNTIF(H5,"yes")+COUNTIF(K5,"yes")+COUNTIF(N5,"yes")+COUNTIF(Q5,"yes")+IF(COUNTIF(T5:U5,"yes")&gt;=1,1,0)+COUNTIF(Y5,"yes")+IF(COUNTIF(AB5:AC5,"yes")&gt;=1,1,0)+COUNTIF(AG5,"yes"))/8,"#")</f>
        <v>#</v>
      </c>
      <c r="AL5" s="164">
        <f t="shared" ref="AL5:AL68" si="2">IF(F5&lt;&gt;"n/a",(COUNTIF(F5,"yes")+COUNTIF(I5,"yes")+COUNTIF(L5,"yes")+COUNTIF(O5,"yes")+COUNTIF(R5,"yes")+IF(COUNTIF(V5:W5,"yes")&gt;=1,1,0)+COUNTIF(Z5,"yes")+IF(COUNTIF(AD5:AE5,"yes")&gt;=1,1,0)+COUNTIF(AH5,"yes"))/7,"#")</f>
        <v>0.7142857142857143</v>
      </c>
      <c r="AM5" s="164">
        <f t="shared" ref="AM5:AM31" si="3">AVERAGE(AJ5:AL5)</f>
        <v>0.69047619047619047</v>
      </c>
    </row>
    <row r="6" spans="1:39" ht="15">
      <c r="A6" s="84" t="s">
        <v>859</v>
      </c>
      <c r="B6" s="85">
        <v>0</v>
      </c>
      <c r="C6" s="47" t="s">
        <v>745</v>
      </c>
      <c r="D6" s="59" t="s">
        <v>72</v>
      </c>
      <c r="E6" t="s">
        <v>223</v>
      </c>
      <c r="F6" s="77" t="s">
        <v>223</v>
      </c>
      <c r="G6" s="59" t="s">
        <v>1</v>
      </c>
      <c r="H6" t="s">
        <v>223</v>
      </c>
      <c r="I6" s="77" t="s">
        <v>223</v>
      </c>
      <c r="J6" s="59" t="s">
        <v>1</v>
      </c>
      <c r="K6" t="s">
        <v>223</v>
      </c>
      <c r="L6" s="77" t="s">
        <v>223</v>
      </c>
      <c r="M6" s="59" t="s">
        <v>72</v>
      </c>
      <c r="N6" t="s">
        <v>223</v>
      </c>
      <c r="O6" s="77" t="s">
        <v>223</v>
      </c>
      <c r="P6" s="59" t="s">
        <v>73</v>
      </c>
      <c r="Q6" s="76" t="s">
        <v>223</v>
      </c>
      <c r="R6" s="77" t="s">
        <v>223</v>
      </c>
      <c r="S6" s="59" t="s">
        <v>72</v>
      </c>
      <c r="T6" t="s">
        <v>223</v>
      </c>
      <c r="U6" t="s">
        <v>223</v>
      </c>
      <c r="V6" s="76" t="s">
        <v>223</v>
      </c>
      <c r="W6" s="77" t="s">
        <v>223</v>
      </c>
      <c r="X6" s="75" t="s">
        <v>72</v>
      </c>
      <c r="Y6" t="s">
        <v>223</v>
      </c>
      <c r="Z6" s="77" t="s">
        <v>223</v>
      </c>
      <c r="AA6" s="75" t="s">
        <v>72</v>
      </c>
      <c r="AB6" t="s">
        <v>223</v>
      </c>
      <c r="AC6" t="s">
        <v>223</v>
      </c>
      <c r="AD6" s="76" t="s">
        <v>223</v>
      </c>
      <c r="AE6" s="77" t="s">
        <v>223</v>
      </c>
      <c r="AF6" s="59" t="s">
        <v>72</v>
      </c>
      <c r="AG6" t="s">
        <v>223</v>
      </c>
      <c r="AH6" s="77" t="s">
        <v>223</v>
      </c>
      <c r="AJ6" s="164">
        <f t="shared" si="0"/>
        <v>0.66666666666666663</v>
      </c>
      <c r="AK6" s="164" t="str">
        <f t="shared" si="1"/>
        <v>#</v>
      </c>
      <c r="AL6" s="164" t="str">
        <f t="shared" si="2"/>
        <v>#</v>
      </c>
      <c r="AM6" s="164">
        <f t="shared" si="3"/>
        <v>0.66666666666666663</v>
      </c>
    </row>
    <row r="7" spans="1:39" ht="15">
      <c r="A7" s="5" t="s">
        <v>47</v>
      </c>
      <c r="B7" s="6">
        <v>0</v>
      </c>
      <c r="C7" s="44" t="s">
        <v>746</v>
      </c>
      <c r="D7" s="59" t="s">
        <v>72</v>
      </c>
      <c r="E7" t="s">
        <v>223</v>
      </c>
      <c r="F7" s="23" t="s">
        <v>72</v>
      </c>
      <c r="G7" s="59" t="s">
        <v>1</v>
      </c>
      <c r="H7" t="s">
        <v>223</v>
      </c>
      <c r="I7" s="19" t="s">
        <v>1</v>
      </c>
      <c r="J7" s="59" t="s">
        <v>1</v>
      </c>
      <c r="K7" t="s">
        <v>223</v>
      </c>
      <c r="L7" s="19" t="s">
        <v>1</v>
      </c>
      <c r="M7" s="59" t="s">
        <v>72</v>
      </c>
      <c r="N7" t="s">
        <v>223</v>
      </c>
      <c r="O7" s="19" t="s">
        <v>72</v>
      </c>
      <c r="P7" s="59" t="s">
        <v>1</v>
      </c>
      <c r="Q7" s="19" t="s">
        <v>223</v>
      </c>
      <c r="R7" s="24" t="s">
        <v>223</v>
      </c>
      <c r="S7" s="59" t="s">
        <v>72</v>
      </c>
      <c r="T7" t="s">
        <v>223</v>
      </c>
      <c r="U7" t="s">
        <v>223</v>
      </c>
      <c r="V7" s="19" t="s">
        <v>72</v>
      </c>
      <c r="W7" s="23" t="s">
        <v>72</v>
      </c>
      <c r="X7" s="59" t="s">
        <v>73</v>
      </c>
      <c r="Y7" t="s">
        <v>223</v>
      </c>
      <c r="Z7" s="24" t="s">
        <v>223</v>
      </c>
      <c r="AA7" s="59" t="s">
        <v>73</v>
      </c>
      <c r="AB7" t="s">
        <v>223</v>
      </c>
      <c r="AC7" t="s">
        <v>223</v>
      </c>
      <c r="AD7" s="19" t="s">
        <v>72</v>
      </c>
      <c r="AE7" s="23" t="s">
        <v>73</v>
      </c>
      <c r="AF7" s="59" t="s">
        <v>72</v>
      </c>
      <c r="AG7" t="s">
        <v>223</v>
      </c>
      <c r="AH7" s="23" t="s">
        <v>72</v>
      </c>
      <c r="AJ7" s="164">
        <f t="shared" si="0"/>
        <v>0.44444444444444442</v>
      </c>
      <c r="AK7" s="164" t="str">
        <f t="shared" si="1"/>
        <v>#</v>
      </c>
      <c r="AL7" s="164">
        <f t="shared" si="2"/>
        <v>0.7142857142857143</v>
      </c>
      <c r="AM7" s="164">
        <f t="shared" si="3"/>
        <v>0.57936507936507931</v>
      </c>
    </row>
    <row r="8" spans="1:39" ht="15">
      <c r="A8" s="44" t="s">
        <v>50</v>
      </c>
      <c r="B8" s="6">
        <v>1</v>
      </c>
      <c r="C8" s="44" t="s">
        <v>747</v>
      </c>
      <c r="D8" s="59" t="s">
        <v>72</v>
      </c>
      <c r="E8" t="s">
        <v>223</v>
      </c>
      <c r="F8" s="23" t="s">
        <v>223</v>
      </c>
      <c r="G8" s="59" t="s">
        <v>1</v>
      </c>
      <c r="H8" t="s">
        <v>223</v>
      </c>
      <c r="I8" s="23" t="s">
        <v>223</v>
      </c>
      <c r="J8" s="59" t="s">
        <v>1</v>
      </c>
      <c r="K8" t="s">
        <v>223</v>
      </c>
      <c r="L8" s="23" t="s">
        <v>223</v>
      </c>
      <c r="M8" s="59" t="s">
        <v>72</v>
      </c>
      <c r="N8" t="s">
        <v>223</v>
      </c>
      <c r="O8" s="23" t="s">
        <v>223</v>
      </c>
      <c r="P8" s="59" t="s">
        <v>72</v>
      </c>
      <c r="Q8" s="19" t="s">
        <v>223</v>
      </c>
      <c r="R8" s="23" t="s">
        <v>223</v>
      </c>
      <c r="S8" s="59" t="s">
        <v>1</v>
      </c>
      <c r="T8" t="s">
        <v>223</v>
      </c>
      <c r="U8" t="s">
        <v>223</v>
      </c>
      <c r="V8" s="19" t="s">
        <v>223</v>
      </c>
      <c r="W8" s="23" t="s">
        <v>223</v>
      </c>
      <c r="X8" s="59" t="s">
        <v>73</v>
      </c>
      <c r="Y8" t="s">
        <v>223</v>
      </c>
      <c r="Z8" s="23" t="s">
        <v>223</v>
      </c>
      <c r="AA8" s="59" t="s">
        <v>1</v>
      </c>
      <c r="AB8" t="s">
        <v>223</v>
      </c>
      <c r="AC8" t="s">
        <v>223</v>
      </c>
      <c r="AD8" s="19" t="s">
        <v>223</v>
      </c>
      <c r="AE8" s="23" t="s">
        <v>223</v>
      </c>
      <c r="AF8" s="19" t="s">
        <v>72</v>
      </c>
      <c r="AG8" t="s">
        <v>223</v>
      </c>
      <c r="AH8" s="23" t="s">
        <v>223</v>
      </c>
      <c r="AJ8" s="164">
        <f t="shared" si="0"/>
        <v>0.44444444444444442</v>
      </c>
      <c r="AK8" s="164" t="str">
        <f t="shared" si="1"/>
        <v>#</v>
      </c>
      <c r="AL8" s="164" t="str">
        <f t="shared" si="2"/>
        <v>#</v>
      </c>
      <c r="AM8" s="164">
        <f t="shared" si="3"/>
        <v>0.44444444444444442</v>
      </c>
    </row>
    <row r="9" spans="1:39" ht="15">
      <c r="A9" s="44" t="s">
        <v>50</v>
      </c>
      <c r="B9" s="6">
        <v>2</v>
      </c>
      <c r="C9" s="44" t="s">
        <v>747</v>
      </c>
      <c r="D9" s="59" t="s">
        <v>72</v>
      </c>
      <c r="E9" t="s">
        <v>223</v>
      </c>
      <c r="F9" s="23" t="s">
        <v>223</v>
      </c>
      <c r="G9" s="59" t="s">
        <v>1</v>
      </c>
      <c r="H9" t="s">
        <v>223</v>
      </c>
      <c r="I9" s="23" t="s">
        <v>223</v>
      </c>
      <c r="J9" s="59" t="s">
        <v>1</v>
      </c>
      <c r="K9" t="s">
        <v>223</v>
      </c>
      <c r="L9" s="23" t="s">
        <v>223</v>
      </c>
      <c r="M9" s="59" t="s">
        <v>72</v>
      </c>
      <c r="N9" t="s">
        <v>223</v>
      </c>
      <c r="O9" s="23" t="s">
        <v>223</v>
      </c>
      <c r="P9" s="59" t="s">
        <v>72</v>
      </c>
      <c r="Q9" s="19" t="s">
        <v>223</v>
      </c>
      <c r="R9" s="23" t="s">
        <v>223</v>
      </c>
      <c r="S9" s="59" t="s">
        <v>1</v>
      </c>
      <c r="T9" t="s">
        <v>223</v>
      </c>
      <c r="U9" t="s">
        <v>223</v>
      </c>
      <c r="V9" s="19" t="s">
        <v>223</v>
      </c>
      <c r="W9" s="23" t="s">
        <v>223</v>
      </c>
      <c r="X9" s="59" t="s">
        <v>73</v>
      </c>
      <c r="Y9" t="s">
        <v>223</v>
      </c>
      <c r="Z9" s="23" t="s">
        <v>223</v>
      </c>
      <c r="AA9" s="59" t="s">
        <v>1</v>
      </c>
      <c r="AB9" t="s">
        <v>223</v>
      </c>
      <c r="AC9" t="s">
        <v>223</v>
      </c>
      <c r="AD9" s="19" t="s">
        <v>223</v>
      </c>
      <c r="AE9" s="23" t="s">
        <v>223</v>
      </c>
      <c r="AF9" s="19" t="s">
        <v>72</v>
      </c>
      <c r="AG9" t="s">
        <v>223</v>
      </c>
      <c r="AH9" s="23" t="s">
        <v>223</v>
      </c>
      <c r="AJ9" s="164">
        <f t="shared" si="0"/>
        <v>0.44444444444444442</v>
      </c>
      <c r="AK9" s="164" t="str">
        <f t="shared" si="1"/>
        <v>#</v>
      </c>
      <c r="AL9" s="164" t="str">
        <f t="shared" si="2"/>
        <v>#</v>
      </c>
      <c r="AM9" s="164">
        <f t="shared" si="3"/>
        <v>0.44444444444444442</v>
      </c>
    </row>
    <row r="10" spans="1:39" ht="15">
      <c r="A10" s="44" t="s">
        <v>50</v>
      </c>
      <c r="B10" s="6">
        <v>3</v>
      </c>
      <c r="C10" s="44" t="s">
        <v>747</v>
      </c>
      <c r="D10" s="59" t="s">
        <v>72</v>
      </c>
      <c r="E10" t="s">
        <v>223</v>
      </c>
      <c r="F10" s="23" t="s">
        <v>223</v>
      </c>
      <c r="G10" s="59" t="s">
        <v>1</v>
      </c>
      <c r="H10" t="s">
        <v>223</v>
      </c>
      <c r="I10" s="23" t="s">
        <v>223</v>
      </c>
      <c r="J10" s="59" t="s">
        <v>1</v>
      </c>
      <c r="K10" t="s">
        <v>223</v>
      </c>
      <c r="L10" s="23" t="s">
        <v>223</v>
      </c>
      <c r="M10" s="59" t="s">
        <v>72</v>
      </c>
      <c r="N10" t="s">
        <v>223</v>
      </c>
      <c r="O10" s="23" t="s">
        <v>223</v>
      </c>
      <c r="P10" s="59" t="s">
        <v>72</v>
      </c>
      <c r="Q10" s="19" t="s">
        <v>223</v>
      </c>
      <c r="R10" s="23" t="s">
        <v>223</v>
      </c>
      <c r="S10" s="59" t="s">
        <v>1</v>
      </c>
      <c r="T10" t="s">
        <v>223</v>
      </c>
      <c r="U10" t="s">
        <v>223</v>
      </c>
      <c r="V10" s="19" t="s">
        <v>223</v>
      </c>
      <c r="W10" s="23" t="s">
        <v>223</v>
      </c>
      <c r="X10" s="59" t="s">
        <v>73</v>
      </c>
      <c r="Y10" t="s">
        <v>223</v>
      </c>
      <c r="Z10" s="23" t="s">
        <v>223</v>
      </c>
      <c r="AA10" s="59" t="s">
        <v>1</v>
      </c>
      <c r="AB10" t="s">
        <v>223</v>
      </c>
      <c r="AC10" t="s">
        <v>223</v>
      </c>
      <c r="AD10" s="19" t="s">
        <v>223</v>
      </c>
      <c r="AE10" s="23" t="s">
        <v>223</v>
      </c>
      <c r="AF10" s="19" t="s">
        <v>72</v>
      </c>
      <c r="AG10" t="s">
        <v>223</v>
      </c>
      <c r="AH10" s="23" t="s">
        <v>223</v>
      </c>
      <c r="AJ10" s="164">
        <f t="shared" si="0"/>
        <v>0.44444444444444442</v>
      </c>
      <c r="AK10" s="164" t="str">
        <f t="shared" si="1"/>
        <v>#</v>
      </c>
      <c r="AL10" s="164" t="str">
        <f t="shared" si="2"/>
        <v>#</v>
      </c>
      <c r="AM10" s="164">
        <f t="shared" si="3"/>
        <v>0.44444444444444442</v>
      </c>
    </row>
    <row r="11" spans="1:39" ht="15">
      <c r="A11" s="44" t="s">
        <v>50</v>
      </c>
      <c r="B11" s="6">
        <v>4</v>
      </c>
      <c r="C11" s="44" t="s">
        <v>747</v>
      </c>
      <c r="D11" s="59" t="s">
        <v>72</v>
      </c>
      <c r="E11" t="s">
        <v>223</v>
      </c>
      <c r="F11" s="23" t="s">
        <v>223</v>
      </c>
      <c r="G11" s="59" t="s">
        <v>1</v>
      </c>
      <c r="H11" t="s">
        <v>223</v>
      </c>
      <c r="I11" s="23" t="s">
        <v>223</v>
      </c>
      <c r="J11" s="59" t="s">
        <v>1</v>
      </c>
      <c r="K11" t="s">
        <v>223</v>
      </c>
      <c r="L11" s="23" t="s">
        <v>223</v>
      </c>
      <c r="M11" s="59" t="s">
        <v>72</v>
      </c>
      <c r="N11" t="s">
        <v>223</v>
      </c>
      <c r="O11" s="23" t="s">
        <v>223</v>
      </c>
      <c r="P11" s="59" t="s">
        <v>72</v>
      </c>
      <c r="Q11" s="19" t="s">
        <v>223</v>
      </c>
      <c r="R11" s="23" t="s">
        <v>223</v>
      </c>
      <c r="S11" s="59" t="s">
        <v>1</v>
      </c>
      <c r="T11" t="s">
        <v>223</v>
      </c>
      <c r="U11" t="s">
        <v>223</v>
      </c>
      <c r="V11" s="19" t="s">
        <v>223</v>
      </c>
      <c r="W11" s="23" t="s">
        <v>223</v>
      </c>
      <c r="X11" s="59" t="s">
        <v>73</v>
      </c>
      <c r="Y11" t="s">
        <v>223</v>
      </c>
      <c r="Z11" s="23" t="s">
        <v>223</v>
      </c>
      <c r="AA11" s="59" t="s">
        <v>73</v>
      </c>
      <c r="AB11" t="s">
        <v>223</v>
      </c>
      <c r="AC11" t="s">
        <v>223</v>
      </c>
      <c r="AD11" s="19" t="s">
        <v>223</v>
      </c>
      <c r="AE11" s="23" t="s">
        <v>223</v>
      </c>
      <c r="AF11" s="19" t="s">
        <v>72</v>
      </c>
      <c r="AG11" t="s">
        <v>223</v>
      </c>
      <c r="AH11" s="23" t="s">
        <v>223</v>
      </c>
      <c r="AJ11" s="164">
        <f t="shared" si="0"/>
        <v>0.44444444444444442</v>
      </c>
      <c r="AK11" s="164" t="str">
        <f t="shared" si="1"/>
        <v>#</v>
      </c>
      <c r="AL11" s="164" t="str">
        <f t="shared" si="2"/>
        <v>#</v>
      </c>
      <c r="AM11" s="164">
        <f t="shared" si="3"/>
        <v>0.44444444444444442</v>
      </c>
    </row>
    <row r="12" spans="1:39" ht="15">
      <c r="A12" s="84" t="s">
        <v>53</v>
      </c>
      <c r="B12" s="85">
        <v>0</v>
      </c>
      <c r="C12" s="84" t="s">
        <v>37</v>
      </c>
      <c r="D12" s="59" t="s">
        <v>72</v>
      </c>
      <c r="E12" t="s">
        <v>223</v>
      </c>
      <c r="F12" s="77" t="s">
        <v>223</v>
      </c>
      <c r="G12" s="59" t="s">
        <v>1</v>
      </c>
      <c r="H12" t="s">
        <v>223</v>
      </c>
      <c r="I12" s="77" t="s">
        <v>223</v>
      </c>
      <c r="J12" s="59" t="s">
        <v>1</v>
      </c>
      <c r="K12" t="s">
        <v>223</v>
      </c>
      <c r="L12" s="77" t="s">
        <v>223</v>
      </c>
      <c r="M12" s="59" t="s">
        <v>72</v>
      </c>
      <c r="N12" t="s">
        <v>223</v>
      </c>
      <c r="O12" s="77" t="s">
        <v>223</v>
      </c>
      <c r="P12" s="75" t="s">
        <v>1</v>
      </c>
      <c r="Q12" s="76" t="s">
        <v>223</v>
      </c>
      <c r="R12" s="77" t="s">
        <v>223</v>
      </c>
      <c r="S12" s="59" t="s">
        <v>72</v>
      </c>
      <c r="T12" t="s">
        <v>223</v>
      </c>
      <c r="U12" t="s">
        <v>223</v>
      </c>
      <c r="V12" s="76" t="s">
        <v>223</v>
      </c>
      <c r="W12" s="76" t="s">
        <v>223</v>
      </c>
      <c r="X12" s="75" t="s">
        <v>1</v>
      </c>
      <c r="Y12" t="s">
        <v>223</v>
      </c>
      <c r="Z12" s="77" t="s">
        <v>223</v>
      </c>
      <c r="AA12" s="59" t="s">
        <v>1</v>
      </c>
      <c r="AB12" t="s">
        <v>223</v>
      </c>
      <c r="AC12" t="s">
        <v>223</v>
      </c>
      <c r="AD12" s="76" t="s">
        <v>223</v>
      </c>
      <c r="AE12" s="76" t="s">
        <v>223</v>
      </c>
      <c r="AF12" s="59" t="s">
        <v>72</v>
      </c>
      <c r="AG12" t="s">
        <v>223</v>
      </c>
      <c r="AH12" s="77" t="s">
        <v>223</v>
      </c>
      <c r="AJ12" s="164">
        <f t="shared" si="0"/>
        <v>0.44444444444444442</v>
      </c>
      <c r="AK12" s="164" t="str">
        <f t="shared" si="1"/>
        <v>#</v>
      </c>
      <c r="AL12" s="164" t="str">
        <f t="shared" si="2"/>
        <v>#</v>
      </c>
      <c r="AM12" s="164">
        <f t="shared" si="3"/>
        <v>0.44444444444444442</v>
      </c>
    </row>
    <row r="13" spans="1:39" ht="15">
      <c r="A13" s="13" t="s">
        <v>590</v>
      </c>
      <c r="B13" s="14">
        <v>0</v>
      </c>
      <c r="C13" s="21" t="s">
        <v>770</v>
      </c>
      <c r="D13" s="59" t="s">
        <v>72</v>
      </c>
      <c r="E13" t="s">
        <v>223</v>
      </c>
      <c r="F13" s="23" t="s">
        <v>72</v>
      </c>
      <c r="G13" s="59" t="s">
        <v>1</v>
      </c>
      <c r="H13" t="s">
        <v>223</v>
      </c>
      <c r="I13" s="19" t="s">
        <v>1</v>
      </c>
      <c r="J13" s="59" t="s">
        <v>1</v>
      </c>
      <c r="K13" t="s">
        <v>223</v>
      </c>
      <c r="L13" s="19" t="s">
        <v>1</v>
      </c>
      <c r="M13" s="59" t="s">
        <v>72</v>
      </c>
      <c r="N13" t="s">
        <v>223</v>
      </c>
      <c r="O13" s="19" t="s">
        <v>72</v>
      </c>
      <c r="P13" s="59" t="s">
        <v>72</v>
      </c>
      <c r="Q13" s="19" t="s">
        <v>223</v>
      </c>
      <c r="R13" s="24" t="s">
        <v>223</v>
      </c>
      <c r="S13" s="59" t="s">
        <v>72</v>
      </c>
      <c r="T13" t="s">
        <v>223</v>
      </c>
      <c r="U13" t="s">
        <v>223</v>
      </c>
      <c r="V13" s="19" t="s">
        <v>223</v>
      </c>
      <c r="W13" s="19" t="s">
        <v>72</v>
      </c>
      <c r="X13" s="59" t="s">
        <v>73</v>
      </c>
      <c r="Y13" t="s">
        <v>223</v>
      </c>
      <c r="Z13" s="23" t="s">
        <v>223</v>
      </c>
      <c r="AA13" s="59" t="s">
        <v>1</v>
      </c>
      <c r="AB13" t="s">
        <v>223</v>
      </c>
      <c r="AC13" t="s">
        <v>223</v>
      </c>
      <c r="AD13" s="19" t="s">
        <v>223</v>
      </c>
      <c r="AE13" s="19" t="s">
        <v>73</v>
      </c>
      <c r="AF13" s="59" t="s">
        <v>72</v>
      </c>
      <c r="AG13" t="s">
        <v>223</v>
      </c>
      <c r="AH13" s="23" t="s">
        <v>72</v>
      </c>
      <c r="AJ13" s="164">
        <f t="shared" si="0"/>
        <v>0.55555555555555558</v>
      </c>
      <c r="AK13" s="164" t="str">
        <f t="shared" si="1"/>
        <v>#</v>
      </c>
      <c r="AL13" s="164">
        <f t="shared" si="2"/>
        <v>0.5714285714285714</v>
      </c>
      <c r="AM13" s="164">
        <f t="shared" si="3"/>
        <v>0.56349206349206349</v>
      </c>
    </row>
    <row r="14" spans="1:39" ht="15">
      <c r="A14" s="44" t="s">
        <v>59</v>
      </c>
      <c r="B14" s="6">
        <v>1</v>
      </c>
      <c r="C14" s="47" t="s">
        <v>39</v>
      </c>
      <c r="D14" s="59" t="s">
        <v>72</v>
      </c>
      <c r="E14" t="s">
        <v>223</v>
      </c>
      <c r="F14" s="23" t="s">
        <v>72</v>
      </c>
      <c r="G14" s="59" t="s">
        <v>1</v>
      </c>
      <c r="H14" t="s">
        <v>223</v>
      </c>
      <c r="I14" s="19" t="s">
        <v>1</v>
      </c>
      <c r="J14" s="59" t="s">
        <v>1</v>
      </c>
      <c r="K14" t="s">
        <v>223</v>
      </c>
      <c r="L14" s="19" t="s">
        <v>1</v>
      </c>
      <c r="M14" s="59" t="s">
        <v>72</v>
      </c>
      <c r="N14" t="s">
        <v>223</v>
      </c>
      <c r="O14" s="19" t="s">
        <v>72</v>
      </c>
      <c r="P14" s="59" t="s">
        <v>72</v>
      </c>
      <c r="Q14" s="19" t="s">
        <v>223</v>
      </c>
      <c r="R14" s="23" t="s">
        <v>223</v>
      </c>
      <c r="S14" s="59" t="s">
        <v>72</v>
      </c>
      <c r="T14" t="s">
        <v>223</v>
      </c>
      <c r="U14" t="s">
        <v>223</v>
      </c>
      <c r="V14" s="19" t="s">
        <v>72</v>
      </c>
      <c r="W14" s="23" t="s">
        <v>72</v>
      </c>
      <c r="X14" s="59" t="s">
        <v>73</v>
      </c>
      <c r="Y14" t="s">
        <v>223</v>
      </c>
      <c r="Z14" s="23" t="s">
        <v>223</v>
      </c>
      <c r="AA14" s="59" t="s">
        <v>73</v>
      </c>
      <c r="AB14" t="s">
        <v>223</v>
      </c>
      <c r="AC14" t="s">
        <v>223</v>
      </c>
      <c r="AD14" s="19" t="s">
        <v>1</v>
      </c>
      <c r="AE14" s="19" t="s">
        <v>1</v>
      </c>
      <c r="AF14" s="59" t="s">
        <v>72</v>
      </c>
      <c r="AG14" t="s">
        <v>223</v>
      </c>
      <c r="AH14" s="23" t="s">
        <v>72</v>
      </c>
      <c r="AJ14" s="164">
        <f t="shared" si="0"/>
        <v>0.55555555555555558</v>
      </c>
      <c r="AK14" s="164" t="str">
        <f t="shared" si="1"/>
        <v>#</v>
      </c>
      <c r="AL14" s="164">
        <f t="shared" si="2"/>
        <v>0.5714285714285714</v>
      </c>
      <c r="AM14" s="164">
        <f t="shared" si="3"/>
        <v>0.56349206349206349</v>
      </c>
    </row>
    <row r="15" spans="1:39" ht="15">
      <c r="A15" s="44" t="s">
        <v>59</v>
      </c>
      <c r="B15" s="6">
        <v>2</v>
      </c>
      <c r="C15" s="47" t="s">
        <v>39</v>
      </c>
      <c r="D15" s="59" t="s">
        <v>72</v>
      </c>
      <c r="E15" t="s">
        <v>223</v>
      </c>
      <c r="F15" s="23" t="s">
        <v>72</v>
      </c>
      <c r="G15" s="59" t="s">
        <v>1</v>
      </c>
      <c r="H15" t="s">
        <v>223</v>
      </c>
      <c r="I15" s="19" t="s">
        <v>1</v>
      </c>
      <c r="J15" s="59" t="s">
        <v>1</v>
      </c>
      <c r="K15" t="s">
        <v>223</v>
      </c>
      <c r="L15" s="19" t="s">
        <v>1</v>
      </c>
      <c r="M15" s="59" t="s">
        <v>72</v>
      </c>
      <c r="N15" t="s">
        <v>223</v>
      </c>
      <c r="O15" s="19" t="s">
        <v>72</v>
      </c>
      <c r="P15" s="59" t="s">
        <v>72</v>
      </c>
      <c r="Q15" s="19" t="s">
        <v>223</v>
      </c>
      <c r="R15" s="23" t="s">
        <v>223</v>
      </c>
      <c r="S15" s="59" t="s">
        <v>72</v>
      </c>
      <c r="T15" t="s">
        <v>223</v>
      </c>
      <c r="U15" t="s">
        <v>223</v>
      </c>
      <c r="V15" s="19" t="s">
        <v>72</v>
      </c>
      <c r="W15" s="23" t="s">
        <v>72</v>
      </c>
      <c r="X15" s="59" t="s">
        <v>73</v>
      </c>
      <c r="Y15" t="s">
        <v>223</v>
      </c>
      <c r="Z15" s="23" t="s">
        <v>223</v>
      </c>
      <c r="AA15" s="59" t="s">
        <v>73</v>
      </c>
      <c r="AB15" t="s">
        <v>223</v>
      </c>
      <c r="AC15" t="s">
        <v>223</v>
      </c>
      <c r="AD15" s="19" t="s">
        <v>1</v>
      </c>
      <c r="AE15" s="19" t="s">
        <v>1</v>
      </c>
      <c r="AF15" s="59" t="s">
        <v>72</v>
      </c>
      <c r="AG15" t="s">
        <v>223</v>
      </c>
      <c r="AH15" s="23" t="s">
        <v>72</v>
      </c>
      <c r="AJ15" s="164">
        <f t="shared" si="0"/>
        <v>0.55555555555555558</v>
      </c>
      <c r="AK15" s="164" t="str">
        <f t="shared" si="1"/>
        <v>#</v>
      </c>
      <c r="AL15" s="164">
        <f t="shared" si="2"/>
        <v>0.5714285714285714</v>
      </c>
      <c r="AM15" s="164">
        <f t="shared" si="3"/>
        <v>0.56349206349206349</v>
      </c>
    </row>
    <row r="16" spans="1:39" ht="15">
      <c r="A16" s="44" t="s">
        <v>592</v>
      </c>
      <c r="B16" s="6">
        <v>0</v>
      </c>
      <c r="C16" s="44" t="s">
        <v>749</v>
      </c>
      <c r="D16" s="59" t="s">
        <v>72</v>
      </c>
      <c r="E16" s="19" t="s">
        <v>72</v>
      </c>
      <c r="F16" s="23" t="s">
        <v>223</v>
      </c>
      <c r="G16" s="59" t="s">
        <v>1</v>
      </c>
      <c r="H16" s="19" t="s">
        <v>1</v>
      </c>
      <c r="I16" s="23" t="s">
        <v>223</v>
      </c>
      <c r="J16" s="59" t="s">
        <v>1</v>
      </c>
      <c r="K16" s="19" t="s">
        <v>1</v>
      </c>
      <c r="L16" s="23" t="s">
        <v>223</v>
      </c>
      <c r="M16" s="59" t="s">
        <v>72</v>
      </c>
      <c r="N16" s="19" t="s">
        <v>72</v>
      </c>
      <c r="O16" s="23" t="s">
        <v>223</v>
      </c>
      <c r="P16" s="59" t="s">
        <v>72</v>
      </c>
      <c r="Q16" s="19" t="s">
        <v>223</v>
      </c>
      <c r="R16" s="23" t="s">
        <v>223</v>
      </c>
      <c r="S16" s="59" t="s">
        <v>72</v>
      </c>
      <c r="T16" s="19" t="s">
        <v>72</v>
      </c>
      <c r="U16" s="19" t="s">
        <v>72</v>
      </c>
      <c r="V16" s="19" t="s">
        <v>223</v>
      </c>
      <c r="W16" s="23" t="s">
        <v>223</v>
      </c>
      <c r="X16" s="19" t="s">
        <v>73</v>
      </c>
      <c r="Y16" s="19" t="s">
        <v>72</v>
      </c>
      <c r="Z16" s="23" t="s">
        <v>223</v>
      </c>
      <c r="AA16" s="19" t="s">
        <v>1</v>
      </c>
      <c r="AB16" s="19" t="s">
        <v>72</v>
      </c>
      <c r="AC16" s="19" t="s">
        <v>72</v>
      </c>
      <c r="AD16" s="19" t="s">
        <v>223</v>
      </c>
      <c r="AE16" s="23" t="s">
        <v>223</v>
      </c>
      <c r="AF16" s="19" t="s">
        <v>72</v>
      </c>
      <c r="AG16" s="19" t="s">
        <v>72</v>
      </c>
      <c r="AH16" s="23" t="s">
        <v>223</v>
      </c>
      <c r="AJ16" s="164">
        <f t="shared" si="0"/>
        <v>0.55555555555555558</v>
      </c>
      <c r="AK16" s="164">
        <f t="shared" si="1"/>
        <v>0.75</v>
      </c>
      <c r="AL16" s="164" t="str">
        <f t="shared" si="2"/>
        <v>#</v>
      </c>
      <c r="AM16" s="164">
        <f t="shared" si="3"/>
        <v>0.65277777777777779</v>
      </c>
    </row>
    <row r="17" spans="1:39" ht="15">
      <c r="A17" s="5" t="s">
        <v>272</v>
      </c>
      <c r="B17" s="6">
        <v>1</v>
      </c>
      <c r="C17" s="47" t="s">
        <v>767</v>
      </c>
      <c r="D17" s="59" t="s">
        <v>72</v>
      </c>
      <c r="E17" t="s">
        <v>223</v>
      </c>
      <c r="F17" s="23" t="s">
        <v>72</v>
      </c>
      <c r="G17" s="59" t="s">
        <v>1</v>
      </c>
      <c r="H17" t="s">
        <v>223</v>
      </c>
      <c r="I17" s="23" t="s">
        <v>223</v>
      </c>
      <c r="J17" s="59" t="s">
        <v>1</v>
      </c>
      <c r="K17" t="s">
        <v>223</v>
      </c>
      <c r="L17" s="23" t="s">
        <v>223</v>
      </c>
      <c r="M17" s="59" t="s">
        <v>72</v>
      </c>
      <c r="N17" t="s">
        <v>223</v>
      </c>
      <c r="O17" s="23" t="s">
        <v>223</v>
      </c>
      <c r="P17" s="59" t="s">
        <v>72</v>
      </c>
      <c r="Q17" t="s">
        <v>223</v>
      </c>
      <c r="R17" s="23" t="s">
        <v>223</v>
      </c>
      <c r="S17" s="59" t="s">
        <v>72</v>
      </c>
      <c r="T17" t="s">
        <v>223</v>
      </c>
      <c r="U17" t="s">
        <v>223</v>
      </c>
      <c r="V17" s="19" t="s">
        <v>73</v>
      </c>
      <c r="W17" s="19" t="s">
        <v>72</v>
      </c>
      <c r="X17" s="59" t="s">
        <v>73</v>
      </c>
      <c r="Y17" t="s">
        <v>223</v>
      </c>
      <c r="Z17" s="23" t="s">
        <v>223</v>
      </c>
      <c r="AA17" s="59" t="s">
        <v>72</v>
      </c>
      <c r="AB17" t="s">
        <v>223</v>
      </c>
      <c r="AC17" t="s">
        <v>223</v>
      </c>
      <c r="AD17" s="19" t="s">
        <v>72</v>
      </c>
      <c r="AE17" s="19" t="s">
        <v>72</v>
      </c>
      <c r="AF17" s="59" t="s">
        <v>72</v>
      </c>
      <c r="AG17" t="s">
        <v>223</v>
      </c>
      <c r="AH17" s="23" t="s">
        <v>72</v>
      </c>
      <c r="AJ17" s="164">
        <f t="shared" si="0"/>
        <v>0.66666666666666663</v>
      </c>
      <c r="AK17" s="164" t="str">
        <f t="shared" si="1"/>
        <v>#</v>
      </c>
      <c r="AL17" s="164">
        <f t="shared" si="2"/>
        <v>0.5714285714285714</v>
      </c>
      <c r="AM17" s="164">
        <f t="shared" si="3"/>
        <v>0.61904761904761907</v>
      </c>
    </row>
    <row r="18" spans="1:39" ht="15">
      <c r="A18" s="5" t="s">
        <v>293</v>
      </c>
      <c r="B18" s="6">
        <v>1</v>
      </c>
      <c r="C18" s="47" t="s">
        <v>768</v>
      </c>
      <c r="D18" s="59" t="s">
        <v>223</v>
      </c>
      <c r="E18" t="s">
        <v>223</v>
      </c>
      <c r="F18" s="23" t="s">
        <v>72</v>
      </c>
      <c r="G18" s="59" t="s">
        <v>223</v>
      </c>
      <c r="H18" t="s">
        <v>223</v>
      </c>
      <c r="I18" s="19" t="s">
        <v>1</v>
      </c>
      <c r="J18" s="59" t="s">
        <v>223</v>
      </c>
      <c r="K18" t="s">
        <v>223</v>
      </c>
      <c r="L18" s="19" t="s">
        <v>1</v>
      </c>
      <c r="M18" s="59" t="s">
        <v>223</v>
      </c>
      <c r="N18" t="s">
        <v>223</v>
      </c>
      <c r="O18" s="19" t="s">
        <v>72</v>
      </c>
      <c r="P18" s="59" t="s">
        <v>223</v>
      </c>
      <c r="Q18" t="s">
        <v>223</v>
      </c>
      <c r="R18" s="23" t="s">
        <v>223</v>
      </c>
      <c r="S18" s="59" t="s">
        <v>223</v>
      </c>
      <c r="T18" t="s">
        <v>223</v>
      </c>
      <c r="U18" t="s">
        <v>223</v>
      </c>
      <c r="V18" s="19" t="s">
        <v>223</v>
      </c>
      <c r="W18" s="19" t="s">
        <v>72</v>
      </c>
      <c r="X18" s="59" t="s">
        <v>223</v>
      </c>
      <c r="Y18" t="s">
        <v>223</v>
      </c>
      <c r="Z18" s="23" t="s">
        <v>223</v>
      </c>
      <c r="AA18" s="59" t="s">
        <v>223</v>
      </c>
      <c r="AB18" t="s">
        <v>223</v>
      </c>
      <c r="AC18" t="s">
        <v>223</v>
      </c>
      <c r="AD18" s="19" t="s">
        <v>223</v>
      </c>
      <c r="AE18" s="19" t="s">
        <v>1</v>
      </c>
      <c r="AF18" s="59" t="s">
        <v>223</v>
      </c>
      <c r="AG18" t="s">
        <v>223</v>
      </c>
      <c r="AH18" s="23" t="s">
        <v>72</v>
      </c>
      <c r="AJ18" s="164" t="str">
        <f t="shared" si="0"/>
        <v>#</v>
      </c>
      <c r="AK18" s="164" t="str">
        <f t="shared" si="1"/>
        <v>#</v>
      </c>
      <c r="AL18" s="164">
        <f t="shared" si="2"/>
        <v>0.5714285714285714</v>
      </c>
      <c r="AM18" s="164">
        <f t="shared" si="3"/>
        <v>0.5714285714285714</v>
      </c>
    </row>
    <row r="19" spans="1:39" ht="15">
      <c r="A19" s="5" t="s">
        <v>293</v>
      </c>
      <c r="B19" s="6">
        <v>2</v>
      </c>
      <c r="C19" s="47" t="s">
        <v>768</v>
      </c>
      <c r="D19" s="58" t="s">
        <v>223</v>
      </c>
      <c r="E19" t="s">
        <v>223</v>
      </c>
      <c r="F19" s="23" t="s">
        <v>72</v>
      </c>
      <c r="G19" s="58" t="s">
        <v>223</v>
      </c>
      <c r="H19" t="s">
        <v>223</v>
      </c>
      <c r="I19" s="19" t="s">
        <v>1</v>
      </c>
      <c r="J19" s="58" t="s">
        <v>223</v>
      </c>
      <c r="K19" t="s">
        <v>223</v>
      </c>
      <c r="L19" s="19" t="s">
        <v>1</v>
      </c>
      <c r="M19" s="58" t="s">
        <v>223</v>
      </c>
      <c r="N19" t="s">
        <v>223</v>
      </c>
      <c r="O19" s="19" t="s">
        <v>72</v>
      </c>
      <c r="P19" s="58" t="s">
        <v>223</v>
      </c>
      <c r="Q19" t="s">
        <v>223</v>
      </c>
      <c r="R19" s="23" t="s">
        <v>223</v>
      </c>
      <c r="S19" s="58" t="s">
        <v>223</v>
      </c>
      <c r="T19" t="s">
        <v>223</v>
      </c>
      <c r="U19" t="s">
        <v>223</v>
      </c>
      <c r="V19" s="19" t="s">
        <v>223</v>
      </c>
      <c r="W19" s="19" t="s">
        <v>72</v>
      </c>
      <c r="X19" s="58" t="s">
        <v>223</v>
      </c>
      <c r="Y19" t="s">
        <v>223</v>
      </c>
      <c r="Z19" s="23" t="s">
        <v>223</v>
      </c>
      <c r="AA19" s="58" t="s">
        <v>223</v>
      </c>
      <c r="AB19" t="s">
        <v>223</v>
      </c>
      <c r="AC19" t="s">
        <v>223</v>
      </c>
      <c r="AD19" s="19" t="s">
        <v>223</v>
      </c>
      <c r="AE19" s="19" t="s">
        <v>1</v>
      </c>
      <c r="AF19" s="58" t="s">
        <v>223</v>
      </c>
      <c r="AG19" t="s">
        <v>223</v>
      </c>
      <c r="AH19" s="23" t="s">
        <v>72</v>
      </c>
      <c r="AJ19" s="164" t="str">
        <f t="shared" si="0"/>
        <v>#</v>
      </c>
      <c r="AK19" s="164" t="str">
        <f t="shared" si="1"/>
        <v>#</v>
      </c>
      <c r="AL19" s="164">
        <f t="shared" si="2"/>
        <v>0.5714285714285714</v>
      </c>
      <c r="AM19" s="164">
        <f t="shared" si="3"/>
        <v>0.5714285714285714</v>
      </c>
    </row>
    <row r="20" spans="1:39" ht="15">
      <c r="A20" s="5" t="s">
        <v>293</v>
      </c>
      <c r="B20" s="6">
        <v>3</v>
      </c>
      <c r="C20" s="47" t="s">
        <v>768</v>
      </c>
      <c r="D20" s="58" t="s">
        <v>223</v>
      </c>
      <c r="E20" t="s">
        <v>223</v>
      </c>
      <c r="F20" s="23" t="s">
        <v>72</v>
      </c>
      <c r="G20" s="58" t="s">
        <v>223</v>
      </c>
      <c r="H20" t="s">
        <v>223</v>
      </c>
      <c r="I20" s="19" t="s">
        <v>1</v>
      </c>
      <c r="J20" s="58" t="s">
        <v>223</v>
      </c>
      <c r="K20" t="s">
        <v>223</v>
      </c>
      <c r="L20" s="19" t="s">
        <v>1</v>
      </c>
      <c r="M20" s="58" t="s">
        <v>223</v>
      </c>
      <c r="N20" t="s">
        <v>223</v>
      </c>
      <c r="O20" s="19" t="s">
        <v>72</v>
      </c>
      <c r="P20" s="58" t="s">
        <v>223</v>
      </c>
      <c r="Q20" t="s">
        <v>223</v>
      </c>
      <c r="R20" s="23" t="s">
        <v>223</v>
      </c>
      <c r="S20" s="58" t="s">
        <v>223</v>
      </c>
      <c r="T20" t="s">
        <v>223</v>
      </c>
      <c r="U20" t="s">
        <v>223</v>
      </c>
      <c r="V20" s="19" t="s">
        <v>223</v>
      </c>
      <c r="W20" s="19" t="s">
        <v>72</v>
      </c>
      <c r="X20" s="58" t="s">
        <v>223</v>
      </c>
      <c r="Y20" t="s">
        <v>223</v>
      </c>
      <c r="Z20" s="23" t="s">
        <v>223</v>
      </c>
      <c r="AA20" s="58" t="s">
        <v>223</v>
      </c>
      <c r="AB20" t="s">
        <v>223</v>
      </c>
      <c r="AC20" t="s">
        <v>223</v>
      </c>
      <c r="AD20" s="19" t="s">
        <v>223</v>
      </c>
      <c r="AE20" s="19" t="s">
        <v>1</v>
      </c>
      <c r="AF20" s="58" t="s">
        <v>223</v>
      </c>
      <c r="AG20" t="s">
        <v>223</v>
      </c>
      <c r="AH20" s="23" t="s">
        <v>72</v>
      </c>
      <c r="AJ20" s="164" t="str">
        <f t="shared" si="0"/>
        <v>#</v>
      </c>
      <c r="AK20" s="164" t="str">
        <f t="shared" si="1"/>
        <v>#</v>
      </c>
      <c r="AL20" s="164">
        <f t="shared" si="2"/>
        <v>0.5714285714285714</v>
      </c>
      <c r="AM20" s="164">
        <f t="shared" si="3"/>
        <v>0.5714285714285714</v>
      </c>
    </row>
    <row r="21" spans="1:39" s="76" customFormat="1" ht="15">
      <c r="A21" s="5" t="s">
        <v>293</v>
      </c>
      <c r="B21" s="6">
        <v>4</v>
      </c>
      <c r="C21" s="47" t="s">
        <v>768</v>
      </c>
      <c r="D21" s="58" t="s">
        <v>223</v>
      </c>
      <c r="E21" t="s">
        <v>223</v>
      </c>
      <c r="F21" s="23" t="s">
        <v>72</v>
      </c>
      <c r="G21" s="58" t="s">
        <v>223</v>
      </c>
      <c r="H21" t="s">
        <v>223</v>
      </c>
      <c r="I21" s="19" t="s">
        <v>1</v>
      </c>
      <c r="J21" s="58" t="s">
        <v>223</v>
      </c>
      <c r="K21" t="s">
        <v>223</v>
      </c>
      <c r="L21" s="19" t="s">
        <v>1</v>
      </c>
      <c r="M21" s="58" t="s">
        <v>223</v>
      </c>
      <c r="N21" t="s">
        <v>223</v>
      </c>
      <c r="O21" s="19" t="s">
        <v>72</v>
      </c>
      <c r="P21" s="58" t="s">
        <v>223</v>
      </c>
      <c r="Q21" t="s">
        <v>223</v>
      </c>
      <c r="R21" s="23" t="s">
        <v>223</v>
      </c>
      <c r="S21" s="58" t="s">
        <v>223</v>
      </c>
      <c r="T21" t="s">
        <v>223</v>
      </c>
      <c r="U21" t="s">
        <v>223</v>
      </c>
      <c r="V21" s="19" t="s">
        <v>223</v>
      </c>
      <c r="W21" s="19" t="s">
        <v>72</v>
      </c>
      <c r="X21" s="58" t="s">
        <v>223</v>
      </c>
      <c r="Y21" t="s">
        <v>223</v>
      </c>
      <c r="Z21" s="23" t="s">
        <v>223</v>
      </c>
      <c r="AA21" s="58" t="s">
        <v>223</v>
      </c>
      <c r="AB21" t="s">
        <v>223</v>
      </c>
      <c r="AC21" t="s">
        <v>223</v>
      </c>
      <c r="AD21" s="19" t="s">
        <v>223</v>
      </c>
      <c r="AE21" s="19" t="s">
        <v>1</v>
      </c>
      <c r="AF21" s="58" t="s">
        <v>223</v>
      </c>
      <c r="AG21" t="s">
        <v>223</v>
      </c>
      <c r="AH21" s="23" t="s">
        <v>72</v>
      </c>
      <c r="AJ21" s="164" t="str">
        <f t="shared" si="0"/>
        <v>#</v>
      </c>
      <c r="AK21" s="164" t="str">
        <f t="shared" si="1"/>
        <v>#</v>
      </c>
      <c r="AL21" s="164">
        <f t="shared" si="2"/>
        <v>0.5714285714285714</v>
      </c>
      <c r="AM21" s="164">
        <f t="shared" si="3"/>
        <v>0.5714285714285714</v>
      </c>
    </row>
    <row r="22" spans="1:39" s="76" customFormat="1" ht="15">
      <c r="A22" s="5" t="s">
        <v>293</v>
      </c>
      <c r="B22" s="6">
        <v>5</v>
      </c>
      <c r="C22" s="47" t="s">
        <v>768</v>
      </c>
      <c r="D22" s="58" t="s">
        <v>223</v>
      </c>
      <c r="E22" t="s">
        <v>223</v>
      </c>
      <c r="F22" s="23" t="s">
        <v>72</v>
      </c>
      <c r="G22" s="58" t="s">
        <v>223</v>
      </c>
      <c r="H22" t="s">
        <v>223</v>
      </c>
      <c r="I22" s="19" t="s">
        <v>1</v>
      </c>
      <c r="J22" s="58" t="s">
        <v>223</v>
      </c>
      <c r="K22" t="s">
        <v>223</v>
      </c>
      <c r="L22" s="19" t="s">
        <v>1</v>
      </c>
      <c r="M22" s="58" t="s">
        <v>223</v>
      </c>
      <c r="N22" t="s">
        <v>223</v>
      </c>
      <c r="O22" s="19" t="s">
        <v>72</v>
      </c>
      <c r="P22" s="58" t="s">
        <v>223</v>
      </c>
      <c r="Q22" t="s">
        <v>223</v>
      </c>
      <c r="R22" s="23" t="s">
        <v>223</v>
      </c>
      <c r="S22" s="58" t="s">
        <v>223</v>
      </c>
      <c r="T22" t="s">
        <v>223</v>
      </c>
      <c r="U22" t="s">
        <v>223</v>
      </c>
      <c r="V22" s="19" t="s">
        <v>223</v>
      </c>
      <c r="W22" s="19" t="s">
        <v>72</v>
      </c>
      <c r="X22" s="58" t="s">
        <v>223</v>
      </c>
      <c r="Y22" t="s">
        <v>223</v>
      </c>
      <c r="Z22" s="23" t="s">
        <v>223</v>
      </c>
      <c r="AA22" s="58" t="s">
        <v>223</v>
      </c>
      <c r="AB22" t="s">
        <v>223</v>
      </c>
      <c r="AC22" t="s">
        <v>223</v>
      </c>
      <c r="AD22" s="19" t="s">
        <v>223</v>
      </c>
      <c r="AE22" s="19" t="s">
        <v>1</v>
      </c>
      <c r="AF22" s="58" t="s">
        <v>223</v>
      </c>
      <c r="AG22" t="s">
        <v>223</v>
      </c>
      <c r="AH22" s="23" t="s">
        <v>72</v>
      </c>
      <c r="AJ22" s="164" t="str">
        <f t="shared" si="0"/>
        <v>#</v>
      </c>
      <c r="AK22" s="164" t="str">
        <f t="shared" si="1"/>
        <v>#</v>
      </c>
      <c r="AL22" s="164">
        <f t="shared" si="2"/>
        <v>0.5714285714285714</v>
      </c>
      <c r="AM22" s="164">
        <f t="shared" si="3"/>
        <v>0.5714285714285714</v>
      </c>
    </row>
    <row r="23" spans="1:39" ht="15">
      <c r="A23" s="13" t="s">
        <v>314</v>
      </c>
      <c r="B23" s="14">
        <v>1</v>
      </c>
      <c r="C23" s="21" t="s">
        <v>781</v>
      </c>
      <c r="D23" s="59" t="s">
        <v>72</v>
      </c>
      <c r="E23" t="s">
        <v>223</v>
      </c>
      <c r="F23" s="23" t="s">
        <v>72</v>
      </c>
      <c r="G23" s="59" t="s">
        <v>1</v>
      </c>
      <c r="H23" t="s">
        <v>223</v>
      </c>
      <c r="I23" s="19" t="s">
        <v>1</v>
      </c>
      <c r="J23" s="59" t="s">
        <v>1</v>
      </c>
      <c r="K23" t="s">
        <v>223</v>
      </c>
      <c r="L23" s="19" t="s">
        <v>1</v>
      </c>
      <c r="M23" s="59" t="s">
        <v>72</v>
      </c>
      <c r="N23" t="s">
        <v>223</v>
      </c>
      <c r="O23" s="19" t="s">
        <v>72</v>
      </c>
      <c r="P23" s="59" t="s">
        <v>1</v>
      </c>
      <c r="Q23" s="19" t="s">
        <v>223</v>
      </c>
      <c r="R23" s="24" t="s">
        <v>223</v>
      </c>
      <c r="S23" s="59" t="s">
        <v>72</v>
      </c>
      <c r="T23" t="s">
        <v>223</v>
      </c>
      <c r="U23" t="s">
        <v>223</v>
      </c>
      <c r="V23" s="19" t="s">
        <v>72</v>
      </c>
      <c r="W23" s="23" t="s">
        <v>72</v>
      </c>
      <c r="X23" s="59" t="s">
        <v>73</v>
      </c>
      <c r="Y23" t="s">
        <v>223</v>
      </c>
      <c r="Z23" s="23" t="s">
        <v>223</v>
      </c>
      <c r="AA23" s="59" t="s">
        <v>72</v>
      </c>
      <c r="AB23" t="s">
        <v>223</v>
      </c>
      <c r="AC23" t="s">
        <v>223</v>
      </c>
      <c r="AD23" s="19" t="s">
        <v>72</v>
      </c>
      <c r="AE23" s="19" t="s">
        <v>72</v>
      </c>
      <c r="AF23" s="59" t="s">
        <v>72</v>
      </c>
      <c r="AG23" t="s">
        <v>223</v>
      </c>
      <c r="AH23" s="23" t="s">
        <v>72</v>
      </c>
      <c r="AJ23" s="164">
        <f t="shared" si="0"/>
        <v>0.55555555555555558</v>
      </c>
      <c r="AK23" s="164" t="str">
        <f t="shared" si="1"/>
        <v>#</v>
      </c>
      <c r="AL23" s="164">
        <f t="shared" si="2"/>
        <v>0.7142857142857143</v>
      </c>
      <c r="AM23" s="164">
        <f t="shared" si="3"/>
        <v>0.63492063492063489</v>
      </c>
    </row>
    <row r="24" spans="1:39" ht="15">
      <c r="A24" s="13" t="s">
        <v>314</v>
      </c>
      <c r="B24" s="14">
        <v>2</v>
      </c>
      <c r="C24" s="21" t="s">
        <v>781</v>
      </c>
      <c r="D24" s="59" t="s">
        <v>72</v>
      </c>
      <c r="E24" t="s">
        <v>223</v>
      </c>
      <c r="F24" s="19" t="s">
        <v>223</v>
      </c>
      <c r="G24" s="59" t="s">
        <v>1</v>
      </c>
      <c r="H24" t="s">
        <v>223</v>
      </c>
      <c r="I24" s="24" t="s">
        <v>223</v>
      </c>
      <c r="J24" s="59" t="s">
        <v>1</v>
      </c>
      <c r="K24" t="s">
        <v>223</v>
      </c>
      <c r="L24" s="24" t="s">
        <v>223</v>
      </c>
      <c r="M24" s="59" t="s">
        <v>72</v>
      </c>
      <c r="N24" t="s">
        <v>223</v>
      </c>
      <c r="O24" s="24" t="s">
        <v>223</v>
      </c>
      <c r="P24" s="59" t="s">
        <v>1</v>
      </c>
      <c r="Q24" s="19" t="s">
        <v>223</v>
      </c>
      <c r="R24" s="24" t="s">
        <v>223</v>
      </c>
      <c r="S24" s="59" t="s">
        <v>72</v>
      </c>
      <c r="T24" t="s">
        <v>223</v>
      </c>
      <c r="U24" t="s">
        <v>223</v>
      </c>
      <c r="V24" s="19" t="s">
        <v>223</v>
      </c>
      <c r="W24" s="19" t="s">
        <v>223</v>
      </c>
      <c r="X24" s="59" t="s">
        <v>73</v>
      </c>
      <c r="Y24" t="s">
        <v>223</v>
      </c>
      <c r="Z24" s="23" t="s">
        <v>223</v>
      </c>
      <c r="AA24" s="59" t="s">
        <v>72</v>
      </c>
      <c r="AB24" t="s">
        <v>223</v>
      </c>
      <c r="AC24" t="s">
        <v>223</v>
      </c>
      <c r="AD24" s="19" t="s">
        <v>223</v>
      </c>
      <c r="AE24" s="19" t="s">
        <v>223</v>
      </c>
      <c r="AF24" s="59" t="s">
        <v>72</v>
      </c>
      <c r="AG24" t="s">
        <v>223</v>
      </c>
      <c r="AH24" s="23" t="s">
        <v>223</v>
      </c>
      <c r="AJ24" s="164">
        <f t="shared" si="0"/>
        <v>0.55555555555555558</v>
      </c>
      <c r="AK24" s="164" t="str">
        <f t="shared" si="1"/>
        <v>#</v>
      </c>
      <c r="AL24" s="164" t="str">
        <f t="shared" si="2"/>
        <v>#</v>
      </c>
      <c r="AM24" s="164">
        <f t="shared" si="3"/>
        <v>0.55555555555555558</v>
      </c>
    </row>
    <row r="25" spans="1:39" ht="15">
      <c r="A25" s="13" t="s">
        <v>320</v>
      </c>
      <c r="B25" s="14">
        <v>0</v>
      </c>
      <c r="C25" s="21" t="s">
        <v>12</v>
      </c>
      <c r="D25" s="59" t="s">
        <v>72</v>
      </c>
      <c r="E25" t="s">
        <v>223</v>
      </c>
      <c r="F25" s="23" t="s">
        <v>72</v>
      </c>
      <c r="G25" s="59" t="s">
        <v>1</v>
      </c>
      <c r="H25" t="s">
        <v>223</v>
      </c>
      <c r="I25" s="19" t="s">
        <v>1</v>
      </c>
      <c r="J25" s="59" t="s">
        <v>1</v>
      </c>
      <c r="K25" t="s">
        <v>223</v>
      </c>
      <c r="L25" s="19" t="s">
        <v>1</v>
      </c>
      <c r="M25" s="59" t="s">
        <v>72</v>
      </c>
      <c r="N25" t="s">
        <v>223</v>
      </c>
      <c r="O25" s="19" t="s">
        <v>72</v>
      </c>
      <c r="P25" s="59" t="s">
        <v>72</v>
      </c>
      <c r="Q25" s="19" t="s">
        <v>223</v>
      </c>
      <c r="R25" s="24" t="s">
        <v>223</v>
      </c>
      <c r="S25" s="59" t="s">
        <v>72</v>
      </c>
      <c r="T25" t="s">
        <v>223</v>
      </c>
      <c r="U25" t="s">
        <v>223</v>
      </c>
      <c r="V25" s="19" t="s">
        <v>223</v>
      </c>
      <c r="W25" s="19" t="s">
        <v>72</v>
      </c>
      <c r="X25" s="59" t="s">
        <v>73</v>
      </c>
      <c r="Y25" t="s">
        <v>223</v>
      </c>
      <c r="Z25" s="23" t="s">
        <v>223</v>
      </c>
      <c r="AA25" s="59" t="s">
        <v>73</v>
      </c>
      <c r="AB25" t="s">
        <v>223</v>
      </c>
      <c r="AC25" t="s">
        <v>223</v>
      </c>
      <c r="AD25" s="19" t="s">
        <v>223</v>
      </c>
      <c r="AE25" s="19" t="s">
        <v>73</v>
      </c>
      <c r="AF25" s="59" t="s">
        <v>72</v>
      </c>
      <c r="AG25" t="s">
        <v>223</v>
      </c>
      <c r="AH25" s="23" t="s">
        <v>72</v>
      </c>
      <c r="AJ25" s="164">
        <f t="shared" si="0"/>
        <v>0.55555555555555558</v>
      </c>
      <c r="AK25" s="164" t="str">
        <f t="shared" si="1"/>
        <v>#</v>
      </c>
      <c r="AL25" s="164">
        <f t="shared" si="2"/>
        <v>0.5714285714285714</v>
      </c>
      <c r="AM25" s="164">
        <f t="shared" si="3"/>
        <v>0.56349206349206349</v>
      </c>
    </row>
    <row r="26" spans="1:39" ht="15">
      <c r="A26" s="44" t="s">
        <v>715</v>
      </c>
      <c r="B26" s="6">
        <v>0</v>
      </c>
      <c r="C26" s="44" t="s">
        <v>750</v>
      </c>
      <c r="D26" s="59" t="s">
        <v>72</v>
      </c>
      <c r="E26" s="19" t="s">
        <v>72</v>
      </c>
      <c r="F26" s="24" t="s">
        <v>223</v>
      </c>
      <c r="G26" s="59" t="s">
        <v>1</v>
      </c>
      <c r="H26" s="19" t="s">
        <v>1</v>
      </c>
      <c r="I26" s="24" t="s">
        <v>223</v>
      </c>
      <c r="J26" s="59" t="s">
        <v>1</v>
      </c>
      <c r="K26" s="19" t="s">
        <v>1</v>
      </c>
      <c r="L26" s="24" t="s">
        <v>223</v>
      </c>
      <c r="M26" s="59" t="s">
        <v>72</v>
      </c>
      <c r="N26" s="19" t="s">
        <v>72</v>
      </c>
      <c r="O26" s="24" t="s">
        <v>223</v>
      </c>
      <c r="P26" s="59" t="s">
        <v>1</v>
      </c>
      <c r="Q26" s="19" t="s">
        <v>223</v>
      </c>
      <c r="R26" s="24" t="s">
        <v>223</v>
      </c>
      <c r="S26" s="59" t="s">
        <v>1</v>
      </c>
      <c r="T26" t="s">
        <v>223</v>
      </c>
      <c r="U26" s="19" t="s">
        <v>72</v>
      </c>
      <c r="V26" t="s">
        <v>223</v>
      </c>
      <c r="W26" s="24" t="s">
        <v>223</v>
      </c>
      <c r="X26" s="59" t="s">
        <v>1</v>
      </c>
      <c r="Y26" s="19" t="s">
        <v>72</v>
      </c>
      <c r="Z26" s="24" t="s">
        <v>223</v>
      </c>
      <c r="AA26" s="59" t="s">
        <v>73</v>
      </c>
      <c r="AB26" s="19" t="s">
        <v>72</v>
      </c>
      <c r="AC26" s="19" t="s">
        <v>72</v>
      </c>
      <c r="AD26" t="s">
        <v>223</v>
      </c>
      <c r="AE26" s="24" t="s">
        <v>223</v>
      </c>
      <c r="AF26" s="59" t="s">
        <v>72</v>
      </c>
      <c r="AG26" s="19" t="s">
        <v>72</v>
      </c>
      <c r="AH26" s="24" t="s">
        <v>223</v>
      </c>
      <c r="AJ26" s="164">
        <f t="shared" si="0"/>
        <v>0.33333333333333331</v>
      </c>
      <c r="AK26" s="164">
        <f t="shared" si="1"/>
        <v>0.75</v>
      </c>
      <c r="AL26" s="164" t="str">
        <f t="shared" si="2"/>
        <v>#</v>
      </c>
      <c r="AM26" s="164">
        <f t="shared" si="3"/>
        <v>0.54166666666666663</v>
      </c>
    </row>
    <row r="27" spans="1:39" ht="15">
      <c r="A27" s="44" t="s">
        <v>328</v>
      </c>
      <c r="B27" s="6">
        <v>0</v>
      </c>
      <c r="C27" s="44" t="s">
        <v>751</v>
      </c>
      <c r="D27" s="59" t="s">
        <v>72</v>
      </c>
      <c r="E27" s="19" t="s">
        <v>72</v>
      </c>
      <c r="F27" s="23" t="s">
        <v>73</v>
      </c>
      <c r="G27" s="59" t="s">
        <v>1</v>
      </c>
      <c r="H27" s="19" t="s">
        <v>1</v>
      </c>
      <c r="I27" s="19" t="s">
        <v>1</v>
      </c>
      <c r="J27" s="59" t="s">
        <v>1</v>
      </c>
      <c r="K27" s="19" t="s">
        <v>1</v>
      </c>
      <c r="L27" s="19" t="s">
        <v>1</v>
      </c>
      <c r="M27" s="59" t="s">
        <v>72</v>
      </c>
      <c r="N27" s="19" t="s">
        <v>72</v>
      </c>
      <c r="O27" s="19" t="s">
        <v>72</v>
      </c>
      <c r="P27" s="59" t="s">
        <v>72</v>
      </c>
      <c r="Q27" s="19" t="s">
        <v>223</v>
      </c>
      <c r="R27" s="23" t="s">
        <v>223</v>
      </c>
      <c r="S27" s="59" t="s">
        <v>72</v>
      </c>
      <c r="T27" s="19" t="s">
        <v>72</v>
      </c>
      <c r="U27" t="s">
        <v>223</v>
      </c>
      <c r="V27" s="19" t="s">
        <v>72</v>
      </c>
      <c r="W27" s="23" t="s">
        <v>73</v>
      </c>
      <c r="X27" s="59" t="s">
        <v>1</v>
      </c>
      <c r="Y27" s="19" t="s">
        <v>72</v>
      </c>
      <c r="Z27" s="23" t="s">
        <v>223</v>
      </c>
      <c r="AA27" s="59" t="s">
        <v>1</v>
      </c>
      <c r="AB27" s="19" t="s">
        <v>72</v>
      </c>
      <c r="AC27" s="19" t="s">
        <v>72</v>
      </c>
      <c r="AD27" s="19" t="s">
        <v>1</v>
      </c>
      <c r="AE27" s="23" t="s">
        <v>1</v>
      </c>
      <c r="AF27" s="19" t="s">
        <v>72</v>
      </c>
      <c r="AG27" s="19" t="s">
        <v>72</v>
      </c>
      <c r="AH27" s="23" t="s">
        <v>72</v>
      </c>
      <c r="AJ27" s="164">
        <f t="shared" si="0"/>
        <v>0.55555555555555558</v>
      </c>
      <c r="AK27" s="164">
        <f t="shared" si="1"/>
        <v>0.75</v>
      </c>
      <c r="AL27" s="164">
        <f t="shared" si="2"/>
        <v>0.42857142857142855</v>
      </c>
      <c r="AM27" s="164">
        <f t="shared" si="3"/>
        <v>0.57804232804232802</v>
      </c>
    </row>
    <row r="28" spans="1:39" ht="15">
      <c r="A28" s="5" t="s">
        <v>329</v>
      </c>
      <c r="B28" s="6">
        <v>1</v>
      </c>
      <c r="C28" s="47" t="s">
        <v>43</v>
      </c>
      <c r="D28" s="59" t="s">
        <v>72</v>
      </c>
      <c r="E28" s="19" t="s">
        <v>72</v>
      </c>
      <c r="F28" s="23" t="s">
        <v>72</v>
      </c>
      <c r="G28" s="59" t="s">
        <v>1</v>
      </c>
      <c r="H28" s="19" t="s">
        <v>1</v>
      </c>
      <c r="I28" s="19" t="s">
        <v>1</v>
      </c>
      <c r="J28" s="59" t="s">
        <v>1</v>
      </c>
      <c r="K28" s="19" t="s">
        <v>1</v>
      </c>
      <c r="L28" s="19" t="s">
        <v>1</v>
      </c>
      <c r="M28" s="59" t="s">
        <v>72</v>
      </c>
      <c r="N28" s="19" t="s">
        <v>72</v>
      </c>
      <c r="O28" s="19" t="s">
        <v>72</v>
      </c>
      <c r="P28" s="59" t="s">
        <v>73</v>
      </c>
      <c r="Q28" s="19" t="s">
        <v>223</v>
      </c>
      <c r="R28" s="23" t="s">
        <v>223</v>
      </c>
      <c r="S28" s="59" t="s">
        <v>72</v>
      </c>
      <c r="T28" t="s">
        <v>223</v>
      </c>
      <c r="U28" s="19" t="s">
        <v>72</v>
      </c>
      <c r="V28" s="19" t="s">
        <v>73</v>
      </c>
      <c r="W28" s="19" t="s">
        <v>72</v>
      </c>
      <c r="X28" s="59" t="s">
        <v>72</v>
      </c>
      <c r="Y28" s="19" t="s">
        <v>72</v>
      </c>
      <c r="Z28" s="23" t="s">
        <v>223</v>
      </c>
      <c r="AA28" s="59" t="s">
        <v>72</v>
      </c>
      <c r="AB28" s="19" t="s">
        <v>72</v>
      </c>
      <c r="AC28" s="19" t="s">
        <v>72</v>
      </c>
      <c r="AD28" s="19" t="s">
        <v>1</v>
      </c>
      <c r="AE28" s="19" t="s">
        <v>72</v>
      </c>
      <c r="AF28" s="59" t="s">
        <v>72</v>
      </c>
      <c r="AG28" s="19" t="s">
        <v>72</v>
      </c>
      <c r="AH28" s="23" t="s">
        <v>72</v>
      </c>
      <c r="AJ28" s="164">
        <f t="shared" si="0"/>
        <v>0.66666666666666663</v>
      </c>
      <c r="AK28" s="164">
        <f t="shared" si="1"/>
        <v>0.75</v>
      </c>
      <c r="AL28" s="164">
        <f t="shared" si="2"/>
        <v>0.7142857142857143</v>
      </c>
      <c r="AM28" s="164">
        <f t="shared" si="3"/>
        <v>0.71031746031746035</v>
      </c>
    </row>
    <row r="29" spans="1:39" ht="15">
      <c r="A29" s="5" t="s">
        <v>329</v>
      </c>
      <c r="B29" s="6">
        <v>2</v>
      </c>
      <c r="C29" s="47" t="s">
        <v>43</v>
      </c>
      <c r="D29" s="59" t="s">
        <v>72</v>
      </c>
      <c r="E29" s="19" t="s">
        <v>72</v>
      </c>
      <c r="F29" s="23" t="s">
        <v>72</v>
      </c>
      <c r="G29" s="59" t="s">
        <v>1</v>
      </c>
      <c r="H29" s="19" t="s">
        <v>1</v>
      </c>
      <c r="I29" s="19" t="s">
        <v>1</v>
      </c>
      <c r="J29" s="59" t="s">
        <v>1</v>
      </c>
      <c r="K29" s="19" t="s">
        <v>1</v>
      </c>
      <c r="L29" s="19" t="s">
        <v>1</v>
      </c>
      <c r="M29" s="59" t="s">
        <v>72</v>
      </c>
      <c r="N29" s="19" t="s">
        <v>72</v>
      </c>
      <c r="O29" s="19" t="s">
        <v>72</v>
      </c>
      <c r="P29" s="59" t="s">
        <v>73</v>
      </c>
      <c r="Q29" s="19" t="s">
        <v>223</v>
      </c>
      <c r="R29" s="23" t="s">
        <v>223</v>
      </c>
      <c r="S29" s="59" t="s">
        <v>72</v>
      </c>
      <c r="T29" t="s">
        <v>223</v>
      </c>
      <c r="U29" s="19" t="s">
        <v>72</v>
      </c>
      <c r="V29" s="19" t="s">
        <v>73</v>
      </c>
      <c r="W29" s="19" t="s">
        <v>72</v>
      </c>
      <c r="X29" s="59" t="s">
        <v>72</v>
      </c>
      <c r="Y29" s="19" t="s">
        <v>72</v>
      </c>
      <c r="Z29" s="23" t="s">
        <v>223</v>
      </c>
      <c r="AA29" s="59" t="s">
        <v>72</v>
      </c>
      <c r="AB29" s="19" t="s">
        <v>72</v>
      </c>
      <c r="AC29" s="19" t="s">
        <v>72</v>
      </c>
      <c r="AD29" s="19" t="s">
        <v>1</v>
      </c>
      <c r="AE29" s="19" t="s">
        <v>72</v>
      </c>
      <c r="AF29" s="59" t="s">
        <v>72</v>
      </c>
      <c r="AG29" s="19" t="s">
        <v>72</v>
      </c>
      <c r="AH29" s="23" t="s">
        <v>72</v>
      </c>
      <c r="AJ29" s="164">
        <f t="shared" si="0"/>
        <v>0.66666666666666663</v>
      </c>
      <c r="AK29" s="164">
        <f t="shared" si="1"/>
        <v>0.75</v>
      </c>
      <c r="AL29" s="164">
        <f t="shared" si="2"/>
        <v>0.7142857142857143</v>
      </c>
      <c r="AM29" s="164">
        <f t="shared" si="3"/>
        <v>0.71031746031746035</v>
      </c>
    </row>
    <row r="30" spans="1:39" ht="15">
      <c r="A30" s="5" t="s">
        <v>329</v>
      </c>
      <c r="B30" s="6">
        <v>3</v>
      </c>
      <c r="C30" s="47" t="s">
        <v>43</v>
      </c>
      <c r="D30" s="59" t="s">
        <v>72</v>
      </c>
      <c r="E30" s="19" t="s">
        <v>72</v>
      </c>
      <c r="F30" s="23" t="s">
        <v>72</v>
      </c>
      <c r="G30" s="59" t="s">
        <v>1</v>
      </c>
      <c r="H30" s="19" t="s">
        <v>1</v>
      </c>
      <c r="I30" s="19" t="s">
        <v>1</v>
      </c>
      <c r="J30" s="59" t="s">
        <v>1</v>
      </c>
      <c r="K30" s="19" t="s">
        <v>1</v>
      </c>
      <c r="L30" s="19" t="s">
        <v>1</v>
      </c>
      <c r="M30" s="59" t="s">
        <v>72</v>
      </c>
      <c r="N30" s="19" t="s">
        <v>72</v>
      </c>
      <c r="O30" s="19" t="s">
        <v>72</v>
      </c>
      <c r="P30" s="59" t="s">
        <v>73</v>
      </c>
      <c r="Q30" s="19" t="s">
        <v>223</v>
      </c>
      <c r="R30" s="23" t="s">
        <v>223</v>
      </c>
      <c r="S30" s="59" t="s">
        <v>72</v>
      </c>
      <c r="T30" t="s">
        <v>223</v>
      </c>
      <c r="U30" s="19" t="s">
        <v>72</v>
      </c>
      <c r="V30" s="19" t="s">
        <v>73</v>
      </c>
      <c r="W30" s="19" t="s">
        <v>72</v>
      </c>
      <c r="X30" s="59" t="s">
        <v>72</v>
      </c>
      <c r="Y30" s="19" t="s">
        <v>72</v>
      </c>
      <c r="Z30" s="23" t="s">
        <v>223</v>
      </c>
      <c r="AA30" s="59" t="s">
        <v>72</v>
      </c>
      <c r="AB30" s="19" t="s">
        <v>72</v>
      </c>
      <c r="AC30" s="19" t="s">
        <v>72</v>
      </c>
      <c r="AD30" s="19" t="s">
        <v>1</v>
      </c>
      <c r="AE30" s="19" t="s">
        <v>72</v>
      </c>
      <c r="AF30" s="59" t="s">
        <v>72</v>
      </c>
      <c r="AG30" s="19" t="s">
        <v>72</v>
      </c>
      <c r="AH30" s="23" t="s">
        <v>72</v>
      </c>
      <c r="AJ30" s="164">
        <f t="shared" si="0"/>
        <v>0.66666666666666663</v>
      </c>
      <c r="AK30" s="164">
        <f t="shared" si="1"/>
        <v>0.75</v>
      </c>
      <c r="AL30" s="164">
        <f t="shared" si="2"/>
        <v>0.7142857142857143</v>
      </c>
      <c r="AM30" s="164">
        <f t="shared" si="3"/>
        <v>0.71031746031746035</v>
      </c>
    </row>
    <row r="31" spans="1:39" ht="15">
      <c r="A31" s="5" t="s">
        <v>329</v>
      </c>
      <c r="B31" s="6">
        <v>4</v>
      </c>
      <c r="C31" s="47" t="s">
        <v>43</v>
      </c>
      <c r="D31" s="59" t="s">
        <v>72</v>
      </c>
      <c r="E31" s="19" t="s">
        <v>72</v>
      </c>
      <c r="F31" s="23" t="s">
        <v>72</v>
      </c>
      <c r="G31" s="59" t="s">
        <v>1</v>
      </c>
      <c r="H31" s="19" t="s">
        <v>1</v>
      </c>
      <c r="I31" s="19" t="s">
        <v>1</v>
      </c>
      <c r="J31" s="59" t="s">
        <v>1</v>
      </c>
      <c r="K31" s="19" t="s">
        <v>1</v>
      </c>
      <c r="L31" s="19" t="s">
        <v>1</v>
      </c>
      <c r="M31" s="59" t="s">
        <v>72</v>
      </c>
      <c r="N31" s="19" t="s">
        <v>72</v>
      </c>
      <c r="O31" s="19" t="s">
        <v>72</v>
      </c>
      <c r="P31" s="59" t="s">
        <v>73</v>
      </c>
      <c r="Q31" s="19" t="s">
        <v>223</v>
      </c>
      <c r="R31" s="23" t="s">
        <v>223</v>
      </c>
      <c r="S31" s="59" t="s">
        <v>72</v>
      </c>
      <c r="T31" t="s">
        <v>223</v>
      </c>
      <c r="U31" s="19" t="s">
        <v>72</v>
      </c>
      <c r="V31" s="19" t="s">
        <v>73</v>
      </c>
      <c r="W31" s="19" t="s">
        <v>72</v>
      </c>
      <c r="X31" s="59" t="s">
        <v>72</v>
      </c>
      <c r="Y31" s="19" t="s">
        <v>72</v>
      </c>
      <c r="Z31" s="23" t="s">
        <v>223</v>
      </c>
      <c r="AA31" s="59" t="s">
        <v>72</v>
      </c>
      <c r="AB31" s="19" t="s">
        <v>72</v>
      </c>
      <c r="AC31" s="19" t="s">
        <v>72</v>
      </c>
      <c r="AD31" s="19" t="s">
        <v>1</v>
      </c>
      <c r="AE31" s="19" t="s">
        <v>72</v>
      </c>
      <c r="AF31" s="59" t="s">
        <v>72</v>
      </c>
      <c r="AG31" s="19" t="s">
        <v>72</v>
      </c>
      <c r="AH31" s="23" t="s">
        <v>72</v>
      </c>
      <c r="AJ31" s="164">
        <f t="shared" si="0"/>
        <v>0.66666666666666663</v>
      </c>
      <c r="AK31" s="164">
        <f t="shared" si="1"/>
        <v>0.75</v>
      </c>
      <c r="AL31" s="164">
        <f t="shared" si="2"/>
        <v>0.7142857142857143</v>
      </c>
      <c r="AM31" s="164">
        <f t="shared" si="3"/>
        <v>0.71031746031746035</v>
      </c>
    </row>
    <row r="32" spans="1:39" ht="15">
      <c r="A32" s="44" t="s">
        <v>333</v>
      </c>
      <c r="B32" s="6">
        <v>0</v>
      </c>
      <c r="C32" s="44" t="s">
        <v>752</v>
      </c>
      <c r="D32" s="59" t="s">
        <v>223</v>
      </c>
      <c r="E32" t="s">
        <v>223</v>
      </c>
      <c r="F32" s="23" t="s">
        <v>72</v>
      </c>
      <c r="G32" s="59" t="s">
        <v>223</v>
      </c>
      <c r="H32" t="s">
        <v>223</v>
      </c>
      <c r="I32" s="19" t="s">
        <v>1</v>
      </c>
      <c r="J32" s="59" t="s">
        <v>223</v>
      </c>
      <c r="K32" t="s">
        <v>223</v>
      </c>
      <c r="L32" s="19" t="s">
        <v>1</v>
      </c>
      <c r="M32" s="59" t="s">
        <v>223</v>
      </c>
      <c r="N32" t="s">
        <v>223</v>
      </c>
      <c r="O32" s="19" t="s">
        <v>72</v>
      </c>
      <c r="P32" s="59" t="s">
        <v>223</v>
      </c>
      <c r="Q32" s="19" t="s">
        <v>223</v>
      </c>
      <c r="R32" s="23" t="s">
        <v>223</v>
      </c>
      <c r="S32" s="59" t="s">
        <v>223</v>
      </c>
      <c r="T32" t="s">
        <v>223</v>
      </c>
      <c r="U32" t="s">
        <v>223</v>
      </c>
      <c r="V32" s="19" t="s">
        <v>72</v>
      </c>
      <c r="W32" s="23" t="s">
        <v>72</v>
      </c>
      <c r="X32" s="59" t="s">
        <v>223</v>
      </c>
      <c r="Y32" t="s">
        <v>223</v>
      </c>
      <c r="Z32" s="24" t="s">
        <v>223</v>
      </c>
      <c r="AA32" s="59" t="s">
        <v>223</v>
      </c>
      <c r="AB32" t="s">
        <v>223</v>
      </c>
      <c r="AC32" t="s">
        <v>223</v>
      </c>
      <c r="AD32" s="19" t="s">
        <v>72</v>
      </c>
      <c r="AE32" s="19" t="s">
        <v>73</v>
      </c>
      <c r="AF32" s="59" t="s">
        <v>223</v>
      </c>
      <c r="AG32" t="s">
        <v>223</v>
      </c>
      <c r="AH32" s="23" t="s">
        <v>72</v>
      </c>
      <c r="AJ32" s="164" t="str">
        <f t="shared" si="0"/>
        <v>#</v>
      </c>
      <c r="AK32" s="164" t="str">
        <f t="shared" si="1"/>
        <v>#</v>
      </c>
      <c r="AL32" s="164">
        <f t="shared" si="2"/>
        <v>0.7142857142857143</v>
      </c>
      <c r="AM32" s="164">
        <f t="shared" ref="AM32:AM61" si="4">AVERAGE(AJ32:AL32)</f>
        <v>0.7142857142857143</v>
      </c>
    </row>
    <row r="33" spans="1:39" ht="15">
      <c r="A33" s="44" t="s">
        <v>341</v>
      </c>
      <c r="B33" s="6">
        <v>0</v>
      </c>
      <c r="C33" s="44" t="s">
        <v>771</v>
      </c>
      <c r="D33" s="19" t="s">
        <v>72</v>
      </c>
      <c r="E33" t="s">
        <v>223</v>
      </c>
      <c r="F33" s="23" t="s">
        <v>223</v>
      </c>
      <c r="G33" s="59" t="s">
        <v>1</v>
      </c>
      <c r="H33" t="s">
        <v>223</v>
      </c>
      <c r="I33" s="23" t="s">
        <v>223</v>
      </c>
      <c r="J33" s="59" t="s">
        <v>1</v>
      </c>
      <c r="K33" t="s">
        <v>223</v>
      </c>
      <c r="L33" s="23" t="s">
        <v>223</v>
      </c>
      <c r="M33" s="59" t="s">
        <v>72</v>
      </c>
      <c r="N33" t="s">
        <v>223</v>
      </c>
      <c r="O33" s="23" t="s">
        <v>223</v>
      </c>
      <c r="P33" s="19" t="s">
        <v>1</v>
      </c>
      <c r="Q33" s="19" t="s">
        <v>223</v>
      </c>
      <c r="R33" s="23" t="s">
        <v>223</v>
      </c>
      <c r="S33" s="59" t="s">
        <v>72</v>
      </c>
      <c r="T33" t="s">
        <v>223</v>
      </c>
      <c r="U33" t="s">
        <v>223</v>
      </c>
      <c r="V33" s="19" t="s">
        <v>223</v>
      </c>
      <c r="W33" s="23" t="s">
        <v>223</v>
      </c>
      <c r="X33" s="19" t="s">
        <v>73</v>
      </c>
      <c r="Y33" t="s">
        <v>223</v>
      </c>
      <c r="Z33" s="23" t="s">
        <v>223</v>
      </c>
      <c r="AA33" s="19" t="s">
        <v>73</v>
      </c>
      <c r="AB33" t="s">
        <v>223</v>
      </c>
      <c r="AC33" t="s">
        <v>223</v>
      </c>
      <c r="AD33" s="19" t="s">
        <v>223</v>
      </c>
      <c r="AE33" s="23" t="s">
        <v>223</v>
      </c>
      <c r="AF33" s="19" t="s">
        <v>72</v>
      </c>
      <c r="AG33" t="s">
        <v>223</v>
      </c>
      <c r="AH33" s="23" t="s">
        <v>223</v>
      </c>
      <c r="AJ33" s="164">
        <f t="shared" si="0"/>
        <v>0.44444444444444442</v>
      </c>
      <c r="AK33" s="164" t="str">
        <f t="shared" si="1"/>
        <v>#</v>
      </c>
      <c r="AL33" s="164" t="str">
        <f t="shared" si="2"/>
        <v>#</v>
      </c>
      <c r="AM33" s="164">
        <f t="shared" si="4"/>
        <v>0.44444444444444442</v>
      </c>
    </row>
    <row r="34" spans="1:39" ht="15">
      <c r="A34" s="44" t="s">
        <v>345</v>
      </c>
      <c r="B34" s="6">
        <v>0</v>
      </c>
      <c r="C34" s="44" t="s">
        <v>753</v>
      </c>
      <c r="D34" s="59" t="s">
        <v>72</v>
      </c>
      <c r="E34" t="s">
        <v>223</v>
      </c>
      <c r="F34" s="23" t="s">
        <v>73</v>
      </c>
      <c r="G34" s="59" t="s">
        <v>1</v>
      </c>
      <c r="H34" t="s">
        <v>223</v>
      </c>
      <c r="I34" s="19" t="s">
        <v>1</v>
      </c>
      <c r="J34" s="59" t="s">
        <v>1</v>
      </c>
      <c r="K34" t="s">
        <v>223</v>
      </c>
      <c r="L34" s="19" t="s">
        <v>1</v>
      </c>
      <c r="M34" s="59" t="s">
        <v>72</v>
      </c>
      <c r="N34" t="s">
        <v>223</v>
      </c>
      <c r="O34" s="19" t="s">
        <v>72</v>
      </c>
      <c r="P34" s="59" t="s">
        <v>72</v>
      </c>
      <c r="Q34" s="19" t="s">
        <v>223</v>
      </c>
      <c r="R34" s="23" t="s">
        <v>223</v>
      </c>
      <c r="S34" s="59" t="s">
        <v>1</v>
      </c>
      <c r="T34" t="s">
        <v>223</v>
      </c>
      <c r="U34" t="s">
        <v>223</v>
      </c>
      <c r="V34" s="19" t="s">
        <v>223</v>
      </c>
      <c r="W34" s="23" t="s">
        <v>72</v>
      </c>
      <c r="X34" s="59" t="s">
        <v>73</v>
      </c>
      <c r="Y34" t="s">
        <v>223</v>
      </c>
      <c r="Z34" s="23" t="s">
        <v>223</v>
      </c>
      <c r="AA34" s="59" t="s">
        <v>73</v>
      </c>
      <c r="AB34" t="s">
        <v>223</v>
      </c>
      <c r="AC34" t="s">
        <v>223</v>
      </c>
      <c r="AD34" s="19" t="s">
        <v>223</v>
      </c>
      <c r="AE34" s="23" t="s">
        <v>73</v>
      </c>
      <c r="AF34" s="19" t="s">
        <v>72</v>
      </c>
      <c r="AG34" t="s">
        <v>223</v>
      </c>
      <c r="AH34" s="23" t="s">
        <v>72</v>
      </c>
      <c r="AJ34" s="164">
        <f t="shared" si="0"/>
        <v>0.44444444444444442</v>
      </c>
      <c r="AK34" s="164" t="str">
        <f t="shared" si="1"/>
        <v>#</v>
      </c>
      <c r="AL34" s="164">
        <f t="shared" si="2"/>
        <v>0.42857142857142855</v>
      </c>
      <c r="AM34" s="164">
        <f t="shared" si="4"/>
        <v>0.43650793650793651</v>
      </c>
    </row>
    <row r="35" spans="1:39" ht="15">
      <c r="A35" s="5" t="s">
        <v>349</v>
      </c>
      <c r="B35" s="6">
        <v>0</v>
      </c>
      <c r="C35" s="47" t="s">
        <v>754</v>
      </c>
      <c r="D35" s="59" t="s">
        <v>72</v>
      </c>
      <c r="E35" t="s">
        <v>223</v>
      </c>
      <c r="F35" s="23" t="s">
        <v>72</v>
      </c>
      <c r="G35" s="59" t="s">
        <v>1</v>
      </c>
      <c r="H35" t="s">
        <v>223</v>
      </c>
      <c r="I35" s="19" t="s">
        <v>1</v>
      </c>
      <c r="J35" s="59" t="s">
        <v>1</v>
      </c>
      <c r="K35" t="s">
        <v>223</v>
      </c>
      <c r="L35" s="19" t="s">
        <v>1</v>
      </c>
      <c r="M35" s="59" t="s">
        <v>72</v>
      </c>
      <c r="N35" t="s">
        <v>223</v>
      </c>
      <c r="O35" s="19" t="s">
        <v>72</v>
      </c>
      <c r="P35" s="59" t="s">
        <v>72</v>
      </c>
      <c r="Q35" s="19" t="s">
        <v>223</v>
      </c>
      <c r="R35" s="23" t="s">
        <v>223</v>
      </c>
      <c r="S35" s="59" t="s">
        <v>73</v>
      </c>
      <c r="T35" t="s">
        <v>223</v>
      </c>
      <c r="U35" t="s">
        <v>223</v>
      </c>
      <c r="V35" t="s">
        <v>223</v>
      </c>
      <c r="W35" s="19" t="s">
        <v>72</v>
      </c>
      <c r="X35" s="59" t="s">
        <v>73</v>
      </c>
      <c r="Y35" t="s">
        <v>223</v>
      </c>
      <c r="Z35" s="23" t="s">
        <v>223</v>
      </c>
      <c r="AA35" s="59" t="s">
        <v>73</v>
      </c>
      <c r="AB35" t="s">
        <v>223</v>
      </c>
      <c r="AC35" t="s">
        <v>223</v>
      </c>
      <c r="AD35" t="s">
        <v>223</v>
      </c>
      <c r="AE35" s="19" t="s">
        <v>73</v>
      </c>
      <c r="AF35" s="59" t="s">
        <v>72</v>
      </c>
      <c r="AG35" t="s">
        <v>223</v>
      </c>
      <c r="AH35" s="23" t="s">
        <v>72</v>
      </c>
      <c r="AJ35" s="164">
        <f t="shared" si="0"/>
        <v>0.44444444444444442</v>
      </c>
      <c r="AK35" s="164" t="str">
        <f t="shared" si="1"/>
        <v>#</v>
      </c>
      <c r="AL35" s="164">
        <f t="shared" si="2"/>
        <v>0.5714285714285714</v>
      </c>
      <c r="AM35" s="164">
        <f t="shared" si="4"/>
        <v>0.50793650793650791</v>
      </c>
    </row>
    <row r="36" spans="1:39" ht="15">
      <c r="A36" s="13" t="s">
        <v>355</v>
      </c>
      <c r="B36" s="14">
        <v>0</v>
      </c>
      <c r="C36" s="21" t="s">
        <v>16</v>
      </c>
      <c r="D36" s="59" t="s">
        <v>72</v>
      </c>
      <c r="E36" t="s">
        <v>223</v>
      </c>
      <c r="F36" s="23" t="s">
        <v>72</v>
      </c>
      <c r="G36" s="59" t="s">
        <v>1</v>
      </c>
      <c r="H36" t="s">
        <v>223</v>
      </c>
      <c r="I36" s="19" t="s">
        <v>1</v>
      </c>
      <c r="J36" s="59" t="s">
        <v>1</v>
      </c>
      <c r="K36" t="s">
        <v>223</v>
      </c>
      <c r="L36" s="19" t="s">
        <v>1</v>
      </c>
      <c r="M36" s="59" t="s">
        <v>72</v>
      </c>
      <c r="N36" t="s">
        <v>223</v>
      </c>
      <c r="O36" s="19" t="s">
        <v>72</v>
      </c>
      <c r="P36" s="59" t="s">
        <v>72</v>
      </c>
      <c r="Q36" s="19" t="s">
        <v>223</v>
      </c>
      <c r="R36" s="24" t="s">
        <v>223</v>
      </c>
      <c r="S36" s="59" t="s">
        <v>72</v>
      </c>
      <c r="T36" t="s">
        <v>223</v>
      </c>
      <c r="U36" t="s">
        <v>223</v>
      </c>
      <c r="V36" s="19" t="s">
        <v>223</v>
      </c>
      <c r="W36" s="23" t="s">
        <v>72</v>
      </c>
      <c r="X36" s="59" t="s">
        <v>73</v>
      </c>
      <c r="Y36" t="s">
        <v>223</v>
      </c>
      <c r="Z36" s="23" t="s">
        <v>223</v>
      </c>
      <c r="AA36" s="59" t="s">
        <v>73</v>
      </c>
      <c r="AB36" t="s">
        <v>223</v>
      </c>
      <c r="AC36" t="s">
        <v>223</v>
      </c>
      <c r="AD36" s="19" t="s">
        <v>223</v>
      </c>
      <c r="AE36" s="19" t="s">
        <v>73</v>
      </c>
      <c r="AF36" s="59" t="s">
        <v>72</v>
      </c>
      <c r="AG36" t="s">
        <v>223</v>
      </c>
      <c r="AH36" s="23" t="s">
        <v>72</v>
      </c>
      <c r="AJ36" s="164">
        <f t="shared" si="0"/>
        <v>0.55555555555555558</v>
      </c>
      <c r="AK36" s="164" t="str">
        <f t="shared" si="1"/>
        <v>#</v>
      </c>
      <c r="AL36" s="164">
        <f t="shared" si="2"/>
        <v>0.5714285714285714</v>
      </c>
      <c r="AM36" s="164">
        <f t="shared" si="4"/>
        <v>0.56349206349206349</v>
      </c>
    </row>
    <row r="37" spans="1:39" ht="15">
      <c r="A37" s="33" t="s">
        <v>366</v>
      </c>
      <c r="B37" s="27">
        <v>0</v>
      </c>
      <c r="C37" s="36" t="s">
        <v>48</v>
      </c>
      <c r="D37" s="59" t="s">
        <v>72</v>
      </c>
      <c r="E37" t="s">
        <v>223</v>
      </c>
      <c r="F37" s="23" t="s">
        <v>73</v>
      </c>
      <c r="G37" s="59" t="s">
        <v>1</v>
      </c>
      <c r="H37" t="s">
        <v>223</v>
      </c>
      <c r="I37" s="19" t="s">
        <v>1</v>
      </c>
      <c r="J37" s="59" t="s">
        <v>1</v>
      </c>
      <c r="K37" t="s">
        <v>223</v>
      </c>
      <c r="L37" s="19" t="s">
        <v>1</v>
      </c>
      <c r="M37" s="59" t="s">
        <v>72</v>
      </c>
      <c r="N37" t="s">
        <v>223</v>
      </c>
      <c r="O37" s="19" t="s">
        <v>72</v>
      </c>
      <c r="P37" s="59" t="s">
        <v>73</v>
      </c>
      <c r="Q37" s="19" t="s">
        <v>223</v>
      </c>
      <c r="R37" s="23" t="s">
        <v>223</v>
      </c>
      <c r="S37" s="59" t="s">
        <v>73</v>
      </c>
      <c r="T37" t="s">
        <v>223</v>
      </c>
      <c r="U37" t="s">
        <v>223</v>
      </c>
      <c r="V37" s="19" t="s">
        <v>72</v>
      </c>
      <c r="W37" s="23" t="s">
        <v>72</v>
      </c>
      <c r="X37" s="59" t="s">
        <v>72</v>
      </c>
      <c r="Y37" t="s">
        <v>223</v>
      </c>
      <c r="Z37" s="23" t="s">
        <v>223</v>
      </c>
      <c r="AA37" s="59" t="s">
        <v>1</v>
      </c>
      <c r="AB37" t="s">
        <v>223</v>
      </c>
      <c r="AC37" t="s">
        <v>223</v>
      </c>
      <c r="AD37" s="19" t="s">
        <v>1</v>
      </c>
      <c r="AE37" s="23" t="s">
        <v>1</v>
      </c>
      <c r="AF37" s="59" t="s">
        <v>72</v>
      </c>
      <c r="AG37" t="s">
        <v>223</v>
      </c>
      <c r="AH37" s="23" t="s">
        <v>72</v>
      </c>
      <c r="AJ37" s="164">
        <f t="shared" si="0"/>
        <v>0.44444444444444442</v>
      </c>
      <c r="AK37" s="164" t="str">
        <f t="shared" si="1"/>
        <v>#</v>
      </c>
      <c r="AL37" s="164">
        <f t="shared" si="2"/>
        <v>0.42857142857142855</v>
      </c>
      <c r="AM37" s="164">
        <f t="shared" si="4"/>
        <v>0.43650793650793651</v>
      </c>
    </row>
    <row r="38" spans="1:39" ht="15">
      <c r="A38" s="5" t="s">
        <v>369</v>
      </c>
      <c r="B38" s="6">
        <v>0</v>
      </c>
      <c r="C38" s="5" t="s">
        <v>772</v>
      </c>
      <c r="D38" s="59" t="s">
        <v>72</v>
      </c>
      <c r="E38" t="s">
        <v>223</v>
      </c>
      <c r="F38" s="23" t="s">
        <v>72</v>
      </c>
      <c r="G38" s="59" t="s">
        <v>1</v>
      </c>
      <c r="H38" t="s">
        <v>223</v>
      </c>
      <c r="I38" s="19" t="s">
        <v>1</v>
      </c>
      <c r="J38" s="59" t="s">
        <v>1</v>
      </c>
      <c r="K38" t="s">
        <v>223</v>
      </c>
      <c r="L38" s="19" t="s">
        <v>1</v>
      </c>
      <c r="M38" s="59" t="s">
        <v>72</v>
      </c>
      <c r="N38" t="s">
        <v>223</v>
      </c>
      <c r="O38" s="19" t="s">
        <v>72</v>
      </c>
      <c r="P38" s="59" t="s">
        <v>72</v>
      </c>
      <c r="Q38" s="19" t="s">
        <v>223</v>
      </c>
      <c r="R38" s="23" t="s">
        <v>223</v>
      </c>
      <c r="S38" s="59" t="s">
        <v>72</v>
      </c>
      <c r="T38" t="s">
        <v>223</v>
      </c>
      <c r="U38" t="s">
        <v>223</v>
      </c>
      <c r="V38" t="s">
        <v>223</v>
      </c>
      <c r="W38" s="19" t="s">
        <v>72</v>
      </c>
      <c r="X38" s="59" t="s">
        <v>73</v>
      </c>
      <c r="Y38" t="s">
        <v>223</v>
      </c>
      <c r="Z38" s="23" t="s">
        <v>223</v>
      </c>
      <c r="AA38" s="59" t="s">
        <v>73</v>
      </c>
      <c r="AB38" t="s">
        <v>223</v>
      </c>
      <c r="AC38" t="s">
        <v>223</v>
      </c>
      <c r="AD38" t="s">
        <v>223</v>
      </c>
      <c r="AE38" s="19" t="s">
        <v>73</v>
      </c>
      <c r="AF38" s="59" t="s">
        <v>72</v>
      </c>
      <c r="AG38" t="s">
        <v>223</v>
      </c>
      <c r="AH38" s="23" t="s">
        <v>72</v>
      </c>
      <c r="AJ38" s="164">
        <f t="shared" si="0"/>
        <v>0.55555555555555558</v>
      </c>
      <c r="AK38" s="164" t="str">
        <f t="shared" si="1"/>
        <v>#</v>
      </c>
      <c r="AL38" s="164">
        <f t="shared" si="2"/>
        <v>0.5714285714285714</v>
      </c>
      <c r="AM38" s="164">
        <f t="shared" si="4"/>
        <v>0.56349206349206349</v>
      </c>
    </row>
    <row r="39" spans="1:39" ht="15">
      <c r="A39" s="13" t="s">
        <v>374</v>
      </c>
      <c r="B39" s="14">
        <v>0</v>
      </c>
      <c r="C39" s="5" t="s">
        <v>773</v>
      </c>
      <c r="D39" s="59" t="s">
        <v>72</v>
      </c>
      <c r="E39" t="s">
        <v>223</v>
      </c>
      <c r="F39" s="23" t="s">
        <v>72</v>
      </c>
      <c r="G39" s="59" t="s">
        <v>1</v>
      </c>
      <c r="H39" t="s">
        <v>223</v>
      </c>
      <c r="I39" s="19" t="s">
        <v>1</v>
      </c>
      <c r="J39" s="59" t="s">
        <v>1</v>
      </c>
      <c r="K39" t="s">
        <v>223</v>
      </c>
      <c r="L39" s="19" t="s">
        <v>1</v>
      </c>
      <c r="M39" s="59" t="s">
        <v>72</v>
      </c>
      <c r="N39" t="s">
        <v>223</v>
      </c>
      <c r="O39" s="19" t="s">
        <v>72</v>
      </c>
      <c r="P39" s="59" t="s">
        <v>72</v>
      </c>
      <c r="Q39" s="19" t="s">
        <v>223</v>
      </c>
      <c r="R39" s="23" t="s">
        <v>223</v>
      </c>
      <c r="S39" s="59" t="s">
        <v>72</v>
      </c>
      <c r="T39" t="s">
        <v>223</v>
      </c>
      <c r="U39" t="s">
        <v>223</v>
      </c>
      <c r="V39" s="19" t="s">
        <v>72</v>
      </c>
      <c r="W39" s="23" t="s">
        <v>72</v>
      </c>
      <c r="X39" s="59" t="s">
        <v>73</v>
      </c>
      <c r="Y39" t="s">
        <v>223</v>
      </c>
      <c r="Z39" s="23" t="s">
        <v>223</v>
      </c>
      <c r="AA39" s="59" t="s">
        <v>72</v>
      </c>
      <c r="AB39" t="s">
        <v>223</v>
      </c>
      <c r="AC39" t="s">
        <v>223</v>
      </c>
      <c r="AD39" s="19" t="s">
        <v>72</v>
      </c>
      <c r="AE39" s="19" t="s">
        <v>72</v>
      </c>
      <c r="AF39" s="59" t="s">
        <v>72</v>
      </c>
      <c r="AG39" t="s">
        <v>223</v>
      </c>
      <c r="AH39" s="23" t="s">
        <v>72</v>
      </c>
      <c r="AJ39" s="164">
        <f t="shared" si="0"/>
        <v>0.66666666666666663</v>
      </c>
      <c r="AK39" s="164" t="str">
        <f t="shared" si="1"/>
        <v>#</v>
      </c>
      <c r="AL39" s="164">
        <f t="shared" si="2"/>
        <v>0.7142857142857143</v>
      </c>
      <c r="AM39" s="164">
        <f t="shared" si="4"/>
        <v>0.69047619047619047</v>
      </c>
    </row>
    <row r="40" spans="1:39" ht="15">
      <c r="A40" s="44" t="s">
        <v>384</v>
      </c>
      <c r="B40" s="6">
        <v>1</v>
      </c>
      <c r="C40" s="44" t="s">
        <v>755</v>
      </c>
      <c r="D40" s="59" t="s">
        <v>72</v>
      </c>
      <c r="E40" t="s">
        <v>223</v>
      </c>
      <c r="F40" s="23" t="s">
        <v>72</v>
      </c>
      <c r="G40" s="59" t="s">
        <v>1</v>
      </c>
      <c r="H40" t="s">
        <v>223</v>
      </c>
      <c r="I40" s="19" t="s">
        <v>1</v>
      </c>
      <c r="J40" s="59" t="s">
        <v>1</v>
      </c>
      <c r="K40" t="s">
        <v>223</v>
      </c>
      <c r="L40" s="19" t="s">
        <v>1</v>
      </c>
      <c r="M40" s="59" t="s">
        <v>72</v>
      </c>
      <c r="N40" t="s">
        <v>223</v>
      </c>
      <c r="O40" s="19" t="s">
        <v>72</v>
      </c>
      <c r="P40" s="59" t="s">
        <v>72</v>
      </c>
      <c r="Q40" s="19" t="s">
        <v>223</v>
      </c>
      <c r="R40" s="24" t="s">
        <v>223</v>
      </c>
      <c r="S40" s="59" t="s">
        <v>72</v>
      </c>
      <c r="T40" t="s">
        <v>223</v>
      </c>
      <c r="U40" t="s">
        <v>223</v>
      </c>
      <c r="V40" s="19" t="s">
        <v>72</v>
      </c>
      <c r="W40" s="24" t="s">
        <v>223</v>
      </c>
      <c r="X40" s="59" t="s">
        <v>1</v>
      </c>
      <c r="Y40" t="s">
        <v>223</v>
      </c>
      <c r="Z40" s="24" t="s">
        <v>223</v>
      </c>
      <c r="AA40" s="59" t="s">
        <v>73</v>
      </c>
      <c r="AB40" t="s">
        <v>223</v>
      </c>
      <c r="AC40" t="s">
        <v>223</v>
      </c>
      <c r="AD40" s="19" t="s">
        <v>72</v>
      </c>
      <c r="AE40" s="24" t="s">
        <v>223</v>
      </c>
      <c r="AF40" s="19" t="s">
        <v>1</v>
      </c>
      <c r="AG40" t="s">
        <v>223</v>
      </c>
      <c r="AH40" s="23" t="s">
        <v>72</v>
      </c>
      <c r="AJ40" s="164">
        <f t="shared" si="0"/>
        <v>0.44444444444444442</v>
      </c>
      <c r="AK40" s="164" t="str">
        <f t="shared" si="1"/>
        <v>#</v>
      </c>
      <c r="AL40" s="164">
        <f t="shared" si="2"/>
        <v>0.7142857142857143</v>
      </c>
      <c r="AM40" s="164">
        <f t="shared" si="4"/>
        <v>0.57936507936507931</v>
      </c>
    </row>
    <row r="41" spans="1:39" ht="15">
      <c r="A41" s="44" t="s">
        <v>384</v>
      </c>
      <c r="B41" s="6">
        <v>2</v>
      </c>
      <c r="C41" s="44" t="s">
        <v>755</v>
      </c>
      <c r="D41" s="59" t="s">
        <v>72</v>
      </c>
      <c r="E41" t="s">
        <v>223</v>
      </c>
      <c r="F41" s="24" t="s">
        <v>223</v>
      </c>
      <c r="G41" s="59" t="s">
        <v>1</v>
      </c>
      <c r="H41" t="s">
        <v>223</v>
      </c>
      <c r="I41" s="24" t="s">
        <v>223</v>
      </c>
      <c r="J41" s="59" t="s">
        <v>1</v>
      </c>
      <c r="K41" t="s">
        <v>223</v>
      </c>
      <c r="L41" s="24" t="s">
        <v>223</v>
      </c>
      <c r="M41" s="59" t="s">
        <v>72</v>
      </c>
      <c r="N41" t="s">
        <v>223</v>
      </c>
      <c r="O41" s="24" t="s">
        <v>223</v>
      </c>
      <c r="P41" s="59" t="s">
        <v>1</v>
      </c>
      <c r="Q41" s="19" t="s">
        <v>223</v>
      </c>
      <c r="R41" s="24" t="s">
        <v>223</v>
      </c>
      <c r="S41" s="59" t="s">
        <v>72</v>
      </c>
      <c r="T41" t="s">
        <v>223</v>
      </c>
      <c r="U41" t="s">
        <v>223</v>
      </c>
      <c r="V41" s="19" t="s">
        <v>223</v>
      </c>
      <c r="W41" s="24" t="s">
        <v>223</v>
      </c>
      <c r="X41" s="59" t="s">
        <v>73</v>
      </c>
      <c r="Y41" t="s">
        <v>223</v>
      </c>
      <c r="Z41" s="24" t="s">
        <v>223</v>
      </c>
      <c r="AA41" s="59" t="s">
        <v>73</v>
      </c>
      <c r="AB41" t="s">
        <v>223</v>
      </c>
      <c r="AC41" t="s">
        <v>223</v>
      </c>
      <c r="AD41" s="19" t="s">
        <v>223</v>
      </c>
      <c r="AE41" s="24" t="s">
        <v>223</v>
      </c>
      <c r="AF41" s="19" t="s">
        <v>1</v>
      </c>
      <c r="AG41" t="s">
        <v>223</v>
      </c>
      <c r="AH41" s="23" t="s">
        <v>72</v>
      </c>
      <c r="AJ41" s="164">
        <f t="shared" si="0"/>
        <v>0.33333333333333331</v>
      </c>
      <c r="AK41" s="164" t="str">
        <f t="shared" si="1"/>
        <v>#</v>
      </c>
      <c r="AL41" s="164" t="str">
        <f t="shared" si="2"/>
        <v>#</v>
      </c>
      <c r="AM41" s="164">
        <f t="shared" si="4"/>
        <v>0.33333333333333331</v>
      </c>
    </row>
    <row r="42" spans="1:39" ht="15">
      <c r="A42" s="44" t="s">
        <v>716</v>
      </c>
      <c r="B42" s="6">
        <v>0</v>
      </c>
      <c r="C42" s="44" t="s">
        <v>756</v>
      </c>
      <c r="D42" s="59" t="s">
        <v>223</v>
      </c>
      <c r="E42" t="s">
        <v>223</v>
      </c>
      <c r="F42" s="23" t="s">
        <v>72</v>
      </c>
      <c r="G42" s="19" t="s">
        <v>223</v>
      </c>
      <c r="H42" t="s">
        <v>223</v>
      </c>
      <c r="I42" s="19" t="s">
        <v>1</v>
      </c>
      <c r="J42" s="59" t="s">
        <v>223</v>
      </c>
      <c r="K42" t="s">
        <v>223</v>
      </c>
      <c r="L42" s="19" t="s">
        <v>1</v>
      </c>
      <c r="M42" s="59" t="s">
        <v>223</v>
      </c>
      <c r="N42" t="s">
        <v>223</v>
      </c>
      <c r="O42" s="23" t="s">
        <v>72</v>
      </c>
      <c r="P42" s="19" t="s">
        <v>223</v>
      </c>
      <c r="Q42" s="19" t="s">
        <v>223</v>
      </c>
      <c r="R42" s="23" t="s">
        <v>223</v>
      </c>
      <c r="S42" s="59" t="s">
        <v>223</v>
      </c>
      <c r="T42" t="s">
        <v>223</v>
      </c>
      <c r="U42" t="s">
        <v>223</v>
      </c>
      <c r="V42" s="19" t="s">
        <v>223</v>
      </c>
      <c r="W42" s="23" t="s">
        <v>72</v>
      </c>
      <c r="X42" s="19" t="s">
        <v>223</v>
      </c>
      <c r="Y42" t="s">
        <v>223</v>
      </c>
      <c r="Z42" s="23" t="s">
        <v>223</v>
      </c>
      <c r="AA42" s="19" t="s">
        <v>223</v>
      </c>
      <c r="AB42" t="s">
        <v>223</v>
      </c>
      <c r="AC42" t="s">
        <v>223</v>
      </c>
      <c r="AD42" s="19" t="s">
        <v>223</v>
      </c>
      <c r="AE42" s="23" t="s">
        <v>73</v>
      </c>
      <c r="AF42" s="19" t="s">
        <v>223</v>
      </c>
      <c r="AG42" t="s">
        <v>223</v>
      </c>
      <c r="AH42" s="23" t="s">
        <v>72</v>
      </c>
      <c r="AJ42" s="164" t="str">
        <f t="shared" si="0"/>
        <v>#</v>
      </c>
      <c r="AK42" s="164" t="str">
        <f t="shared" si="1"/>
        <v>#</v>
      </c>
      <c r="AL42" s="164">
        <f t="shared" si="2"/>
        <v>0.5714285714285714</v>
      </c>
      <c r="AM42" s="164">
        <f t="shared" si="4"/>
        <v>0.5714285714285714</v>
      </c>
    </row>
    <row r="43" spans="1:39" ht="15">
      <c r="A43" s="44" t="s">
        <v>411</v>
      </c>
      <c r="B43" s="6">
        <v>0</v>
      </c>
      <c r="C43" s="44" t="s">
        <v>758</v>
      </c>
      <c r="D43" s="59" t="s">
        <v>72</v>
      </c>
      <c r="E43" t="s">
        <v>223</v>
      </c>
      <c r="F43" s="23" t="s">
        <v>72</v>
      </c>
      <c r="G43" s="59" t="s">
        <v>1</v>
      </c>
      <c r="H43" t="s">
        <v>223</v>
      </c>
      <c r="I43" s="19" t="s">
        <v>1</v>
      </c>
      <c r="J43" s="59" t="s">
        <v>1</v>
      </c>
      <c r="K43" t="s">
        <v>223</v>
      </c>
      <c r="L43" s="19" t="s">
        <v>1</v>
      </c>
      <c r="M43" s="59" t="s">
        <v>72</v>
      </c>
      <c r="N43" t="s">
        <v>223</v>
      </c>
      <c r="O43" s="19" t="s">
        <v>72</v>
      </c>
      <c r="P43" s="59" t="s">
        <v>72</v>
      </c>
      <c r="Q43" s="19" t="s">
        <v>223</v>
      </c>
      <c r="R43" s="23" t="s">
        <v>223</v>
      </c>
      <c r="S43" s="59" t="s">
        <v>72</v>
      </c>
      <c r="T43" t="s">
        <v>223</v>
      </c>
      <c r="U43" t="s">
        <v>223</v>
      </c>
      <c r="V43" s="19" t="s">
        <v>72</v>
      </c>
      <c r="W43" s="23" t="s">
        <v>72</v>
      </c>
      <c r="X43" s="59" t="s">
        <v>73</v>
      </c>
      <c r="Y43" t="s">
        <v>223</v>
      </c>
      <c r="Z43" s="23" t="s">
        <v>223</v>
      </c>
      <c r="AA43" s="59" t="s">
        <v>72</v>
      </c>
      <c r="AB43" t="s">
        <v>223</v>
      </c>
      <c r="AC43" t="s">
        <v>223</v>
      </c>
      <c r="AD43" s="19" t="s">
        <v>72</v>
      </c>
      <c r="AE43" s="23" t="s">
        <v>72</v>
      </c>
      <c r="AF43" s="19" t="s">
        <v>72</v>
      </c>
      <c r="AG43" t="s">
        <v>223</v>
      </c>
      <c r="AH43" s="23" t="s">
        <v>72</v>
      </c>
      <c r="AJ43" s="164">
        <f t="shared" si="0"/>
        <v>0.66666666666666663</v>
      </c>
      <c r="AK43" s="164" t="str">
        <f t="shared" si="1"/>
        <v>#</v>
      </c>
      <c r="AL43" s="164">
        <f t="shared" si="2"/>
        <v>0.7142857142857143</v>
      </c>
      <c r="AM43" s="164">
        <f t="shared" si="4"/>
        <v>0.69047619047619047</v>
      </c>
    </row>
    <row r="44" spans="1:39" ht="15">
      <c r="A44" s="44" t="s">
        <v>717</v>
      </c>
      <c r="B44" s="6">
        <v>0</v>
      </c>
      <c r="C44" s="44" t="s">
        <v>775</v>
      </c>
      <c r="D44" s="59" t="s">
        <v>223</v>
      </c>
      <c r="E44" t="s">
        <v>223</v>
      </c>
      <c r="F44" s="23" t="s">
        <v>72</v>
      </c>
      <c r="G44" s="59" t="s">
        <v>223</v>
      </c>
      <c r="H44" t="s">
        <v>223</v>
      </c>
      <c r="I44" s="19" t="s">
        <v>1</v>
      </c>
      <c r="J44" s="59" t="s">
        <v>223</v>
      </c>
      <c r="K44" t="s">
        <v>223</v>
      </c>
      <c r="L44" s="19" t="s">
        <v>1</v>
      </c>
      <c r="M44" s="59" t="s">
        <v>223</v>
      </c>
      <c r="N44" t="s">
        <v>223</v>
      </c>
      <c r="O44" s="19" t="s">
        <v>72</v>
      </c>
      <c r="P44" s="59" t="s">
        <v>223</v>
      </c>
      <c r="Q44" s="19" t="s">
        <v>223</v>
      </c>
      <c r="R44" s="24" t="s">
        <v>223</v>
      </c>
      <c r="S44" s="59" t="s">
        <v>223</v>
      </c>
      <c r="T44" t="s">
        <v>223</v>
      </c>
      <c r="U44" t="s">
        <v>223</v>
      </c>
      <c r="V44" s="19" t="s">
        <v>72</v>
      </c>
      <c r="W44" s="23" t="s">
        <v>72</v>
      </c>
      <c r="X44" s="59" t="s">
        <v>223</v>
      </c>
      <c r="Y44" t="s">
        <v>223</v>
      </c>
      <c r="Z44" s="24" t="s">
        <v>223</v>
      </c>
      <c r="AA44" s="59" t="s">
        <v>223</v>
      </c>
      <c r="AB44" t="s">
        <v>223</v>
      </c>
      <c r="AC44" t="s">
        <v>223</v>
      </c>
      <c r="AD44" s="19" t="s">
        <v>72</v>
      </c>
      <c r="AE44" s="23" t="s">
        <v>73</v>
      </c>
      <c r="AF44" s="59" t="s">
        <v>223</v>
      </c>
      <c r="AG44" t="s">
        <v>223</v>
      </c>
      <c r="AH44" s="23" t="s">
        <v>72</v>
      </c>
      <c r="AJ44" s="164" t="str">
        <f t="shared" si="0"/>
        <v>#</v>
      </c>
      <c r="AK44" s="164" t="str">
        <f t="shared" si="1"/>
        <v>#</v>
      </c>
      <c r="AL44" s="164">
        <f t="shared" si="2"/>
        <v>0.7142857142857143</v>
      </c>
      <c r="AM44" s="164">
        <f t="shared" si="4"/>
        <v>0.7142857142857143</v>
      </c>
    </row>
    <row r="45" spans="1:39" ht="15" customHeight="1">
      <c r="A45" s="33" t="s">
        <v>718</v>
      </c>
      <c r="B45" s="27">
        <v>0</v>
      </c>
      <c r="C45" s="57" t="s">
        <v>51</v>
      </c>
      <c r="D45" s="59" t="s">
        <v>223</v>
      </c>
      <c r="E45" t="s">
        <v>223</v>
      </c>
      <c r="F45" s="23" t="s">
        <v>73</v>
      </c>
      <c r="G45" s="59" t="s">
        <v>223</v>
      </c>
      <c r="H45" t="s">
        <v>223</v>
      </c>
      <c r="I45" s="19" t="s">
        <v>1</v>
      </c>
      <c r="J45" s="59" t="s">
        <v>223</v>
      </c>
      <c r="K45" t="s">
        <v>223</v>
      </c>
      <c r="L45" s="19" t="s">
        <v>1</v>
      </c>
      <c r="M45" s="59" t="s">
        <v>223</v>
      </c>
      <c r="N45" t="s">
        <v>223</v>
      </c>
      <c r="O45" s="19" t="s">
        <v>72</v>
      </c>
      <c r="P45" s="59" t="s">
        <v>223</v>
      </c>
      <c r="Q45" t="s">
        <v>223</v>
      </c>
      <c r="R45" s="23" t="s">
        <v>223</v>
      </c>
      <c r="S45" s="59" t="s">
        <v>223</v>
      </c>
      <c r="T45" t="s">
        <v>223</v>
      </c>
      <c r="U45" t="s">
        <v>223</v>
      </c>
      <c r="V45" s="19" t="s">
        <v>72</v>
      </c>
      <c r="W45" s="19" t="s">
        <v>72</v>
      </c>
      <c r="X45" s="59" t="s">
        <v>223</v>
      </c>
      <c r="Y45" t="s">
        <v>223</v>
      </c>
      <c r="Z45" s="23" t="s">
        <v>223</v>
      </c>
      <c r="AA45" s="59" t="s">
        <v>223</v>
      </c>
      <c r="AB45" t="s">
        <v>223</v>
      </c>
      <c r="AC45" t="s">
        <v>223</v>
      </c>
      <c r="AD45" s="19" t="s">
        <v>72</v>
      </c>
      <c r="AE45" s="19" t="s">
        <v>72</v>
      </c>
      <c r="AF45" s="59" t="s">
        <v>223</v>
      </c>
      <c r="AG45" t="s">
        <v>223</v>
      </c>
      <c r="AH45" s="23" t="s">
        <v>72</v>
      </c>
      <c r="AJ45" s="164" t="str">
        <f t="shared" si="0"/>
        <v>#</v>
      </c>
      <c r="AK45" s="164" t="str">
        <f t="shared" si="1"/>
        <v>#</v>
      </c>
      <c r="AL45" s="164">
        <f t="shared" si="2"/>
        <v>0.5714285714285714</v>
      </c>
      <c r="AM45" s="164">
        <f t="shared" si="4"/>
        <v>0.5714285714285714</v>
      </c>
    </row>
    <row r="46" spans="1:39" ht="15">
      <c r="A46" s="44" t="s">
        <v>719</v>
      </c>
      <c r="B46" s="6">
        <v>0</v>
      </c>
      <c r="C46" s="44" t="s">
        <v>759</v>
      </c>
      <c r="D46" s="19" t="s">
        <v>73</v>
      </c>
      <c r="E46" t="s">
        <v>223</v>
      </c>
      <c r="F46" s="23" t="s">
        <v>72</v>
      </c>
      <c r="G46" s="59" t="s">
        <v>1</v>
      </c>
      <c r="H46" s="19" t="s">
        <v>223</v>
      </c>
      <c r="I46" s="19" t="s">
        <v>1</v>
      </c>
      <c r="J46" s="59" t="s">
        <v>1</v>
      </c>
      <c r="K46" s="19" t="s">
        <v>223</v>
      </c>
      <c r="L46" s="19" t="s">
        <v>1</v>
      </c>
      <c r="M46" s="59" t="s">
        <v>72</v>
      </c>
      <c r="N46" t="s">
        <v>223</v>
      </c>
      <c r="O46" s="19" t="s">
        <v>72</v>
      </c>
      <c r="P46" s="59" t="s">
        <v>72</v>
      </c>
      <c r="Q46" s="19" t="s">
        <v>223</v>
      </c>
      <c r="R46" s="23" t="s">
        <v>223</v>
      </c>
      <c r="S46" s="19" t="s">
        <v>72</v>
      </c>
      <c r="T46" s="19" t="s">
        <v>223</v>
      </c>
      <c r="U46" s="19" t="s">
        <v>223</v>
      </c>
      <c r="V46" s="19" t="s">
        <v>72</v>
      </c>
      <c r="W46" s="23" t="s">
        <v>72</v>
      </c>
      <c r="X46" s="19" t="s">
        <v>73</v>
      </c>
      <c r="Y46" s="19" t="s">
        <v>223</v>
      </c>
      <c r="Z46" s="23" t="s">
        <v>223</v>
      </c>
      <c r="AA46" s="19" t="s">
        <v>1</v>
      </c>
      <c r="AB46" s="19" t="s">
        <v>223</v>
      </c>
      <c r="AC46" s="19" t="s">
        <v>223</v>
      </c>
      <c r="AD46" s="19" t="s">
        <v>1</v>
      </c>
      <c r="AE46" s="23" t="s">
        <v>1</v>
      </c>
      <c r="AF46" s="19" t="s">
        <v>72</v>
      </c>
      <c r="AG46" s="19" t="s">
        <v>223</v>
      </c>
      <c r="AH46" s="23" t="s">
        <v>72</v>
      </c>
      <c r="AJ46" s="164">
        <f t="shared" si="0"/>
        <v>0.44444444444444442</v>
      </c>
      <c r="AK46" s="164" t="str">
        <f t="shared" si="1"/>
        <v>#</v>
      </c>
      <c r="AL46" s="164">
        <f t="shared" si="2"/>
        <v>0.5714285714285714</v>
      </c>
      <c r="AM46" s="164">
        <f t="shared" si="4"/>
        <v>0.50793650793650791</v>
      </c>
    </row>
    <row r="47" spans="1:39" ht="15">
      <c r="A47" s="44" t="s">
        <v>720</v>
      </c>
      <c r="B47" s="6">
        <v>0</v>
      </c>
      <c r="C47" s="44" t="s">
        <v>760</v>
      </c>
      <c r="D47" s="59" t="s">
        <v>72</v>
      </c>
      <c r="E47" t="s">
        <v>223</v>
      </c>
      <c r="F47" s="23" t="s">
        <v>72</v>
      </c>
      <c r="G47" s="59" t="s">
        <v>1</v>
      </c>
      <c r="H47" t="s">
        <v>223</v>
      </c>
      <c r="I47" s="19" t="s">
        <v>1</v>
      </c>
      <c r="J47" s="59" t="s">
        <v>1</v>
      </c>
      <c r="K47" t="s">
        <v>223</v>
      </c>
      <c r="L47" s="19" t="s">
        <v>1</v>
      </c>
      <c r="M47" s="59" t="s">
        <v>72</v>
      </c>
      <c r="N47" t="s">
        <v>223</v>
      </c>
      <c r="O47" s="19" t="s">
        <v>72</v>
      </c>
      <c r="P47" s="59" t="s">
        <v>72</v>
      </c>
      <c r="Q47" s="19" t="s">
        <v>223</v>
      </c>
      <c r="R47" s="23" t="s">
        <v>223</v>
      </c>
      <c r="S47" s="59" t="s">
        <v>1</v>
      </c>
      <c r="T47" t="s">
        <v>223</v>
      </c>
      <c r="U47" t="s">
        <v>223</v>
      </c>
      <c r="V47" s="19" t="s">
        <v>223</v>
      </c>
      <c r="W47" s="19" t="s">
        <v>72</v>
      </c>
      <c r="X47" s="59" t="s">
        <v>73</v>
      </c>
      <c r="Y47" t="s">
        <v>223</v>
      </c>
      <c r="Z47" s="23" t="s">
        <v>223</v>
      </c>
      <c r="AA47" s="59" t="s">
        <v>73</v>
      </c>
      <c r="AB47" t="s">
        <v>223</v>
      </c>
      <c r="AC47" t="s">
        <v>223</v>
      </c>
      <c r="AD47" s="19" t="s">
        <v>223</v>
      </c>
      <c r="AE47" s="23" t="s">
        <v>73</v>
      </c>
      <c r="AF47" s="19" t="s">
        <v>72</v>
      </c>
      <c r="AG47" t="s">
        <v>223</v>
      </c>
      <c r="AH47" s="23" t="s">
        <v>72</v>
      </c>
      <c r="AJ47" s="164">
        <f t="shared" si="0"/>
        <v>0.44444444444444442</v>
      </c>
      <c r="AK47" s="164" t="str">
        <f t="shared" si="1"/>
        <v>#</v>
      </c>
      <c r="AL47" s="164">
        <f t="shared" si="2"/>
        <v>0.5714285714285714</v>
      </c>
      <c r="AM47" s="164">
        <f t="shared" si="4"/>
        <v>0.50793650793650791</v>
      </c>
    </row>
    <row r="48" spans="1:39" ht="15">
      <c r="A48" s="44" t="s">
        <v>721</v>
      </c>
      <c r="B48" s="6">
        <v>0</v>
      </c>
      <c r="C48" s="44" t="s">
        <v>761</v>
      </c>
      <c r="D48" s="59" t="s">
        <v>223</v>
      </c>
      <c r="E48" s="19" t="s">
        <v>72</v>
      </c>
      <c r="F48" s="24" t="s">
        <v>223</v>
      </c>
      <c r="G48" s="59" t="s">
        <v>223</v>
      </c>
      <c r="H48" s="19" t="s">
        <v>1</v>
      </c>
      <c r="I48" s="24" t="s">
        <v>223</v>
      </c>
      <c r="J48" s="59" t="s">
        <v>223</v>
      </c>
      <c r="K48" s="19" t="s">
        <v>1</v>
      </c>
      <c r="L48" s="24" t="s">
        <v>223</v>
      </c>
      <c r="M48" s="59" t="s">
        <v>223</v>
      </c>
      <c r="N48" s="19" t="s">
        <v>72</v>
      </c>
      <c r="O48" s="24" t="s">
        <v>223</v>
      </c>
      <c r="P48" s="59" t="s">
        <v>223</v>
      </c>
      <c r="Q48" s="19" t="s">
        <v>223</v>
      </c>
      <c r="R48" s="24" t="s">
        <v>223</v>
      </c>
      <c r="S48" s="59" t="s">
        <v>223</v>
      </c>
      <c r="T48" t="s">
        <v>223</v>
      </c>
      <c r="U48" s="19" t="s">
        <v>72</v>
      </c>
      <c r="V48" s="19" t="s">
        <v>223</v>
      </c>
      <c r="W48" s="24" t="s">
        <v>223</v>
      </c>
      <c r="X48" s="59" t="s">
        <v>223</v>
      </c>
      <c r="Y48" s="19" t="s">
        <v>72</v>
      </c>
      <c r="Z48" s="24" t="s">
        <v>223</v>
      </c>
      <c r="AA48" s="59" t="s">
        <v>223</v>
      </c>
      <c r="AB48" s="19" t="s">
        <v>72</v>
      </c>
      <c r="AC48" s="19" t="s">
        <v>72</v>
      </c>
      <c r="AD48" s="19" t="s">
        <v>223</v>
      </c>
      <c r="AE48" s="24" t="s">
        <v>223</v>
      </c>
      <c r="AF48" s="59" t="s">
        <v>223</v>
      </c>
      <c r="AG48" s="19" t="s">
        <v>72</v>
      </c>
      <c r="AH48" s="24" t="s">
        <v>223</v>
      </c>
      <c r="AJ48" s="164" t="str">
        <f t="shared" si="0"/>
        <v>#</v>
      </c>
      <c r="AK48" s="164">
        <f t="shared" si="1"/>
        <v>0.75</v>
      </c>
      <c r="AL48" s="164" t="str">
        <f t="shared" si="2"/>
        <v>#</v>
      </c>
      <c r="AM48" s="164">
        <f t="shared" si="4"/>
        <v>0.75</v>
      </c>
    </row>
    <row r="49" spans="1:41" ht="15">
      <c r="A49" s="44" t="s">
        <v>723</v>
      </c>
      <c r="B49" s="6">
        <v>0</v>
      </c>
      <c r="C49" s="44" t="s">
        <v>769</v>
      </c>
      <c r="D49" s="59" t="s">
        <v>223</v>
      </c>
      <c r="E49" t="s">
        <v>223</v>
      </c>
      <c r="F49" s="23" t="s">
        <v>72</v>
      </c>
      <c r="G49" s="59" t="s">
        <v>223</v>
      </c>
      <c r="H49" t="s">
        <v>223</v>
      </c>
      <c r="I49" s="19" t="s">
        <v>1</v>
      </c>
      <c r="J49" s="59" t="s">
        <v>223</v>
      </c>
      <c r="K49" t="s">
        <v>223</v>
      </c>
      <c r="L49" s="19" t="s">
        <v>1</v>
      </c>
      <c r="M49" s="59" t="s">
        <v>223</v>
      </c>
      <c r="N49" t="s">
        <v>223</v>
      </c>
      <c r="O49" s="19" t="s">
        <v>72</v>
      </c>
      <c r="P49" s="59" t="s">
        <v>223</v>
      </c>
      <c r="Q49" s="19" t="s">
        <v>223</v>
      </c>
      <c r="R49" s="23" t="s">
        <v>223</v>
      </c>
      <c r="S49" s="59" t="s">
        <v>223</v>
      </c>
      <c r="T49" t="s">
        <v>223</v>
      </c>
      <c r="U49" t="s">
        <v>223</v>
      </c>
      <c r="V49" s="19" t="s">
        <v>223</v>
      </c>
      <c r="W49" s="23" t="s">
        <v>72</v>
      </c>
      <c r="X49" s="59" t="s">
        <v>223</v>
      </c>
      <c r="Y49" t="s">
        <v>223</v>
      </c>
      <c r="Z49" s="23" t="s">
        <v>223</v>
      </c>
      <c r="AA49" s="59" t="s">
        <v>223</v>
      </c>
      <c r="AB49" t="s">
        <v>223</v>
      </c>
      <c r="AC49" t="s">
        <v>223</v>
      </c>
      <c r="AD49" s="19" t="s">
        <v>223</v>
      </c>
      <c r="AE49" s="23" t="s">
        <v>72</v>
      </c>
      <c r="AF49" s="59" t="s">
        <v>223</v>
      </c>
      <c r="AG49" t="s">
        <v>223</v>
      </c>
      <c r="AH49" s="23" t="s">
        <v>72</v>
      </c>
      <c r="AJ49" s="164" t="str">
        <f t="shared" si="0"/>
        <v>#</v>
      </c>
      <c r="AK49" s="164" t="str">
        <f t="shared" si="1"/>
        <v>#</v>
      </c>
      <c r="AL49" s="164">
        <f t="shared" si="2"/>
        <v>0.7142857142857143</v>
      </c>
      <c r="AM49" s="164">
        <f t="shared" si="4"/>
        <v>0.7142857142857143</v>
      </c>
    </row>
    <row r="50" spans="1:41" ht="15">
      <c r="A50" s="5" t="s">
        <v>724</v>
      </c>
      <c r="B50" s="6">
        <v>0</v>
      </c>
      <c r="C50" s="12" t="s">
        <v>763</v>
      </c>
      <c r="D50" s="59" t="s">
        <v>72</v>
      </c>
      <c r="E50" t="s">
        <v>223</v>
      </c>
      <c r="F50" s="23" t="s">
        <v>72</v>
      </c>
      <c r="G50" s="59" t="s">
        <v>1</v>
      </c>
      <c r="H50" t="s">
        <v>223</v>
      </c>
      <c r="I50" s="19" t="s">
        <v>1</v>
      </c>
      <c r="J50" s="59" t="s">
        <v>1</v>
      </c>
      <c r="K50" t="s">
        <v>223</v>
      </c>
      <c r="L50" s="19" t="s">
        <v>1</v>
      </c>
      <c r="M50" s="59" t="s">
        <v>72</v>
      </c>
      <c r="N50" t="s">
        <v>223</v>
      </c>
      <c r="O50" s="19" t="s">
        <v>72</v>
      </c>
      <c r="P50" s="59" t="s">
        <v>73</v>
      </c>
      <c r="Q50" t="s">
        <v>223</v>
      </c>
      <c r="R50" s="23" t="s">
        <v>223</v>
      </c>
      <c r="S50" s="59" t="s">
        <v>72</v>
      </c>
      <c r="T50" t="s">
        <v>223</v>
      </c>
      <c r="U50" t="s">
        <v>223</v>
      </c>
      <c r="V50" s="19" t="s">
        <v>72</v>
      </c>
      <c r="W50" s="19" t="s">
        <v>72</v>
      </c>
      <c r="X50" s="59" t="s">
        <v>1</v>
      </c>
      <c r="Y50" t="s">
        <v>223</v>
      </c>
      <c r="Z50" s="23" t="s">
        <v>223</v>
      </c>
      <c r="AA50" s="59" t="s">
        <v>73</v>
      </c>
      <c r="AB50" t="s">
        <v>223</v>
      </c>
      <c r="AC50" t="s">
        <v>223</v>
      </c>
      <c r="AD50" s="19" t="s">
        <v>72</v>
      </c>
      <c r="AE50" s="19" t="s">
        <v>73</v>
      </c>
      <c r="AF50" s="59" t="s">
        <v>72</v>
      </c>
      <c r="AG50" t="s">
        <v>223</v>
      </c>
      <c r="AH50" s="23" t="s">
        <v>72</v>
      </c>
      <c r="AJ50" s="164">
        <f t="shared" si="0"/>
        <v>0.44444444444444442</v>
      </c>
      <c r="AK50" s="164" t="str">
        <f t="shared" si="1"/>
        <v>#</v>
      </c>
      <c r="AL50" s="164">
        <f t="shared" si="2"/>
        <v>0.7142857142857143</v>
      </c>
      <c r="AM50" s="164">
        <f t="shared" si="4"/>
        <v>0.57936507936507931</v>
      </c>
    </row>
    <row r="51" spans="1:41" ht="15">
      <c r="A51" s="13" t="s">
        <v>725</v>
      </c>
      <c r="B51" s="14">
        <v>1</v>
      </c>
      <c r="C51" s="21" t="s">
        <v>776</v>
      </c>
      <c r="D51" s="59" t="s">
        <v>72</v>
      </c>
      <c r="E51" s="19" t="s">
        <v>72</v>
      </c>
      <c r="F51" s="23" t="s">
        <v>72</v>
      </c>
      <c r="G51" s="59" t="s">
        <v>1</v>
      </c>
      <c r="H51" s="19" t="s">
        <v>1</v>
      </c>
      <c r="I51" s="19" t="s">
        <v>1</v>
      </c>
      <c r="J51" s="59" t="s">
        <v>1</v>
      </c>
      <c r="K51" s="19" t="s">
        <v>1</v>
      </c>
      <c r="L51" s="19" t="s">
        <v>1</v>
      </c>
      <c r="M51" s="59" t="s">
        <v>72</v>
      </c>
      <c r="N51" s="19" t="s">
        <v>72</v>
      </c>
      <c r="O51" s="19" t="s">
        <v>72</v>
      </c>
      <c r="P51" s="59" t="s">
        <v>73</v>
      </c>
      <c r="Q51" s="19" t="s">
        <v>223</v>
      </c>
      <c r="R51" s="23" t="s">
        <v>223</v>
      </c>
      <c r="S51" s="59" t="s">
        <v>72</v>
      </c>
      <c r="T51" s="19" t="s">
        <v>72</v>
      </c>
      <c r="U51" s="19" t="s">
        <v>72</v>
      </c>
      <c r="V51" s="19" t="s">
        <v>223</v>
      </c>
      <c r="W51" s="23" t="s">
        <v>72</v>
      </c>
      <c r="X51" s="59" t="s">
        <v>72</v>
      </c>
      <c r="Y51" s="19" t="s">
        <v>72</v>
      </c>
      <c r="Z51" s="23" t="s">
        <v>223</v>
      </c>
      <c r="AA51" s="59" t="s">
        <v>73</v>
      </c>
      <c r="AB51" s="19" t="s">
        <v>72</v>
      </c>
      <c r="AC51" s="19" t="s">
        <v>72</v>
      </c>
      <c r="AD51" s="19" t="s">
        <v>223</v>
      </c>
      <c r="AE51" s="19" t="s">
        <v>73</v>
      </c>
      <c r="AF51" s="59" t="s">
        <v>72</v>
      </c>
      <c r="AG51" s="19" t="s">
        <v>72</v>
      </c>
      <c r="AH51" s="23" t="s">
        <v>72</v>
      </c>
      <c r="AJ51" s="164">
        <f t="shared" si="0"/>
        <v>0.55555555555555558</v>
      </c>
      <c r="AK51" s="164">
        <f t="shared" si="1"/>
        <v>0.75</v>
      </c>
      <c r="AL51" s="164">
        <f t="shared" si="2"/>
        <v>0.5714285714285714</v>
      </c>
      <c r="AM51" s="164">
        <f t="shared" si="4"/>
        <v>0.6256613756613757</v>
      </c>
    </row>
    <row r="52" spans="1:41" ht="15">
      <c r="A52" s="13" t="s">
        <v>725</v>
      </c>
      <c r="B52" s="14">
        <v>2</v>
      </c>
      <c r="C52" s="21" t="s">
        <v>776</v>
      </c>
      <c r="D52" s="59" t="s">
        <v>72</v>
      </c>
      <c r="E52" s="19" t="s">
        <v>72</v>
      </c>
      <c r="F52" s="23" t="s">
        <v>72</v>
      </c>
      <c r="G52" s="59" t="s">
        <v>1</v>
      </c>
      <c r="H52" s="19" t="s">
        <v>1</v>
      </c>
      <c r="I52" s="19" t="s">
        <v>1</v>
      </c>
      <c r="J52" s="59" t="s">
        <v>1</v>
      </c>
      <c r="K52" s="19" t="s">
        <v>1</v>
      </c>
      <c r="L52" s="19" t="s">
        <v>1</v>
      </c>
      <c r="M52" s="59" t="s">
        <v>72</v>
      </c>
      <c r="N52" s="19" t="s">
        <v>72</v>
      </c>
      <c r="O52" s="19" t="s">
        <v>72</v>
      </c>
      <c r="P52" s="59" t="s">
        <v>73</v>
      </c>
      <c r="Q52" s="19" t="s">
        <v>223</v>
      </c>
      <c r="R52" s="23" t="s">
        <v>223</v>
      </c>
      <c r="S52" s="59" t="s">
        <v>72</v>
      </c>
      <c r="T52" s="19" t="s">
        <v>72</v>
      </c>
      <c r="U52" s="19" t="s">
        <v>72</v>
      </c>
      <c r="V52" s="19" t="s">
        <v>223</v>
      </c>
      <c r="W52" s="23" t="s">
        <v>72</v>
      </c>
      <c r="X52" s="59" t="s">
        <v>72</v>
      </c>
      <c r="Y52" s="19" t="s">
        <v>72</v>
      </c>
      <c r="Z52" s="23" t="s">
        <v>223</v>
      </c>
      <c r="AA52" s="59" t="s">
        <v>73</v>
      </c>
      <c r="AB52" s="19" t="s">
        <v>72</v>
      </c>
      <c r="AC52" s="19" t="s">
        <v>72</v>
      </c>
      <c r="AD52" s="19" t="s">
        <v>223</v>
      </c>
      <c r="AE52" s="19" t="s">
        <v>73</v>
      </c>
      <c r="AF52" s="59" t="s">
        <v>72</v>
      </c>
      <c r="AG52" s="19" t="s">
        <v>72</v>
      </c>
      <c r="AH52" s="23" t="s">
        <v>72</v>
      </c>
      <c r="AJ52" s="164">
        <f t="shared" si="0"/>
        <v>0.55555555555555558</v>
      </c>
      <c r="AK52" s="164">
        <f t="shared" si="1"/>
        <v>0.75</v>
      </c>
      <c r="AL52" s="164">
        <f t="shared" si="2"/>
        <v>0.5714285714285714</v>
      </c>
      <c r="AM52" s="164">
        <f t="shared" si="4"/>
        <v>0.6256613756613757</v>
      </c>
    </row>
    <row r="53" spans="1:41" ht="15">
      <c r="A53" s="33" t="s">
        <v>726</v>
      </c>
      <c r="B53" s="27">
        <v>0</v>
      </c>
      <c r="C53" s="57" t="s">
        <v>54</v>
      </c>
      <c r="D53" s="59" t="s">
        <v>72</v>
      </c>
      <c r="E53" t="s">
        <v>223</v>
      </c>
      <c r="F53" s="23" t="s">
        <v>72</v>
      </c>
      <c r="G53" s="59" t="s">
        <v>1</v>
      </c>
      <c r="H53" t="s">
        <v>223</v>
      </c>
      <c r="I53" s="19" t="s">
        <v>1</v>
      </c>
      <c r="J53" s="59" t="s">
        <v>1</v>
      </c>
      <c r="K53" t="s">
        <v>223</v>
      </c>
      <c r="L53" s="19" t="s">
        <v>1</v>
      </c>
      <c r="M53" s="59" t="s">
        <v>72</v>
      </c>
      <c r="N53" t="s">
        <v>223</v>
      </c>
      <c r="O53" s="19" t="s">
        <v>72</v>
      </c>
      <c r="P53" s="59" t="s">
        <v>72</v>
      </c>
      <c r="Q53" s="19" t="s">
        <v>223</v>
      </c>
      <c r="R53" s="23" t="s">
        <v>223</v>
      </c>
      <c r="S53" s="59" t="s">
        <v>72</v>
      </c>
      <c r="T53" t="s">
        <v>223</v>
      </c>
      <c r="U53" t="s">
        <v>223</v>
      </c>
      <c r="V53" t="s">
        <v>223</v>
      </c>
      <c r="W53" s="19" t="s">
        <v>72</v>
      </c>
      <c r="X53" s="59" t="s">
        <v>73</v>
      </c>
      <c r="Y53" t="s">
        <v>223</v>
      </c>
      <c r="Z53" s="23" t="s">
        <v>223</v>
      </c>
      <c r="AA53" s="59" t="s">
        <v>72</v>
      </c>
      <c r="AB53" t="s">
        <v>223</v>
      </c>
      <c r="AC53" t="s">
        <v>223</v>
      </c>
      <c r="AD53" t="s">
        <v>223</v>
      </c>
      <c r="AE53" s="19" t="s">
        <v>72</v>
      </c>
      <c r="AF53" s="59" t="s">
        <v>72</v>
      </c>
      <c r="AG53" t="s">
        <v>223</v>
      </c>
      <c r="AH53" s="23" t="s">
        <v>72</v>
      </c>
      <c r="AJ53" s="164">
        <f t="shared" si="0"/>
        <v>0.66666666666666663</v>
      </c>
      <c r="AK53" s="164" t="str">
        <f t="shared" si="1"/>
        <v>#</v>
      </c>
      <c r="AL53" s="164">
        <f t="shared" si="2"/>
        <v>0.7142857142857143</v>
      </c>
      <c r="AM53" s="164">
        <f t="shared" si="4"/>
        <v>0.69047619047619047</v>
      </c>
      <c r="AO53" s="19"/>
    </row>
    <row r="54" spans="1:41" ht="15">
      <c r="A54" s="5" t="s">
        <v>727</v>
      </c>
      <c r="B54" s="6">
        <v>0</v>
      </c>
      <c r="C54" s="44" t="s">
        <v>779</v>
      </c>
      <c r="D54" s="59" t="s">
        <v>72</v>
      </c>
      <c r="E54" t="s">
        <v>223</v>
      </c>
      <c r="F54" s="23" t="s">
        <v>73</v>
      </c>
      <c r="G54" s="59" t="s">
        <v>1</v>
      </c>
      <c r="H54" t="s">
        <v>223</v>
      </c>
      <c r="I54" s="19" t="s">
        <v>1</v>
      </c>
      <c r="J54" s="59" t="s">
        <v>1</v>
      </c>
      <c r="K54" t="s">
        <v>223</v>
      </c>
      <c r="L54" s="19" t="s">
        <v>1</v>
      </c>
      <c r="M54" s="59" t="s">
        <v>72</v>
      </c>
      <c r="N54" t="s">
        <v>223</v>
      </c>
      <c r="O54" s="19" t="s">
        <v>72</v>
      </c>
      <c r="P54" s="59" t="s">
        <v>72</v>
      </c>
      <c r="Q54" s="19" t="s">
        <v>223</v>
      </c>
      <c r="R54" s="23" t="s">
        <v>223</v>
      </c>
      <c r="S54" s="59" t="s">
        <v>72</v>
      </c>
      <c r="T54" t="s">
        <v>223</v>
      </c>
      <c r="U54" t="s">
        <v>223</v>
      </c>
      <c r="V54" s="19" t="s">
        <v>72</v>
      </c>
      <c r="W54" s="23" t="s">
        <v>72</v>
      </c>
      <c r="X54" s="59" t="s">
        <v>73</v>
      </c>
      <c r="Y54" t="s">
        <v>223</v>
      </c>
      <c r="Z54" s="23" t="s">
        <v>223</v>
      </c>
      <c r="AA54" s="59" t="s">
        <v>72</v>
      </c>
      <c r="AB54" t="s">
        <v>223</v>
      </c>
      <c r="AC54" t="s">
        <v>223</v>
      </c>
      <c r="AD54" s="19" t="s">
        <v>72</v>
      </c>
      <c r="AE54" s="23" t="s">
        <v>72</v>
      </c>
      <c r="AF54" s="19" t="s">
        <v>72</v>
      </c>
      <c r="AG54" t="s">
        <v>223</v>
      </c>
      <c r="AH54" s="23" t="s">
        <v>72</v>
      </c>
      <c r="AJ54" s="164">
        <f t="shared" si="0"/>
        <v>0.66666666666666663</v>
      </c>
      <c r="AK54" s="164" t="str">
        <f t="shared" si="1"/>
        <v>#</v>
      </c>
      <c r="AL54" s="164">
        <f t="shared" si="2"/>
        <v>0.5714285714285714</v>
      </c>
      <c r="AM54" s="164">
        <f t="shared" si="4"/>
        <v>0.61904761904761907</v>
      </c>
    </row>
    <row r="55" spans="1:41" ht="15">
      <c r="A55" s="44" t="s">
        <v>728</v>
      </c>
      <c r="B55" s="6">
        <v>0</v>
      </c>
      <c r="C55" s="44" t="s">
        <v>764</v>
      </c>
      <c r="D55" s="59" t="s">
        <v>72</v>
      </c>
      <c r="E55" s="19" t="s">
        <v>72</v>
      </c>
      <c r="F55" s="23" t="s">
        <v>73</v>
      </c>
      <c r="G55" s="59" t="s">
        <v>1</v>
      </c>
      <c r="H55" s="19" t="s">
        <v>1</v>
      </c>
      <c r="I55" s="19" t="s">
        <v>1</v>
      </c>
      <c r="J55" s="59" t="s">
        <v>1</v>
      </c>
      <c r="K55" s="19" t="s">
        <v>1</v>
      </c>
      <c r="L55" s="19" t="s">
        <v>1</v>
      </c>
      <c r="M55" s="59" t="s">
        <v>72</v>
      </c>
      <c r="N55" s="19" t="s">
        <v>72</v>
      </c>
      <c r="O55" s="23" t="s">
        <v>72</v>
      </c>
      <c r="P55" s="19" t="s">
        <v>73</v>
      </c>
      <c r="Q55" s="19" t="s">
        <v>223</v>
      </c>
      <c r="R55" s="23" t="s">
        <v>223</v>
      </c>
      <c r="S55" s="59" t="s">
        <v>72</v>
      </c>
      <c r="T55" s="19" t="s">
        <v>72</v>
      </c>
      <c r="U55" t="s">
        <v>223</v>
      </c>
      <c r="V55" s="19" t="s">
        <v>72</v>
      </c>
      <c r="W55" s="23" t="s">
        <v>223</v>
      </c>
      <c r="X55" s="19" t="s">
        <v>72</v>
      </c>
      <c r="Y55" s="19" t="s">
        <v>72</v>
      </c>
      <c r="Z55" s="23" t="s">
        <v>223</v>
      </c>
      <c r="AA55" s="19" t="s">
        <v>1</v>
      </c>
      <c r="AB55" s="19" t="s">
        <v>72</v>
      </c>
      <c r="AC55" s="19" t="s">
        <v>72</v>
      </c>
      <c r="AD55" s="19" t="s">
        <v>1</v>
      </c>
      <c r="AE55" s="23" t="s">
        <v>223</v>
      </c>
      <c r="AF55" s="19" t="s">
        <v>72</v>
      </c>
      <c r="AG55" s="19" t="s">
        <v>72</v>
      </c>
      <c r="AH55" s="23" t="s">
        <v>72</v>
      </c>
      <c r="AJ55" s="164">
        <f t="shared" si="0"/>
        <v>0.55555555555555558</v>
      </c>
      <c r="AK55" s="164">
        <f t="shared" si="1"/>
        <v>0.75</v>
      </c>
      <c r="AL55" s="164">
        <f t="shared" si="2"/>
        <v>0.42857142857142855</v>
      </c>
      <c r="AM55" s="164">
        <f t="shared" si="4"/>
        <v>0.57804232804232802</v>
      </c>
    </row>
    <row r="56" spans="1:41" ht="15">
      <c r="A56" s="13" t="s">
        <v>729</v>
      </c>
      <c r="B56" s="14">
        <v>0</v>
      </c>
      <c r="C56" s="21" t="s">
        <v>777</v>
      </c>
      <c r="D56" s="59" t="s">
        <v>72</v>
      </c>
      <c r="E56" t="s">
        <v>223</v>
      </c>
      <c r="F56" s="23" t="s">
        <v>72</v>
      </c>
      <c r="G56" s="59" t="s">
        <v>1</v>
      </c>
      <c r="H56" t="s">
        <v>223</v>
      </c>
      <c r="I56" s="19" t="s">
        <v>1</v>
      </c>
      <c r="J56" s="59" t="s">
        <v>1</v>
      </c>
      <c r="K56" t="s">
        <v>223</v>
      </c>
      <c r="L56" s="19" t="s">
        <v>1</v>
      </c>
      <c r="M56" s="59" t="s">
        <v>72</v>
      </c>
      <c r="N56" t="s">
        <v>223</v>
      </c>
      <c r="O56" s="19" t="s">
        <v>72</v>
      </c>
      <c r="P56" s="59" t="s">
        <v>72</v>
      </c>
      <c r="Q56" s="19" t="s">
        <v>223</v>
      </c>
      <c r="R56" s="23" t="s">
        <v>223</v>
      </c>
      <c r="S56" s="59" t="s">
        <v>72</v>
      </c>
      <c r="T56" t="s">
        <v>223</v>
      </c>
      <c r="U56" t="s">
        <v>223</v>
      </c>
      <c r="V56" s="19" t="s">
        <v>72</v>
      </c>
      <c r="W56" s="23" t="s">
        <v>72</v>
      </c>
      <c r="X56" s="59" t="s">
        <v>73</v>
      </c>
      <c r="Y56" t="s">
        <v>223</v>
      </c>
      <c r="Z56" s="23" t="s">
        <v>223</v>
      </c>
      <c r="AA56" s="59" t="s">
        <v>73</v>
      </c>
      <c r="AB56" t="s">
        <v>223</v>
      </c>
      <c r="AC56" t="s">
        <v>223</v>
      </c>
      <c r="AD56" s="19" t="s">
        <v>1</v>
      </c>
      <c r="AE56" s="19" t="s">
        <v>1</v>
      </c>
      <c r="AF56" s="59" t="s">
        <v>72</v>
      </c>
      <c r="AG56" t="s">
        <v>223</v>
      </c>
      <c r="AH56" s="23" t="s">
        <v>72</v>
      </c>
      <c r="AJ56" s="164">
        <f t="shared" si="0"/>
        <v>0.55555555555555558</v>
      </c>
      <c r="AK56" s="164" t="str">
        <f t="shared" si="1"/>
        <v>#</v>
      </c>
      <c r="AL56" s="164">
        <f t="shared" si="2"/>
        <v>0.5714285714285714</v>
      </c>
      <c r="AM56" s="164">
        <f t="shared" si="4"/>
        <v>0.56349206349206349</v>
      </c>
    </row>
    <row r="57" spans="1:41" ht="15">
      <c r="A57" s="44" t="s">
        <v>730</v>
      </c>
      <c r="B57" s="6">
        <v>0</v>
      </c>
      <c r="C57" s="44" t="s">
        <v>575</v>
      </c>
      <c r="D57" s="59" t="s">
        <v>72</v>
      </c>
      <c r="E57" t="s">
        <v>223</v>
      </c>
      <c r="F57" s="23" t="s">
        <v>72</v>
      </c>
      <c r="G57" s="59" t="s">
        <v>1</v>
      </c>
      <c r="H57" t="s">
        <v>223</v>
      </c>
      <c r="I57" s="19" t="s">
        <v>1</v>
      </c>
      <c r="J57" s="59" t="s">
        <v>1</v>
      </c>
      <c r="K57" t="s">
        <v>223</v>
      </c>
      <c r="L57" s="19" t="s">
        <v>1</v>
      </c>
      <c r="M57" s="59" t="s">
        <v>72</v>
      </c>
      <c r="N57" t="s">
        <v>223</v>
      </c>
      <c r="O57" s="19" t="s">
        <v>72</v>
      </c>
      <c r="P57" s="59" t="s">
        <v>72</v>
      </c>
      <c r="Q57" s="19" t="s">
        <v>223</v>
      </c>
      <c r="R57" s="23" t="s">
        <v>223</v>
      </c>
      <c r="S57" s="59" t="s">
        <v>72</v>
      </c>
      <c r="T57" t="s">
        <v>223</v>
      </c>
      <c r="U57" t="s">
        <v>223</v>
      </c>
      <c r="V57" s="19" t="s">
        <v>72</v>
      </c>
      <c r="W57" s="23" t="s">
        <v>72</v>
      </c>
      <c r="X57" s="19" t="s">
        <v>73</v>
      </c>
      <c r="Y57" t="s">
        <v>223</v>
      </c>
      <c r="Z57" s="23" t="s">
        <v>223</v>
      </c>
      <c r="AA57" s="19" t="s">
        <v>1</v>
      </c>
      <c r="AB57" t="s">
        <v>223</v>
      </c>
      <c r="AC57" t="s">
        <v>223</v>
      </c>
      <c r="AD57" s="19" t="s">
        <v>1</v>
      </c>
      <c r="AE57" s="23" t="s">
        <v>1</v>
      </c>
      <c r="AF57" s="19" t="s">
        <v>72</v>
      </c>
      <c r="AG57" t="s">
        <v>223</v>
      </c>
      <c r="AH57" s="23" t="s">
        <v>72</v>
      </c>
      <c r="AJ57" s="164">
        <f t="shared" si="0"/>
        <v>0.55555555555555558</v>
      </c>
      <c r="AK57" s="164" t="str">
        <f t="shared" si="1"/>
        <v>#</v>
      </c>
      <c r="AL57" s="164">
        <f t="shared" si="2"/>
        <v>0.5714285714285714</v>
      </c>
      <c r="AM57" s="164">
        <f t="shared" si="4"/>
        <v>0.56349206349206349</v>
      </c>
    </row>
    <row r="58" spans="1:41" ht="15">
      <c r="A58" s="13" t="s">
        <v>731</v>
      </c>
      <c r="B58" s="14">
        <v>1</v>
      </c>
      <c r="C58" s="21" t="s">
        <v>765</v>
      </c>
      <c r="D58" s="59" t="s">
        <v>72</v>
      </c>
      <c r="E58" t="s">
        <v>223</v>
      </c>
      <c r="F58" s="24" t="s">
        <v>223</v>
      </c>
      <c r="G58" s="59" t="s">
        <v>1</v>
      </c>
      <c r="H58" t="s">
        <v>223</v>
      </c>
      <c r="I58" s="24" t="s">
        <v>223</v>
      </c>
      <c r="J58" s="59" t="s">
        <v>1</v>
      </c>
      <c r="K58" t="s">
        <v>223</v>
      </c>
      <c r="L58" s="24" t="s">
        <v>223</v>
      </c>
      <c r="M58" s="59" t="s">
        <v>72</v>
      </c>
      <c r="N58" t="s">
        <v>223</v>
      </c>
      <c r="O58" s="24" t="s">
        <v>223</v>
      </c>
      <c r="P58" s="59" t="s">
        <v>1</v>
      </c>
      <c r="Q58" t="s">
        <v>223</v>
      </c>
      <c r="R58" s="24" t="s">
        <v>223</v>
      </c>
      <c r="S58" s="59" t="s">
        <v>1</v>
      </c>
      <c r="T58" t="s">
        <v>223</v>
      </c>
      <c r="U58" t="s">
        <v>223</v>
      </c>
      <c r="V58" t="s">
        <v>223</v>
      </c>
      <c r="W58" t="s">
        <v>223</v>
      </c>
      <c r="X58" s="58" t="s">
        <v>73</v>
      </c>
      <c r="Y58" t="s">
        <v>223</v>
      </c>
      <c r="Z58" s="24" t="s">
        <v>223</v>
      </c>
      <c r="AA58" s="58" t="s">
        <v>73</v>
      </c>
      <c r="AB58" t="s">
        <v>223</v>
      </c>
      <c r="AC58" t="s">
        <v>223</v>
      </c>
      <c r="AD58" t="s">
        <v>223</v>
      </c>
      <c r="AE58" t="s">
        <v>223</v>
      </c>
      <c r="AF58" s="59" t="s">
        <v>72</v>
      </c>
      <c r="AG58" t="s">
        <v>223</v>
      </c>
      <c r="AH58" s="24" t="s">
        <v>223</v>
      </c>
      <c r="AJ58" s="164">
        <f t="shared" si="0"/>
        <v>0.33333333333333331</v>
      </c>
      <c r="AK58" s="164" t="str">
        <f t="shared" si="1"/>
        <v>#</v>
      </c>
      <c r="AL58" s="164" t="str">
        <f t="shared" si="2"/>
        <v>#</v>
      </c>
      <c r="AM58" s="164">
        <f t="shared" si="4"/>
        <v>0.33333333333333331</v>
      </c>
    </row>
    <row r="59" spans="1:41" ht="15">
      <c r="A59" s="13" t="s">
        <v>732</v>
      </c>
      <c r="B59" s="14">
        <v>1</v>
      </c>
      <c r="C59" s="21" t="s">
        <v>26</v>
      </c>
      <c r="D59" s="59" t="s">
        <v>223</v>
      </c>
      <c r="E59" t="s">
        <v>223</v>
      </c>
      <c r="F59" s="23" t="s">
        <v>72</v>
      </c>
      <c r="G59" s="59" t="s">
        <v>223</v>
      </c>
      <c r="H59" t="s">
        <v>223</v>
      </c>
      <c r="I59" s="19" t="s">
        <v>1</v>
      </c>
      <c r="J59" s="59" t="s">
        <v>223</v>
      </c>
      <c r="K59" t="s">
        <v>223</v>
      </c>
      <c r="L59" s="19" t="s">
        <v>1</v>
      </c>
      <c r="M59" s="59" t="s">
        <v>223</v>
      </c>
      <c r="N59" t="s">
        <v>223</v>
      </c>
      <c r="O59" s="19" t="s">
        <v>72</v>
      </c>
      <c r="P59" s="59" t="s">
        <v>223</v>
      </c>
      <c r="Q59" t="s">
        <v>223</v>
      </c>
      <c r="R59" s="24" t="s">
        <v>223</v>
      </c>
      <c r="S59" s="59" t="s">
        <v>223</v>
      </c>
      <c r="T59" t="s">
        <v>223</v>
      </c>
      <c r="U59" t="s">
        <v>223</v>
      </c>
      <c r="V59" s="19" t="s">
        <v>72</v>
      </c>
      <c r="W59" t="s">
        <v>223</v>
      </c>
      <c r="X59" s="59" t="s">
        <v>223</v>
      </c>
      <c r="Y59" t="s">
        <v>223</v>
      </c>
      <c r="Z59" s="24" t="s">
        <v>223</v>
      </c>
      <c r="AA59" s="59" t="s">
        <v>223</v>
      </c>
      <c r="AB59" t="s">
        <v>223</v>
      </c>
      <c r="AC59" t="s">
        <v>223</v>
      </c>
      <c r="AD59" s="19" t="s">
        <v>72</v>
      </c>
      <c r="AE59" t="s">
        <v>223</v>
      </c>
      <c r="AF59" s="59" t="s">
        <v>223</v>
      </c>
      <c r="AG59" t="s">
        <v>223</v>
      </c>
      <c r="AH59" s="23" t="s">
        <v>72</v>
      </c>
      <c r="AJ59" s="164" t="str">
        <f t="shared" si="0"/>
        <v>#</v>
      </c>
      <c r="AK59" s="164" t="str">
        <f t="shared" si="1"/>
        <v>#</v>
      </c>
      <c r="AL59" s="164">
        <f t="shared" si="2"/>
        <v>0.7142857142857143</v>
      </c>
      <c r="AM59" s="164">
        <f t="shared" si="4"/>
        <v>0.7142857142857143</v>
      </c>
    </row>
    <row r="60" spans="1:41" ht="15">
      <c r="A60" s="13" t="s">
        <v>732</v>
      </c>
      <c r="B60" s="14">
        <v>2</v>
      </c>
      <c r="C60" s="21" t="s">
        <v>26</v>
      </c>
      <c r="D60" s="59" t="s">
        <v>223</v>
      </c>
      <c r="E60" t="s">
        <v>223</v>
      </c>
      <c r="F60" s="23" t="s">
        <v>72</v>
      </c>
      <c r="G60" s="59" t="s">
        <v>223</v>
      </c>
      <c r="H60" t="s">
        <v>223</v>
      </c>
      <c r="I60" s="19" t="s">
        <v>1</v>
      </c>
      <c r="J60" s="59" t="s">
        <v>223</v>
      </c>
      <c r="K60" t="s">
        <v>223</v>
      </c>
      <c r="L60" s="19" t="s">
        <v>1</v>
      </c>
      <c r="M60" s="59" t="s">
        <v>223</v>
      </c>
      <c r="N60" t="s">
        <v>223</v>
      </c>
      <c r="O60" s="19" t="s">
        <v>72</v>
      </c>
      <c r="P60" s="59" t="s">
        <v>223</v>
      </c>
      <c r="Q60" t="s">
        <v>223</v>
      </c>
      <c r="R60" s="24" t="s">
        <v>223</v>
      </c>
      <c r="S60" s="59" t="s">
        <v>223</v>
      </c>
      <c r="T60" t="s">
        <v>223</v>
      </c>
      <c r="U60" t="s">
        <v>223</v>
      </c>
      <c r="V60" s="19" t="s">
        <v>72</v>
      </c>
      <c r="W60" t="s">
        <v>223</v>
      </c>
      <c r="X60" s="59" t="s">
        <v>223</v>
      </c>
      <c r="Y60" t="s">
        <v>223</v>
      </c>
      <c r="Z60" s="24" t="s">
        <v>223</v>
      </c>
      <c r="AA60" s="59" t="s">
        <v>223</v>
      </c>
      <c r="AB60" t="s">
        <v>223</v>
      </c>
      <c r="AC60" t="s">
        <v>223</v>
      </c>
      <c r="AD60" s="19" t="s">
        <v>72</v>
      </c>
      <c r="AE60" t="s">
        <v>223</v>
      </c>
      <c r="AF60" s="59" t="s">
        <v>223</v>
      </c>
      <c r="AG60" t="s">
        <v>223</v>
      </c>
      <c r="AH60" s="23" t="s">
        <v>72</v>
      </c>
      <c r="AJ60" s="164" t="str">
        <f t="shared" si="0"/>
        <v>#</v>
      </c>
      <c r="AK60" s="164" t="str">
        <f t="shared" si="1"/>
        <v>#</v>
      </c>
      <c r="AL60" s="164">
        <f t="shared" si="2"/>
        <v>0.7142857142857143</v>
      </c>
      <c r="AM60" s="164">
        <f t="shared" si="4"/>
        <v>0.7142857142857143</v>
      </c>
    </row>
    <row r="61" spans="1:41" ht="15">
      <c r="A61" s="13" t="s">
        <v>733</v>
      </c>
      <c r="B61" s="14">
        <v>1</v>
      </c>
      <c r="C61" s="21" t="s">
        <v>28</v>
      </c>
      <c r="D61" s="59" t="s">
        <v>72</v>
      </c>
      <c r="E61" t="s">
        <v>223</v>
      </c>
      <c r="F61" s="23" t="s">
        <v>73</v>
      </c>
      <c r="G61" s="59" t="s">
        <v>1</v>
      </c>
      <c r="H61" t="s">
        <v>223</v>
      </c>
      <c r="I61" s="19" t="s">
        <v>1</v>
      </c>
      <c r="J61" s="59" t="s">
        <v>1</v>
      </c>
      <c r="K61" t="s">
        <v>223</v>
      </c>
      <c r="L61" s="19" t="s">
        <v>1</v>
      </c>
      <c r="M61" s="59" t="s">
        <v>72</v>
      </c>
      <c r="N61" t="s">
        <v>223</v>
      </c>
      <c r="O61" s="19" t="s">
        <v>72</v>
      </c>
      <c r="P61" s="58" t="s">
        <v>72</v>
      </c>
      <c r="Q61" t="s">
        <v>223</v>
      </c>
      <c r="R61" s="24" t="s">
        <v>223</v>
      </c>
      <c r="S61" s="59" t="s">
        <v>1</v>
      </c>
      <c r="T61" t="s">
        <v>223</v>
      </c>
      <c r="U61" t="s">
        <v>223</v>
      </c>
      <c r="V61" t="s">
        <v>223</v>
      </c>
      <c r="W61" s="23" t="s">
        <v>72</v>
      </c>
      <c r="X61" s="59" t="s">
        <v>73</v>
      </c>
      <c r="Y61" t="s">
        <v>223</v>
      </c>
      <c r="Z61" s="24" t="s">
        <v>223</v>
      </c>
      <c r="AA61" s="59" t="s">
        <v>72</v>
      </c>
      <c r="AB61" t="s">
        <v>223</v>
      </c>
      <c r="AC61" t="s">
        <v>223</v>
      </c>
      <c r="AD61" t="s">
        <v>223</v>
      </c>
      <c r="AE61" s="19" t="s">
        <v>72</v>
      </c>
      <c r="AF61" s="59" t="s">
        <v>72</v>
      </c>
      <c r="AG61" t="s">
        <v>223</v>
      </c>
      <c r="AH61" s="23" t="s">
        <v>72</v>
      </c>
      <c r="AJ61" s="164">
        <f t="shared" si="0"/>
        <v>0.55555555555555558</v>
      </c>
      <c r="AK61" s="164" t="str">
        <f t="shared" si="1"/>
        <v>#</v>
      </c>
      <c r="AL61" s="164">
        <f t="shared" si="2"/>
        <v>0.5714285714285714</v>
      </c>
      <c r="AM61" s="164">
        <f t="shared" si="4"/>
        <v>0.56349206349206349</v>
      </c>
    </row>
    <row r="62" spans="1:41" ht="15">
      <c r="A62" s="13" t="s">
        <v>733</v>
      </c>
      <c r="B62" s="14">
        <v>2</v>
      </c>
      <c r="C62" s="21" t="s">
        <v>28</v>
      </c>
      <c r="D62" s="59" t="s">
        <v>72</v>
      </c>
      <c r="E62" t="s">
        <v>223</v>
      </c>
      <c r="F62" s="23" t="s">
        <v>73</v>
      </c>
      <c r="G62" s="59" t="s">
        <v>1</v>
      </c>
      <c r="H62" t="s">
        <v>223</v>
      </c>
      <c r="I62" s="19" t="s">
        <v>1</v>
      </c>
      <c r="J62" s="59" t="s">
        <v>1</v>
      </c>
      <c r="K62" t="s">
        <v>223</v>
      </c>
      <c r="L62" s="19" t="s">
        <v>1</v>
      </c>
      <c r="M62" s="59" t="s">
        <v>72</v>
      </c>
      <c r="N62" t="s">
        <v>223</v>
      </c>
      <c r="O62" s="19" t="s">
        <v>72</v>
      </c>
      <c r="P62" s="58" t="s">
        <v>72</v>
      </c>
      <c r="Q62" t="s">
        <v>223</v>
      </c>
      <c r="R62" s="24" t="s">
        <v>223</v>
      </c>
      <c r="S62" s="59" t="s">
        <v>1</v>
      </c>
      <c r="T62" t="s">
        <v>223</v>
      </c>
      <c r="U62" t="s">
        <v>223</v>
      </c>
      <c r="V62" t="s">
        <v>223</v>
      </c>
      <c r="W62" s="23" t="s">
        <v>72</v>
      </c>
      <c r="X62" s="59" t="s">
        <v>73</v>
      </c>
      <c r="Y62" t="s">
        <v>223</v>
      </c>
      <c r="Z62" s="24" t="s">
        <v>223</v>
      </c>
      <c r="AA62" s="59" t="s">
        <v>72</v>
      </c>
      <c r="AB62" t="s">
        <v>223</v>
      </c>
      <c r="AC62" t="s">
        <v>223</v>
      </c>
      <c r="AD62" t="s">
        <v>223</v>
      </c>
      <c r="AE62" s="19" t="s">
        <v>72</v>
      </c>
      <c r="AF62" s="59" t="s">
        <v>72</v>
      </c>
      <c r="AG62" t="s">
        <v>223</v>
      </c>
      <c r="AH62" s="23" t="s">
        <v>72</v>
      </c>
      <c r="AJ62" s="164">
        <f t="shared" si="0"/>
        <v>0.55555555555555558</v>
      </c>
      <c r="AK62" s="164" t="str">
        <f t="shared" si="1"/>
        <v>#</v>
      </c>
      <c r="AL62" s="164">
        <f t="shared" si="2"/>
        <v>0.5714285714285714</v>
      </c>
      <c r="AM62" s="164">
        <f t="shared" ref="AM62:AM66" si="5">AVERAGE(AJ62:AL62)</f>
        <v>0.56349206349206349</v>
      </c>
    </row>
    <row r="63" spans="1:41" ht="15">
      <c r="A63" s="13" t="s">
        <v>733</v>
      </c>
      <c r="B63" s="14">
        <v>3</v>
      </c>
      <c r="C63" s="21" t="s">
        <v>28</v>
      </c>
      <c r="D63" s="59" t="s">
        <v>72</v>
      </c>
      <c r="E63" t="s">
        <v>223</v>
      </c>
      <c r="F63" s="24" t="s">
        <v>223</v>
      </c>
      <c r="G63" s="59" t="s">
        <v>1</v>
      </c>
      <c r="H63" t="s">
        <v>223</v>
      </c>
      <c r="I63" s="24" t="s">
        <v>223</v>
      </c>
      <c r="J63" s="59" t="s">
        <v>1</v>
      </c>
      <c r="K63" t="s">
        <v>223</v>
      </c>
      <c r="L63" s="24" t="s">
        <v>223</v>
      </c>
      <c r="M63" s="59" t="s">
        <v>72</v>
      </c>
      <c r="N63" t="s">
        <v>223</v>
      </c>
      <c r="O63" s="24" t="s">
        <v>223</v>
      </c>
      <c r="P63" s="59" t="s">
        <v>1</v>
      </c>
      <c r="Q63" t="s">
        <v>223</v>
      </c>
      <c r="R63" s="24" t="s">
        <v>223</v>
      </c>
      <c r="S63" s="59" t="s">
        <v>1</v>
      </c>
      <c r="T63" t="s">
        <v>223</v>
      </c>
      <c r="U63" t="s">
        <v>223</v>
      </c>
      <c r="V63" t="s">
        <v>223</v>
      </c>
      <c r="W63" t="s">
        <v>223</v>
      </c>
      <c r="X63" s="59" t="s">
        <v>73</v>
      </c>
      <c r="Y63" t="s">
        <v>223</v>
      </c>
      <c r="Z63" s="24" t="s">
        <v>223</v>
      </c>
      <c r="AA63" s="58" t="s">
        <v>73</v>
      </c>
      <c r="AB63" t="s">
        <v>223</v>
      </c>
      <c r="AC63" t="s">
        <v>223</v>
      </c>
      <c r="AD63" t="s">
        <v>223</v>
      </c>
      <c r="AE63" t="s">
        <v>223</v>
      </c>
      <c r="AF63" s="59" t="s">
        <v>72</v>
      </c>
      <c r="AG63" t="s">
        <v>223</v>
      </c>
      <c r="AH63" s="24" t="s">
        <v>223</v>
      </c>
      <c r="AJ63" s="164">
        <f t="shared" si="0"/>
        <v>0.33333333333333331</v>
      </c>
      <c r="AK63" s="164" t="str">
        <f t="shared" si="1"/>
        <v>#</v>
      </c>
      <c r="AL63" s="164" t="str">
        <f t="shared" si="2"/>
        <v>#</v>
      </c>
      <c r="AM63" s="164">
        <f t="shared" si="5"/>
        <v>0.33333333333333331</v>
      </c>
    </row>
    <row r="64" spans="1:41" ht="15">
      <c r="A64" s="32" t="s">
        <v>735</v>
      </c>
      <c r="B64" s="27">
        <v>0</v>
      </c>
      <c r="C64" s="57" t="s">
        <v>45</v>
      </c>
      <c r="D64" s="59" t="s">
        <v>72</v>
      </c>
      <c r="E64" t="s">
        <v>223</v>
      </c>
      <c r="F64" s="23" t="s">
        <v>73</v>
      </c>
      <c r="G64" s="59" t="s">
        <v>1</v>
      </c>
      <c r="H64" t="s">
        <v>223</v>
      </c>
      <c r="I64" s="19" t="s">
        <v>1</v>
      </c>
      <c r="J64" s="59" t="s">
        <v>1</v>
      </c>
      <c r="K64" t="s">
        <v>223</v>
      </c>
      <c r="L64" s="19" t="s">
        <v>1</v>
      </c>
      <c r="M64" s="59" t="s">
        <v>72</v>
      </c>
      <c r="N64" t="s">
        <v>223</v>
      </c>
      <c r="O64" s="19" t="s">
        <v>72</v>
      </c>
      <c r="P64" s="59" t="s">
        <v>72</v>
      </c>
      <c r="Q64" s="19" t="s">
        <v>223</v>
      </c>
      <c r="R64" s="23" t="s">
        <v>223</v>
      </c>
      <c r="S64" s="59" t="s">
        <v>72</v>
      </c>
      <c r="T64" t="s">
        <v>223</v>
      </c>
      <c r="U64" t="s">
        <v>223</v>
      </c>
      <c r="V64" s="19" t="s">
        <v>72</v>
      </c>
      <c r="W64" s="23" t="s">
        <v>223</v>
      </c>
      <c r="X64" s="59" t="s">
        <v>72</v>
      </c>
      <c r="Y64" t="s">
        <v>223</v>
      </c>
      <c r="Z64" s="23" t="s">
        <v>223</v>
      </c>
      <c r="AA64" s="59" t="s">
        <v>72</v>
      </c>
      <c r="AB64" t="s">
        <v>223</v>
      </c>
      <c r="AC64" t="s">
        <v>223</v>
      </c>
      <c r="AD64" s="19" t="s">
        <v>1</v>
      </c>
      <c r="AE64" s="23" t="s">
        <v>223</v>
      </c>
      <c r="AF64" s="59" t="s">
        <v>72</v>
      </c>
      <c r="AG64" t="s">
        <v>223</v>
      </c>
      <c r="AH64" s="23" t="s">
        <v>72</v>
      </c>
      <c r="AJ64" s="164">
        <f t="shared" si="0"/>
        <v>0.77777777777777779</v>
      </c>
      <c r="AK64" s="164" t="str">
        <f t="shared" si="1"/>
        <v>#</v>
      </c>
      <c r="AL64" s="164">
        <f t="shared" si="2"/>
        <v>0.42857142857142855</v>
      </c>
      <c r="AM64" s="164">
        <f t="shared" si="5"/>
        <v>0.60317460317460314</v>
      </c>
    </row>
    <row r="65" spans="1:39" ht="15">
      <c r="A65" s="5" t="s">
        <v>736</v>
      </c>
      <c r="B65" s="6">
        <v>1</v>
      </c>
      <c r="C65" s="47" t="s">
        <v>766</v>
      </c>
      <c r="D65" s="59" t="s">
        <v>72</v>
      </c>
      <c r="E65" t="s">
        <v>223</v>
      </c>
      <c r="F65" s="23" t="s">
        <v>223</v>
      </c>
      <c r="G65" s="59" t="s">
        <v>1</v>
      </c>
      <c r="H65" t="s">
        <v>223</v>
      </c>
      <c r="I65" s="23" t="s">
        <v>223</v>
      </c>
      <c r="J65" s="59" t="s">
        <v>1</v>
      </c>
      <c r="K65" t="s">
        <v>223</v>
      </c>
      <c r="L65" s="23" t="s">
        <v>223</v>
      </c>
      <c r="M65" s="59" t="s">
        <v>72</v>
      </c>
      <c r="N65" t="s">
        <v>223</v>
      </c>
      <c r="O65" s="24" t="s">
        <v>223</v>
      </c>
      <c r="P65" s="59" t="s">
        <v>72</v>
      </c>
      <c r="Q65" s="19" t="s">
        <v>223</v>
      </c>
      <c r="R65" s="23" t="s">
        <v>223</v>
      </c>
      <c r="S65" s="59" t="s">
        <v>1</v>
      </c>
      <c r="T65" t="s">
        <v>223</v>
      </c>
      <c r="U65" t="s">
        <v>223</v>
      </c>
      <c r="V65" t="s">
        <v>223</v>
      </c>
      <c r="W65" s="24" t="s">
        <v>223</v>
      </c>
      <c r="X65" s="59" t="s">
        <v>73</v>
      </c>
      <c r="Y65" t="s">
        <v>223</v>
      </c>
      <c r="Z65" s="23" t="s">
        <v>223</v>
      </c>
      <c r="AA65" s="59" t="s">
        <v>73</v>
      </c>
      <c r="AB65" t="s">
        <v>223</v>
      </c>
      <c r="AC65" t="s">
        <v>223</v>
      </c>
      <c r="AD65" t="s">
        <v>223</v>
      </c>
      <c r="AE65" s="24" t="s">
        <v>223</v>
      </c>
      <c r="AF65" s="59" t="s">
        <v>72</v>
      </c>
      <c r="AG65" t="s">
        <v>223</v>
      </c>
      <c r="AH65" s="23" t="s">
        <v>223</v>
      </c>
      <c r="AJ65" s="164">
        <f t="shared" si="0"/>
        <v>0.44444444444444442</v>
      </c>
      <c r="AK65" s="164" t="str">
        <f t="shared" si="1"/>
        <v>#</v>
      </c>
      <c r="AL65" s="164" t="str">
        <f t="shared" si="2"/>
        <v>#</v>
      </c>
      <c r="AM65" s="164">
        <f>AVERAGE(AJ65:AL65)</f>
        <v>0.44444444444444442</v>
      </c>
    </row>
    <row r="66" spans="1:39" ht="15">
      <c r="A66" s="5" t="s">
        <v>736</v>
      </c>
      <c r="B66" s="6">
        <v>2</v>
      </c>
      <c r="C66" s="47" t="s">
        <v>766</v>
      </c>
      <c r="D66" s="59" t="s">
        <v>72</v>
      </c>
      <c r="E66" t="s">
        <v>223</v>
      </c>
      <c r="F66" s="23" t="s">
        <v>223</v>
      </c>
      <c r="G66" s="59" t="s">
        <v>1</v>
      </c>
      <c r="H66" t="s">
        <v>223</v>
      </c>
      <c r="I66" s="23" t="s">
        <v>223</v>
      </c>
      <c r="J66" s="59" t="s">
        <v>1</v>
      </c>
      <c r="K66" t="s">
        <v>223</v>
      </c>
      <c r="L66" s="23" t="s">
        <v>223</v>
      </c>
      <c r="M66" s="59" t="s">
        <v>72</v>
      </c>
      <c r="N66" t="s">
        <v>223</v>
      </c>
      <c r="O66" s="24" t="s">
        <v>223</v>
      </c>
      <c r="P66" s="59" t="s">
        <v>72</v>
      </c>
      <c r="Q66" s="19" t="s">
        <v>223</v>
      </c>
      <c r="R66" s="23" t="s">
        <v>223</v>
      </c>
      <c r="S66" s="59" t="s">
        <v>1</v>
      </c>
      <c r="T66" t="s">
        <v>223</v>
      </c>
      <c r="U66" t="s">
        <v>223</v>
      </c>
      <c r="V66" t="s">
        <v>223</v>
      </c>
      <c r="W66" s="24" t="s">
        <v>223</v>
      </c>
      <c r="X66" s="59" t="s">
        <v>73</v>
      </c>
      <c r="Y66" t="s">
        <v>223</v>
      </c>
      <c r="Z66" s="23" t="s">
        <v>223</v>
      </c>
      <c r="AA66" s="59" t="s">
        <v>73</v>
      </c>
      <c r="AB66" t="s">
        <v>223</v>
      </c>
      <c r="AC66" t="s">
        <v>223</v>
      </c>
      <c r="AD66" t="s">
        <v>223</v>
      </c>
      <c r="AE66" s="24" t="s">
        <v>223</v>
      </c>
      <c r="AF66" s="59" t="s">
        <v>72</v>
      </c>
      <c r="AG66" t="s">
        <v>223</v>
      </c>
      <c r="AH66" s="23" t="s">
        <v>223</v>
      </c>
      <c r="AJ66" s="164">
        <f t="shared" si="0"/>
        <v>0.44444444444444442</v>
      </c>
      <c r="AK66" s="164" t="str">
        <f t="shared" si="1"/>
        <v>#</v>
      </c>
      <c r="AL66" s="164" t="str">
        <f t="shared" si="2"/>
        <v>#</v>
      </c>
      <c r="AM66" s="164">
        <f t="shared" si="5"/>
        <v>0.44444444444444442</v>
      </c>
    </row>
    <row r="67" spans="1:39" ht="15">
      <c r="A67" s="5" t="s">
        <v>736</v>
      </c>
      <c r="B67" s="6">
        <v>3</v>
      </c>
      <c r="C67" s="47" t="s">
        <v>766</v>
      </c>
      <c r="D67" s="59" t="s">
        <v>72</v>
      </c>
      <c r="E67" t="s">
        <v>223</v>
      </c>
      <c r="F67" s="23" t="s">
        <v>223</v>
      </c>
      <c r="G67" s="59" t="s">
        <v>1</v>
      </c>
      <c r="H67" t="s">
        <v>223</v>
      </c>
      <c r="I67" s="23" t="s">
        <v>223</v>
      </c>
      <c r="J67" s="59" t="s">
        <v>1</v>
      </c>
      <c r="K67" t="s">
        <v>223</v>
      </c>
      <c r="L67" s="23" t="s">
        <v>223</v>
      </c>
      <c r="M67" s="59" t="s">
        <v>72</v>
      </c>
      <c r="N67" t="s">
        <v>223</v>
      </c>
      <c r="O67" s="24" t="s">
        <v>223</v>
      </c>
      <c r="P67" s="59" t="s">
        <v>72</v>
      </c>
      <c r="Q67" s="19" t="s">
        <v>223</v>
      </c>
      <c r="R67" s="23" t="s">
        <v>223</v>
      </c>
      <c r="S67" s="59" t="s">
        <v>1</v>
      </c>
      <c r="T67" t="s">
        <v>223</v>
      </c>
      <c r="U67" t="s">
        <v>223</v>
      </c>
      <c r="V67" t="s">
        <v>223</v>
      </c>
      <c r="W67" s="24" t="s">
        <v>223</v>
      </c>
      <c r="X67" s="59" t="s">
        <v>73</v>
      </c>
      <c r="Y67" t="s">
        <v>223</v>
      </c>
      <c r="Z67" s="23" t="s">
        <v>223</v>
      </c>
      <c r="AA67" s="59" t="s">
        <v>73</v>
      </c>
      <c r="AB67" t="s">
        <v>223</v>
      </c>
      <c r="AC67" t="s">
        <v>223</v>
      </c>
      <c r="AD67" t="s">
        <v>223</v>
      </c>
      <c r="AE67" s="24" t="s">
        <v>223</v>
      </c>
      <c r="AF67" s="59" t="s">
        <v>72</v>
      </c>
      <c r="AG67" t="s">
        <v>223</v>
      </c>
      <c r="AH67" s="23" t="s">
        <v>223</v>
      </c>
      <c r="AJ67" s="164">
        <f t="shared" si="0"/>
        <v>0.44444444444444442</v>
      </c>
      <c r="AK67" s="164" t="str">
        <f t="shared" si="1"/>
        <v>#</v>
      </c>
      <c r="AL67" s="164" t="str">
        <f t="shared" si="2"/>
        <v>#</v>
      </c>
      <c r="AM67" s="164">
        <f t="shared" ref="AM67:AM68" si="6">AVERAGE(AJ67:AL67)</f>
        <v>0.44444444444444442</v>
      </c>
    </row>
    <row r="68" spans="1:39" ht="15">
      <c r="A68" s="5" t="s">
        <v>736</v>
      </c>
      <c r="B68" s="6">
        <v>4</v>
      </c>
      <c r="C68" s="47" t="s">
        <v>766</v>
      </c>
      <c r="D68" s="59" t="s">
        <v>72</v>
      </c>
      <c r="E68" t="s">
        <v>223</v>
      </c>
      <c r="F68" s="23" t="s">
        <v>223</v>
      </c>
      <c r="G68" s="59" t="s">
        <v>1</v>
      </c>
      <c r="H68" t="s">
        <v>223</v>
      </c>
      <c r="I68" s="23" t="s">
        <v>223</v>
      </c>
      <c r="J68" s="59" t="s">
        <v>1</v>
      </c>
      <c r="K68" t="s">
        <v>223</v>
      </c>
      <c r="L68" s="23" t="s">
        <v>223</v>
      </c>
      <c r="M68" s="59" t="s">
        <v>72</v>
      </c>
      <c r="N68" t="s">
        <v>223</v>
      </c>
      <c r="O68" s="24" t="s">
        <v>223</v>
      </c>
      <c r="P68" s="19" t="s">
        <v>72</v>
      </c>
      <c r="Q68" s="19" t="s">
        <v>223</v>
      </c>
      <c r="R68" s="23" t="s">
        <v>223</v>
      </c>
      <c r="S68" s="59" t="s">
        <v>1</v>
      </c>
      <c r="T68" t="s">
        <v>223</v>
      </c>
      <c r="U68" t="s">
        <v>223</v>
      </c>
      <c r="V68" t="s">
        <v>223</v>
      </c>
      <c r="W68" s="24" t="s">
        <v>223</v>
      </c>
      <c r="X68" s="59" t="s">
        <v>73</v>
      </c>
      <c r="Y68" t="s">
        <v>223</v>
      </c>
      <c r="Z68" s="23" t="s">
        <v>223</v>
      </c>
      <c r="AA68" s="59" t="s">
        <v>73</v>
      </c>
      <c r="AB68" t="s">
        <v>223</v>
      </c>
      <c r="AC68" t="s">
        <v>223</v>
      </c>
      <c r="AD68" t="s">
        <v>223</v>
      </c>
      <c r="AE68" s="24" t="s">
        <v>223</v>
      </c>
      <c r="AF68" s="59" t="s">
        <v>72</v>
      </c>
      <c r="AG68" t="s">
        <v>223</v>
      </c>
      <c r="AH68" s="23" t="s">
        <v>223</v>
      </c>
      <c r="AJ68" s="164">
        <f t="shared" si="0"/>
        <v>0.44444444444444442</v>
      </c>
      <c r="AK68" s="164" t="str">
        <f t="shared" si="1"/>
        <v>#</v>
      </c>
      <c r="AL68" s="164" t="str">
        <f t="shared" si="2"/>
        <v>#</v>
      </c>
      <c r="AM68" s="164">
        <f t="shared" si="6"/>
        <v>0.44444444444444442</v>
      </c>
    </row>
    <row r="69" spans="1:39" ht="15">
      <c r="A69" s="5" t="s">
        <v>737</v>
      </c>
      <c r="B69" s="6">
        <v>0</v>
      </c>
      <c r="C69" s="47" t="s">
        <v>786</v>
      </c>
      <c r="D69" s="59" t="s">
        <v>72</v>
      </c>
      <c r="E69" s="19" t="s">
        <v>223</v>
      </c>
      <c r="F69" s="23" t="s">
        <v>223</v>
      </c>
      <c r="G69" s="59" t="s">
        <v>1</v>
      </c>
      <c r="H69" s="19" t="s">
        <v>223</v>
      </c>
      <c r="I69" s="23" t="s">
        <v>223</v>
      </c>
      <c r="J69" s="59" t="s">
        <v>1</v>
      </c>
      <c r="K69" s="19" t="s">
        <v>223</v>
      </c>
      <c r="L69" s="23" t="s">
        <v>223</v>
      </c>
      <c r="M69" s="59" t="s">
        <v>72</v>
      </c>
      <c r="N69" s="19" t="s">
        <v>223</v>
      </c>
      <c r="O69" s="23" t="s">
        <v>223</v>
      </c>
      <c r="P69" s="19" t="s">
        <v>72</v>
      </c>
      <c r="Q69" s="19" t="s">
        <v>223</v>
      </c>
      <c r="R69" s="23" t="s">
        <v>223</v>
      </c>
      <c r="S69" s="59" t="s">
        <v>72</v>
      </c>
      <c r="T69" s="19" t="s">
        <v>223</v>
      </c>
      <c r="U69" s="19" t="s">
        <v>223</v>
      </c>
      <c r="V69" s="19" t="s">
        <v>223</v>
      </c>
      <c r="W69" s="23" t="s">
        <v>223</v>
      </c>
      <c r="X69" s="59" t="s">
        <v>1</v>
      </c>
      <c r="Y69" s="19" t="s">
        <v>223</v>
      </c>
      <c r="Z69" s="23" t="s">
        <v>223</v>
      </c>
      <c r="AA69" s="19" t="s">
        <v>72</v>
      </c>
      <c r="AB69" s="19" t="s">
        <v>223</v>
      </c>
      <c r="AC69" s="19" t="s">
        <v>223</v>
      </c>
      <c r="AD69" s="19" t="s">
        <v>223</v>
      </c>
      <c r="AE69" s="23" t="s">
        <v>223</v>
      </c>
      <c r="AF69" s="59" t="s">
        <v>72</v>
      </c>
      <c r="AG69" s="19" t="s">
        <v>223</v>
      </c>
      <c r="AH69" s="23" t="s">
        <v>223</v>
      </c>
      <c r="AJ69" s="164">
        <f t="shared" ref="AJ69:AJ77" si="7">IF(D69&lt;&gt;"n/a",(COUNTIF(D69,"yes")+COUNTIF(G69,"yes")+COUNTIF(J69,"yes")+COUNTIF(M69,"yes")+COUNTIF(P69,"yes")+COUNTIF(S69,"yes")+COUNTIF(X69,"yes")+COUNTIF(AA69,"yes")+COUNTIF(AF69,"yes"))/9,"#")</f>
        <v>0.66666666666666663</v>
      </c>
      <c r="AK69" s="164" t="str">
        <f t="shared" ref="AK69:AK77" si="8">IF(E69&lt;&gt;"n/a",(COUNTIF(E69,"yes")+COUNTIF(H69,"yes")+COUNTIF(K69,"yes")+COUNTIF(N69,"yes")+COUNTIF(Q69,"yes")+IF(COUNTIF(T69:U69,"yes")&gt;=1,1,0)+COUNTIF(Y69,"yes")+IF(COUNTIF(AB69:AC69,"yes")&gt;=1,1,0)+COUNTIF(AG69,"yes"))/8,"#")</f>
        <v>#</v>
      </c>
      <c r="AL69" s="164" t="str">
        <f t="shared" ref="AL69:AL77" si="9">IF(F69&lt;&gt;"n/a",(COUNTIF(F69,"yes")+COUNTIF(I69,"yes")+COUNTIF(L69,"yes")+COUNTIF(O69,"yes")+COUNTIF(R69,"yes")+IF(COUNTIF(V69:W69,"yes")&gt;=1,1,0)+COUNTIF(Z69,"yes")+IF(COUNTIF(AD69:AE69,"yes")&gt;=1,1,0)+COUNTIF(AH69,"yes"))/7,"#")</f>
        <v>#</v>
      </c>
      <c r="AM69" s="164">
        <f t="shared" ref="AM69" si="10">AVERAGE(AJ69:AL69)</f>
        <v>0.66666666666666663</v>
      </c>
    </row>
    <row r="70" spans="1:39" ht="15">
      <c r="A70" s="5" t="s">
        <v>738</v>
      </c>
      <c r="B70" s="6">
        <v>0</v>
      </c>
      <c r="C70" s="47" t="s">
        <v>793</v>
      </c>
      <c r="D70" s="59" t="s">
        <v>223</v>
      </c>
      <c r="E70" s="19" t="s">
        <v>223</v>
      </c>
      <c r="F70" s="23" t="s">
        <v>72</v>
      </c>
      <c r="G70" s="59" t="s">
        <v>223</v>
      </c>
      <c r="H70" t="s">
        <v>223</v>
      </c>
      <c r="I70" s="19" t="s">
        <v>1</v>
      </c>
      <c r="J70" s="59" t="s">
        <v>223</v>
      </c>
      <c r="K70" t="s">
        <v>223</v>
      </c>
      <c r="L70" s="19" t="s">
        <v>1</v>
      </c>
      <c r="M70" s="59" t="s">
        <v>223</v>
      </c>
      <c r="N70" t="s">
        <v>223</v>
      </c>
      <c r="O70" s="23" t="s">
        <v>72</v>
      </c>
      <c r="P70" s="19" t="s">
        <v>223</v>
      </c>
      <c r="Q70" t="s">
        <v>223</v>
      </c>
      <c r="R70" s="23" t="s">
        <v>223</v>
      </c>
      <c r="S70" s="59" t="s">
        <v>223</v>
      </c>
      <c r="T70" t="s">
        <v>223</v>
      </c>
      <c r="U70" s="19" t="s">
        <v>223</v>
      </c>
      <c r="V70" s="19" t="s">
        <v>72</v>
      </c>
      <c r="W70" s="23" t="s">
        <v>72</v>
      </c>
      <c r="X70" s="59" t="s">
        <v>223</v>
      </c>
      <c r="Y70" s="19" t="s">
        <v>223</v>
      </c>
      <c r="Z70" s="23" t="s">
        <v>223</v>
      </c>
      <c r="AA70" s="59" t="s">
        <v>223</v>
      </c>
      <c r="AB70" s="19" t="s">
        <v>223</v>
      </c>
      <c r="AC70" s="19" t="s">
        <v>223</v>
      </c>
      <c r="AD70" s="19" t="s">
        <v>72</v>
      </c>
      <c r="AE70" s="19" t="s">
        <v>1</v>
      </c>
      <c r="AF70" s="59" t="s">
        <v>223</v>
      </c>
      <c r="AG70" s="19" t="s">
        <v>223</v>
      </c>
      <c r="AH70" s="23" t="s">
        <v>72</v>
      </c>
      <c r="AJ70" s="164" t="str">
        <f t="shared" si="7"/>
        <v>#</v>
      </c>
      <c r="AK70" s="164" t="str">
        <f t="shared" si="8"/>
        <v>#</v>
      </c>
      <c r="AL70" s="164">
        <f t="shared" si="9"/>
        <v>0.7142857142857143</v>
      </c>
      <c r="AM70" s="164">
        <f t="shared" ref="AM70" si="11">AVERAGE(AJ70:AL70)</f>
        <v>0.7142857142857143</v>
      </c>
    </row>
    <row r="71" spans="1:39" ht="15">
      <c r="A71" s="5" t="s">
        <v>783</v>
      </c>
      <c r="B71" s="6">
        <v>0</v>
      </c>
      <c r="C71" s="47" t="s">
        <v>784</v>
      </c>
      <c r="D71" s="59" t="s">
        <v>223</v>
      </c>
      <c r="E71" s="19" t="s">
        <v>223</v>
      </c>
      <c r="F71" s="23" t="s">
        <v>72</v>
      </c>
      <c r="G71" s="59" t="s">
        <v>223</v>
      </c>
      <c r="H71" t="s">
        <v>223</v>
      </c>
      <c r="I71" s="19" t="s">
        <v>1</v>
      </c>
      <c r="J71" s="59" t="s">
        <v>223</v>
      </c>
      <c r="K71" t="s">
        <v>223</v>
      </c>
      <c r="L71" s="19" t="s">
        <v>1</v>
      </c>
      <c r="M71" s="59" t="s">
        <v>223</v>
      </c>
      <c r="N71" t="s">
        <v>223</v>
      </c>
      <c r="O71" s="23" t="s">
        <v>72</v>
      </c>
      <c r="P71" s="19" t="s">
        <v>223</v>
      </c>
      <c r="Q71" s="19" t="s">
        <v>223</v>
      </c>
      <c r="R71" s="23" t="s">
        <v>223</v>
      </c>
      <c r="S71" s="59" t="s">
        <v>223</v>
      </c>
      <c r="T71" s="19" t="s">
        <v>223</v>
      </c>
      <c r="U71" s="19" t="s">
        <v>223</v>
      </c>
      <c r="V71" s="19" t="s">
        <v>72</v>
      </c>
      <c r="W71" s="23" t="s">
        <v>223</v>
      </c>
      <c r="X71" s="59" t="s">
        <v>223</v>
      </c>
      <c r="Y71" t="s">
        <v>223</v>
      </c>
      <c r="Z71" s="23" t="s">
        <v>223</v>
      </c>
      <c r="AA71" s="59" t="s">
        <v>223</v>
      </c>
      <c r="AB71" s="19" t="s">
        <v>223</v>
      </c>
      <c r="AC71" s="19" t="s">
        <v>223</v>
      </c>
      <c r="AD71" s="19" t="s">
        <v>1</v>
      </c>
      <c r="AE71" s="23" t="s">
        <v>223</v>
      </c>
      <c r="AF71" s="59" t="s">
        <v>223</v>
      </c>
      <c r="AG71" t="s">
        <v>223</v>
      </c>
      <c r="AH71" s="23" t="s">
        <v>72</v>
      </c>
      <c r="AJ71" s="164" t="str">
        <f t="shared" si="7"/>
        <v>#</v>
      </c>
      <c r="AK71" s="164" t="str">
        <f t="shared" si="8"/>
        <v>#</v>
      </c>
      <c r="AL71" s="164">
        <f t="shared" si="9"/>
        <v>0.5714285714285714</v>
      </c>
      <c r="AM71" s="164">
        <f t="shared" ref="AM71" si="12">AVERAGE(AJ71:AL71)</f>
        <v>0.5714285714285714</v>
      </c>
    </row>
    <row r="72" spans="1:39" ht="15">
      <c r="A72" s="5" t="s">
        <v>785</v>
      </c>
      <c r="B72" s="6">
        <v>1</v>
      </c>
      <c r="C72" s="47" t="s">
        <v>789</v>
      </c>
      <c r="D72" s="59" t="s">
        <v>72</v>
      </c>
      <c r="E72" s="19" t="s">
        <v>223</v>
      </c>
      <c r="F72" s="23" t="s">
        <v>72</v>
      </c>
      <c r="G72" s="59" t="s">
        <v>1</v>
      </c>
      <c r="H72" s="19" t="s">
        <v>223</v>
      </c>
      <c r="I72" s="19" t="s">
        <v>1</v>
      </c>
      <c r="J72" s="59" t="s">
        <v>1</v>
      </c>
      <c r="K72" s="19" t="s">
        <v>223</v>
      </c>
      <c r="L72" s="19" t="s">
        <v>1</v>
      </c>
      <c r="M72" s="59" t="s">
        <v>72</v>
      </c>
      <c r="N72" s="19" t="s">
        <v>223</v>
      </c>
      <c r="O72" s="23" t="s">
        <v>72</v>
      </c>
      <c r="P72" s="19" t="s">
        <v>73</v>
      </c>
      <c r="Q72" s="19" t="s">
        <v>223</v>
      </c>
      <c r="R72" s="23" t="s">
        <v>223</v>
      </c>
      <c r="S72" s="59" t="s">
        <v>72</v>
      </c>
      <c r="T72" s="19" t="s">
        <v>223</v>
      </c>
      <c r="U72" s="19" t="s">
        <v>223</v>
      </c>
      <c r="V72" s="19" t="s">
        <v>223</v>
      </c>
      <c r="W72" s="23" t="s">
        <v>72</v>
      </c>
      <c r="X72" s="59" t="s">
        <v>72</v>
      </c>
      <c r="Y72" s="19" t="s">
        <v>223</v>
      </c>
      <c r="Z72" s="23" t="s">
        <v>223</v>
      </c>
      <c r="AA72" s="59" t="s">
        <v>72</v>
      </c>
      <c r="AB72" s="19" t="s">
        <v>223</v>
      </c>
      <c r="AC72" s="19" t="s">
        <v>223</v>
      </c>
      <c r="AD72" s="19" t="s">
        <v>223</v>
      </c>
      <c r="AE72" s="19" t="s">
        <v>72</v>
      </c>
      <c r="AF72" s="59" t="s">
        <v>72</v>
      </c>
      <c r="AG72" s="19" t="s">
        <v>223</v>
      </c>
      <c r="AH72" s="23" t="s">
        <v>72</v>
      </c>
      <c r="AJ72" s="164">
        <f t="shared" si="7"/>
        <v>0.66666666666666663</v>
      </c>
      <c r="AK72" s="164" t="str">
        <f t="shared" si="8"/>
        <v>#</v>
      </c>
      <c r="AL72" s="164">
        <f t="shared" si="9"/>
        <v>0.7142857142857143</v>
      </c>
      <c r="AM72" s="164">
        <f t="shared" ref="AM72:AM73" si="13">AVERAGE(AJ72:AL72)</f>
        <v>0.69047619047619047</v>
      </c>
    </row>
    <row r="73" spans="1:39" ht="15">
      <c r="A73" s="5" t="s">
        <v>785</v>
      </c>
      <c r="B73" s="6">
        <v>2</v>
      </c>
      <c r="C73" s="47" t="s">
        <v>789</v>
      </c>
      <c r="D73" s="59" t="s">
        <v>72</v>
      </c>
      <c r="E73" s="19" t="s">
        <v>223</v>
      </c>
      <c r="F73" s="23" t="s">
        <v>223</v>
      </c>
      <c r="G73" s="59" t="s">
        <v>1</v>
      </c>
      <c r="H73" s="19" t="s">
        <v>223</v>
      </c>
      <c r="I73" s="23" t="s">
        <v>223</v>
      </c>
      <c r="J73" s="59" t="s">
        <v>1</v>
      </c>
      <c r="K73" s="19" t="s">
        <v>223</v>
      </c>
      <c r="L73" s="23" t="s">
        <v>223</v>
      </c>
      <c r="M73" s="59" t="s">
        <v>72</v>
      </c>
      <c r="N73" s="19" t="s">
        <v>223</v>
      </c>
      <c r="O73" s="23" t="s">
        <v>223</v>
      </c>
      <c r="P73" s="19" t="s">
        <v>73</v>
      </c>
      <c r="Q73" s="19" t="s">
        <v>223</v>
      </c>
      <c r="R73" s="23" t="s">
        <v>223</v>
      </c>
      <c r="S73" s="59" t="s">
        <v>72</v>
      </c>
      <c r="T73" s="19" t="s">
        <v>223</v>
      </c>
      <c r="U73" s="19" t="s">
        <v>223</v>
      </c>
      <c r="V73" s="19" t="s">
        <v>223</v>
      </c>
      <c r="W73" s="23" t="s">
        <v>223</v>
      </c>
      <c r="X73" s="59" t="s">
        <v>72</v>
      </c>
      <c r="Y73" s="19" t="s">
        <v>223</v>
      </c>
      <c r="Z73" s="23" t="s">
        <v>223</v>
      </c>
      <c r="AA73" s="59" t="s">
        <v>72</v>
      </c>
      <c r="AB73" s="19" t="s">
        <v>223</v>
      </c>
      <c r="AC73" s="19" t="s">
        <v>223</v>
      </c>
      <c r="AD73" s="19" t="s">
        <v>223</v>
      </c>
      <c r="AE73" s="23" t="s">
        <v>223</v>
      </c>
      <c r="AF73" s="59" t="s">
        <v>72</v>
      </c>
      <c r="AG73" s="19" t="s">
        <v>223</v>
      </c>
      <c r="AH73" s="23" t="s">
        <v>223</v>
      </c>
      <c r="AJ73" s="164">
        <f t="shared" si="7"/>
        <v>0.66666666666666663</v>
      </c>
      <c r="AK73" s="164" t="str">
        <f t="shared" si="8"/>
        <v>#</v>
      </c>
      <c r="AL73" s="164" t="str">
        <f t="shared" si="9"/>
        <v>#</v>
      </c>
      <c r="AM73" s="164">
        <f t="shared" si="13"/>
        <v>0.66666666666666663</v>
      </c>
    </row>
    <row r="74" spans="1:39" ht="15">
      <c r="A74" s="5" t="s">
        <v>843</v>
      </c>
      <c r="B74" s="6">
        <v>0</v>
      </c>
      <c r="C74" s="47" t="s">
        <v>892</v>
      </c>
      <c r="D74" s="59" t="s">
        <v>72</v>
      </c>
      <c r="E74" s="19" t="s">
        <v>223</v>
      </c>
      <c r="F74" s="23" t="s">
        <v>223</v>
      </c>
      <c r="G74" s="59" t="s">
        <v>1</v>
      </c>
      <c r="H74" s="19" t="s">
        <v>223</v>
      </c>
      <c r="I74" s="23" t="s">
        <v>223</v>
      </c>
      <c r="J74" s="59" t="s">
        <v>1</v>
      </c>
      <c r="K74" s="19" t="s">
        <v>223</v>
      </c>
      <c r="L74" s="23" t="s">
        <v>223</v>
      </c>
      <c r="M74" s="59" t="s">
        <v>72</v>
      </c>
      <c r="N74" s="19" t="s">
        <v>223</v>
      </c>
      <c r="O74" s="23" t="s">
        <v>223</v>
      </c>
      <c r="P74" s="19" t="s">
        <v>1</v>
      </c>
      <c r="Q74" s="19" t="s">
        <v>223</v>
      </c>
      <c r="R74" s="23" t="s">
        <v>223</v>
      </c>
      <c r="S74" s="59" t="s">
        <v>72</v>
      </c>
      <c r="T74" s="19" t="s">
        <v>223</v>
      </c>
      <c r="U74" s="19" t="s">
        <v>223</v>
      </c>
      <c r="V74" s="19" t="s">
        <v>223</v>
      </c>
      <c r="W74" s="23" t="s">
        <v>223</v>
      </c>
      <c r="X74" s="59" t="s">
        <v>1</v>
      </c>
      <c r="Y74" s="19" t="s">
        <v>223</v>
      </c>
      <c r="Z74" s="23" t="s">
        <v>223</v>
      </c>
      <c r="AA74" s="19" t="s">
        <v>73</v>
      </c>
      <c r="AB74" s="19" t="s">
        <v>223</v>
      </c>
      <c r="AC74" s="19" t="s">
        <v>223</v>
      </c>
      <c r="AD74" s="19" t="s">
        <v>223</v>
      </c>
      <c r="AE74" s="23" t="s">
        <v>223</v>
      </c>
      <c r="AF74" s="59" t="s">
        <v>72</v>
      </c>
      <c r="AG74" s="19" t="s">
        <v>223</v>
      </c>
      <c r="AH74" s="23" t="s">
        <v>223</v>
      </c>
      <c r="AJ74" s="164">
        <f t="shared" si="7"/>
        <v>0.44444444444444442</v>
      </c>
      <c r="AK74" s="164" t="str">
        <f t="shared" si="8"/>
        <v>#</v>
      </c>
      <c r="AL74" s="164" t="str">
        <f t="shared" si="9"/>
        <v>#</v>
      </c>
      <c r="AM74" s="164">
        <f t="shared" ref="AM74:AM75" si="14">AVERAGE(AJ74:AL74)</f>
        <v>0.44444444444444442</v>
      </c>
    </row>
    <row r="75" spans="1:39" ht="15">
      <c r="A75" s="5" t="s">
        <v>877</v>
      </c>
      <c r="B75" s="6">
        <v>0</v>
      </c>
      <c r="C75" s="47" t="s">
        <v>845</v>
      </c>
      <c r="D75" s="59" t="s">
        <v>223</v>
      </c>
      <c r="E75" s="19" t="s">
        <v>223</v>
      </c>
      <c r="F75" s="23" t="s">
        <v>72</v>
      </c>
      <c r="G75" s="59" t="s">
        <v>223</v>
      </c>
      <c r="H75" s="19" t="s">
        <v>223</v>
      </c>
      <c r="I75" s="19" t="s">
        <v>1</v>
      </c>
      <c r="J75" s="59" t="s">
        <v>223</v>
      </c>
      <c r="K75" s="19" t="s">
        <v>223</v>
      </c>
      <c r="L75" s="19" t="s">
        <v>1</v>
      </c>
      <c r="M75" s="59" t="s">
        <v>223</v>
      </c>
      <c r="N75" s="19" t="s">
        <v>223</v>
      </c>
      <c r="O75" s="19" t="s">
        <v>72</v>
      </c>
      <c r="P75" s="59" t="s">
        <v>223</v>
      </c>
      <c r="Q75" s="19" t="s">
        <v>223</v>
      </c>
      <c r="R75" s="23" t="s">
        <v>223</v>
      </c>
      <c r="S75" s="59" t="s">
        <v>223</v>
      </c>
      <c r="T75" s="19" t="s">
        <v>223</v>
      </c>
      <c r="U75" s="19" t="s">
        <v>223</v>
      </c>
      <c r="V75" s="19" t="s">
        <v>72</v>
      </c>
      <c r="W75" s="23" t="s">
        <v>223</v>
      </c>
      <c r="X75" s="59" t="s">
        <v>223</v>
      </c>
      <c r="Y75" s="19" t="s">
        <v>223</v>
      </c>
      <c r="Z75" s="23" t="s">
        <v>223</v>
      </c>
      <c r="AA75" s="59" t="s">
        <v>223</v>
      </c>
      <c r="AB75" s="19" t="s">
        <v>223</v>
      </c>
      <c r="AC75" s="19" t="s">
        <v>223</v>
      </c>
      <c r="AD75" s="19" t="s">
        <v>1</v>
      </c>
      <c r="AE75" s="23" t="s">
        <v>223</v>
      </c>
      <c r="AF75" s="59" t="s">
        <v>223</v>
      </c>
      <c r="AG75" s="19" t="s">
        <v>223</v>
      </c>
      <c r="AH75" s="23" t="s">
        <v>72</v>
      </c>
      <c r="AJ75" s="164" t="str">
        <f t="shared" si="7"/>
        <v>#</v>
      </c>
      <c r="AK75" s="164" t="str">
        <f t="shared" si="8"/>
        <v>#</v>
      </c>
      <c r="AL75" s="164">
        <f t="shared" si="9"/>
        <v>0.5714285714285714</v>
      </c>
      <c r="AM75" s="164">
        <f t="shared" si="14"/>
        <v>0.5714285714285714</v>
      </c>
    </row>
    <row r="76" spans="1:39" ht="15">
      <c r="A76" s="5" t="s">
        <v>904</v>
      </c>
      <c r="B76" s="6">
        <v>0</v>
      </c>
      <c r="C76" s="47" t="s">
        <v>893</v>
      </c>
      <c r="D76" s="59" t="s">
        <v>223</v>
      </c>
      <c r="E76" s="19" t="s">
        <v>223</v>
      </c>
      <c r="F76" s="23" t="s">
        <v>72</v>
      </c>
      <c r="G76" s="59" t="s">
        <v>223</v>
      </c>
      <c r="H76" s="19" t="s">
        <v>223</v>
      </c>
      <c r="I76" s="19" t="s">
        <v>1</v>
      </c>
      <c r="J76" s="59" t="s">
        <v>223</v>
      </c>
      <c r="K76" s="19" t="s">
        <v>223</v>
      </c>
      <c r="L76" s="19" t="s">
        <v>1</v>
      </c>
      <c r="M76" s="59" t="s">
        <v>223</v>
      </c>
      <c r="N76" s="19" t="s">
        <v>223</v>
      </c>
      <c r="O76" s="19" t="s">
        <v>72</v>
      </c>
      <c r="P76" s="59" t="s">
        <v>223</v>
      </c>
      <c r="Q76" s="19" t="s">
        <v>223</v>
      </c>
      <c r="R76" s="23" t="s">
        <v>223</v>
      </c>
      <c r="S76" s="59" t="s">
        <v>223</v>
      </c>
      <c r="T76" s="19" t="s">
        <v>223</v>
      </c>
      <c r="U76" s="19" t="s">
        <v>223</v>
      </c>
      <c r="V76" s="19" t="s">
        <v>72</v>
      </c>
      <c r="W76" s="23" t="s">
        <v>223</v>
      </c>
      <c r="X76" s="59" t="s">
        <v>223</v>
      </c>
      <c r="Y76" s="19" t="s">
        <v>223</v>
      </c>
      <c r="Z76" s="23" t="s">
        <v>223</v>
      </c>
      <c r="AA76" s="59" t="s">
        <v>223</v>
      </c>
      <c r="AB76" s="19" t="s">
        <v>223</v>
      </c>
      <c r="AC76" s="19" t="s">
        <v>223</v>
      </c>
      <c r="AD76" s="19" t="s">
        <v>1</v>
      </c>
      <c r="AE76" s="23" t="s">
        <v>223</v>
      </c>
      <c r="AF76" s="59" t="s">
        <v>223</v>
      </c>
      <c r="AG76" s="19" t="s">
        <v>223</v>
      </c>
      <c r="AH76" s="23" t="s">
        <v>72</v>
      </c>
      <c r="AJ76" s="164" t="str">
        <f t="shared" si="7"/>
        <v>#</v>
      </c>
      <c r="AK76" s="164" t="str">
        <f t="shared" si="8"/>
        <v>#</v>
      </c>
      <c r="AL76" s="164">
        <f t="shared" si="9"/>
        <v>0.5714285714285714</v>
      </c>
      <c r="AM76" s="164">
        <f t="shared" ref="AM76:AM77" si="15">AVERAGE(AJ76:AL76)</f>
        <v>0.5714285714285714</v>
      </c>
    </row>
    <row r="77" spans="1:39" ht="15">
      <c r="A77" s="5" t="s">
        <v>905</v>
      </c>
      <c r="B77" s="6">
        <v>0</v>
      </c>
      <c r="C77" s="47" t="s">
        <v>894</v>
      </c>
      <c r="D77" s="59" t="s">
        <v>223</v>
      </c>
      <c r="E77" s="19" t="s">
        <v>223</v>
      </c>
      <c r="F77" s="23" t="s">
        <v>72</v>
      </c>
      <c r="G77" s="59" t="s">
        <v>223</v>
      </c>
      <c r="H77" s="19" t="s">
        <v>223</v>
      </c>
      <c r="I77" s="19" t="s">
        <v>1</v>
      </c>
      <c r="J77" s="59" t="s">
        <v>223</v>
      </c>
      <c r="K77" s="19" t="s">
        <v>223</v>
      </c>
      <c r="L77" s="19" t="s">
        <v>1</v>
      </c>
      <c r="M77" s="59" t="s">
        <v>223</v>
      </c>
      <c r="N77" s="19" t="s">
        <v>223</v>
      </c>
      <c r="O77" s="19" t="s">
        <v>72</v>
      </c>
      <c r="P77" s="59" t="s">
        <v>223</v>
      </c>
      <c r="Q77" s="19" t="s">
        <v>223</v>
      </c>
      <c r="R77" s="23" t="s">
        <v>223</v>
      </c>
      <c r="S77" s="59" t="s">
        <v>223</v>
      </c>
      <c r="T77" s="19" t="s">
        <v>223</v>
      </c>
      <c r="U77" s="19" t="s">
        <v>223</v>
      </c>
      <c r="V77" s="19" t="s">
        <v>72</v>
      </c>
      <c r="W77" s="23" t="s">
        <v>223</v>
      </c>
      <c r="X77" s="59" t="s">
        <v>223</v>
      </c>
      <c r="Y77" s="19" t="s">
        <v>223</v>
      </c>
      <c r="Z77" s="23" t="s">
        <v>223</v>
      </c>
      <c r="AA77" s="59" t="s">
        <v>223</v>
      </c>
      <c r="AB77" s="19" t="s">
        <v>223</v>
      </c>
      <c r="AC77" s="19" t="s">
        <v>223</v>
      </c>
      <c r="AD77" s="19" t="s">
        <v>1</v>
      </c>
      <c r="AE77" s="23" t="s">
        <v>223</v>
      </c>
      <c r="AF77" s="59" t="s">
        <v>223</v>
      </c>
      <c r="AG77" s="19" t="s">
        <v>223</v>
      </c>
      <c r="AH77" s="23" t="s">
        <v>72</v>
      </c>
      <c r="AJ77" s="164" t="str">
        <f t="shared" si="7"/>
        <v>#</v>
      </c>
      <c r="AK77" s="164" t="str">
        <f t="shared" si="8"/>
        <v>#</v>
      </c>
      <c r="AL77" s="164">
        <f t="shared" si="9"/>
        <v>0.5714285714285714</v>
      </c>
      <c r="AM77" s="164">
        <f t="shared" si="15"/>
        <v>0.5714285714285714</v>
      </c>
    </row>
    <row r="78" spans="1:39" ht="15">
      <c r="A78" s="5"/>
      <c r="B78" s="6"/>
      <c r="C78" s="44"/>
      <c r="D78" s="19"/>
      <c r="F78" s="19"/>
      <c r="G78" s="19"/>
      <c r="I78" s="19"/>
      <c r="J78" s="19"/>
      <c r="L78" s="19"/>
      <c r="M78" s="19"/>
      <c r="P78" s="19"/>
      <c r="Q78" s="19"/>
      <c r="R78" s="19"/>
      <c r="S78" s="19"/>
      <c r="X78" s="19"/>
      <c r="Z78" s="19"/>
      <c r="AA78" s="19"/>
      <c r="AF78" s="19"/>
      <c r="AH78" s="19"/>
      <c r="AJ78" s="164"/>
      <c r="AK78" s="164"/>
      <c r="AL78" s="164"/>
      <c r="AM78" s="164"/>
    </row>
    <row r="80" spans="1:39" ht="15">
      <c r="A80" s="192" t="s">
        <v>459</v>
      </c>
      <c r="B80" s="192"/>
      <c r="C80" s="192"/>
    </row>
    <row r="81" spans="1:41" ht="15">
      <c r="A81" s="44" t="s">
        <v>589</v>
      </c>
      <c r="B81" s="163">
        <v>1</v>
      </c>
      <c r="C81" s="47" t="s">
        <v>35</v>
      </c>
      <c r="AI81" s="97"/>
      <c r="AJ81" s="99">
        <f>AVERAGE(AJ4:AJ77)</f>
        <v>0.5357142857142857</v>
      </c>
      <c r="AK81" s="99">
        <f>AVERAGE(AK4:AK77)</f>
        <v>0.75</v>
      </c>
      <c r="AL81" s="99">
        <f>AVERAGE(AL4:AL77)</f>
        <v>0.61185983827493307</v>
      </c>
      <c r="AM81" s="99">
        <f>AVERAGE(AM4:AM77)</f>
        <v>0.57564707564707529</v>
      </c>
      <c r="AN81" s="101" t="s">
        <v>312</v>
      </c>
    </row>
    <row r="82" spans="1:41" ht="15">
      <c r="A82" s="44" t="s">
        <v>589</v>
      </c>
      <c r="B82" s="163">
        <v>2</v>
      </c>
      <c r="C82" s="47" t="s">
        <v>35</v>
      </c>
      <c r="AI82" s="97"/>
      <c r="AN82" s="101"/>
    </row>
    <row r="83" spans="1:41" ht="15">
      <c r="A83" s="44" t="s">
        <v>56</v>
      </c>
      <c r="B83" s="163">
        <v>0</v>
      </c>
      <c r="C83" s="47" t="s">
        <v>31</v>
      </c>
      <c r="AI83" s="97"/>
      <c r="AN83" s="101"/>
    </row>
    <row r="84" spans="1:41" ht="15">
      <c r="A84" s="44" t="s">
        <v>591</v>
      </c>
      <c r="B84" s="163">
        <v>0</v>
      </c>
      <c r="C84" s="47" t="s">
        <v>748</v>
      </c>
      <c r="AI84" s="98" t="s">
        <v>298</v>
      </c>
      <c r="AJ84" s="99">
        <f>COUNTIF(AJ$4:AJ$77,"&lt;0.6")/COUNT(AJ$4:AJ$77)</f>
        <v>0.7142857142857143</v>
      </c>
      <c r="AK84" s="99">
        <f>COUNTIF(AK$4:AK$77,"&lt;0.6")/COUNT(AK$4:AK$77)</f>
        <v>0</v>
      </c>
      <c r="AL84" s="99">
        <f>COUNTIF(AL$4:AL$77,"&lt;0.6")/COUNT(AL$4:AL$77)</f>
        <v>0.62264150943396224</v>
      </c>
      <c r="AM84" s="99">
        <f>COUNTIF(AM$4:AM$77,"&lt;0.6")/COUNT(AM$4:AM$77)</f>
        <v>0.63513513513513509</v>
      </c>
      <c r="AN84" s="102">
        <f>COUNT(AM4:AM77)*AM84</f>
        <v>47</v>
      </c>
    </row>
    <row r="85" spans="1:41" ht="15">
      <c r="A85" s="44" t="s">
        <v>272</v>
      </c>
      <c r="B85" s="163">
        <v>2</v>
      </c>
      <c r="C85" s="47" t="s">
        <v>767</v>
      </c>
      <c r="AI85" s="98" t="s">
        <v>299</v>
      </c>
      <c r="AJ85" s="99">
        <f>COUNTIF(AJ$4:AJ$77,"&lt;=0.8")/COUNT(AJ$4:AJ$77)-AJ$84</f>
        <v>0.2857142857142857</v>
      </c>
      <c r="AK85" s="99">
        <f>COUNTIF(AK$4:AK$77,"&lt;=0.8")/COUNT(AK$4:AK$77)-AK$84</f>
        <v>1</v>
      </c>
      <c r="AL85" s="99">
        <f>COUNTIF(AL$4:AL$77,"&lt;=0.8")/COUNT(AL$4:AL$77)-AL$84</f>
        <v>0.37735849056603776</v>
      </c>
      <c r="AM85" s="99">
        <f>COUNTIF(AM$4:AM$77,"&lt;=0.8")/COUNT(AM$4:AM$77)-AM$84</f>
        <v>0.36486486486486491</v>
      </c>
      <c r="AN85" s="102">
        <f>COUNT(AM4:AM77)*AM85</f>
        <v>27.000000000000004</v>
      </c>
    </row>
    <row r="86" spans="1:41" ht="16" thickBot="1">
      <c r="A86" s="44" t="s">
        <v>332</v>
      </c>
      <c r="B86" s="163">
        <v>0</v>
      </c>
      <c r="C86" s="47" t="s">
        <v>780</v>
      </c>
      <c r="AI86" s="98" t="s">
        <v>300</v>
      </c>
      <c r="AJ86" s="99">
        <f>COUNTIF(AJ$4:AJ$77,"&gt;0.8")/COUNT(AJ$4:AJ$77)</f>
        <v>0</v>
      </c>
      <c r="AK86" s="99">
        <f>COUNTIF(AK$4:AK$77,"&gt;0.8")/COUNT(AK$4:AK$77)</f>
        <v>0</v>
      </c>
      <c r="AL86" s="99">
        <f>COUNTIF(AL$4:AL$77,"&gt;0.8")/COUNT(AL$4:AL$77)</f>
        <v>0</v>
      </c>
      <c r="AM86" s="99">
        <f>COUNTIF(AM$4:AM$77,"&gt;0.8")/COUNT(AM$4:AM$77)</f>
        <v>0</v>
      </c>
      <c r="AN86" s="102">
        <f>COUNT(AM4:AM77)*AM86</f>
        <v>0</v>
      </c>
    </row>
    <row r="87" spans="1:41" ht="16" thickBot="1">
      <c r="A87" s="44" t="s">
        <v>395</v>
      </c>
      <c r="B87" s="163">
        <v>0</v>
      </c>
      <c r="C87" s="47" t="s">
        <v>774</v>
      </c>
      <c r="AI87" s="103"/>
      <c r="AJ87" s="100"/>
      <c r="AK87" s="100"/>
      <c r="AL87" s="100"/>
      <c r="AM87" s="100"/>
      <c r="AN87" s="101"/>
    </row>
    <row r="88" spans="1:41" ht="15">
      <c r="A88" s="44" t="s">
        <v>402</v>
      </c>
      <c r="B88" s="163">
        <v>0</v>
      </c>
      <c r="C88" s="47" t="s">
        <v>757</v>
      </c>
      <c r="AI88" s="103" t="s">
        <v>298</v>
      </c>
      <c r="AJ88" s="100">
        <f>COUNTIF(AJ$4:AJ$77,"&lt;0.6")</f>
        <v>40</v>
      </c>
      <c r="AK88" s="100">
        <f>COUNTIF(AK$4:AK$77,"&lt;0.6")</f>
        <v>0</v>
      </c>
      <c r="AL88" s="100">
        <f>COUNTIF(AL$4:AL$77,"&lt;0.6")</f>
        <v>33</v>
      </c>
      <c r="AM88" s="100">
        <f>COUNTIF(AM$4:AM$77,"&lt;0.6")</f>
        <v>47</v>
      </c>
      <c r="AN88" s="101">
        <f>AM88</f>
        <v>47</v>
      </c>
    </row>
    <row r="89" spans="1:41" ht="15">
      <c r="A89" s="44" t="s">
        <v>722</v>
      </c>
      <c r="B89" s="163">
        <v>0</v>
      </c>
      <c r="C89" s="47" t="s">
        <v>762</v>
      </c>
      <c r="AI89" s="98" t="s">
        <v>299</v>
      </c>
      <c r="AJ89" s="120">
        <f>COUNTIF(AJ$4:AJ$77,"&lt;=0.8")-AJ88</f>
        <v>16</v>
      </c>
      <c r="AK89" s="120">
        <f>COUNTIF(AK$4:AK$77,"&lt;=0.8")-AK88</f>
        <v>11</v>
      </c>
      <c r="AL89" s="120">
        <f>COUNTIF(AL$4:AL$77,"&lt;=0.8")-AL88</f>
        <v>20</v>
      </c>
      <c r="AM89" s="120">
        <f>COUNTIF(AM$4:AM$77,"&lt;=0.8")-AM88</f>
        <v>27</v>
      </c>
      <c r="AN89" s="101">
        <f>AM89</f>
        <v>27</v>
      </c>
    </row>
    <row r="90" spans="1:41" ht="15">
      <c r="A90" s="44" t="s">
        <v>731</v>
      </c>
      <c r="B90" s="163">
        <v>2</v>
      </c>
      <c r="C90" s="47" t="s">
        <v>765</v>
      </c>
      <c r="AI90" s="98" t="s">
        <v>300</v>
      </c>
      <c r="AJ90">
        <f>COUNTIF(AJ$4:AJ$77,"&gt;0.8")</f>
        <v>0</v>
      </c>
      <c r="AK90">
        <f>COUNTIF(AK$4:AK$77,"&gt;0.8")</f>
        <v>0</v>
      </c>
      <c r="AL90">
        <f>COUNTIF(AL$4:AL$77,"&gt;0.8")</f>
        <v>0</v>
      </c>
      <c r="AM90">
        <f>COUNTIF(AM$4:AM$77,"&gt;0.8")</f>
        <v>0</v>
      </c>
      <c r="AN90" s="98">
        <f>AM90</f>
        <v>0</v>
      </c>
      <c r="AO90" s="98"/>
    </row>
    <row r="91" spans="1:41" ht="15">
      <c r="A91" s="44" t="s">
        <v>734</v>
      </c>
      <c r="B91" s="163">
        <v>0</v>
      </c>
      <c r="C91" s="47" t="s">
        <v>778</v>
      </c>
      <c r="AI91" s="98"/>
      <c r="AN91" s="97"/>
      <c r="AO91" s="98"/>
    </row>
    <row r="92" spans="1:41" ht="16" thickBot="1">
      <c r="A92" s="5" t="s">
        <v>788</v>
      </c>
      <c r="B92" s="6">
        <v>1</v>
      </c>
      <c r="C92" s="47" t="s">
        <v>819</v>
      </c>
      <c r="AI92" s="151" t="s">
        <v>120</v>
      </c>
      <c r="AJ92" s="89">
        <f>SUM(AJ88:AJ90)</f>
        <v>56</v>
      </c>
      <c r="AK92" s="89">
        <f>SUM(AK88:AK90)</f>
        <v>11</v>
      </c>
      <c r="AL92" s="89">
        <f>SUM(AL88:AL90)</f>
        <v>53</v>
      </c>
      <c r="AM92" s="89">
        <f>SUM(AM88:AM90)</f>
        <v>74</v>
      </c>
      <c r="AN92" s="152">
        <f>SUM(AN88:AN90)</f>
        <v>74</v>
      </c>
      <c r="AO92" s="98"/>
    </row>
    <row r="93" spans="1:41" ht="15">
      <c r="A93" s="5" t="s">
        <v>788</v>
      </c>
      <c r="B93" s="6">
        <v>2</v>
      </c>
      <c r="C93" s="47" t="s">
        <v>819</v>
      </c>
    </row>
    <row r="96" spans="1:41" ht="15">
      <c r="A96" s="5"/>
      <c r="B96" s="5"/>
      <c r="C96" s="5"/>
    </row>
    <row r="97" spans="1:3" ht="15">
      <c r="A97" s="5"/>
      <c r="B97" s="5"/>
      <c r="C97" s="5"/>
    </row>
    <row r="98" spans="1:3" ht="15">
      <c r="A98" s="5"/>
      <c r="B98" s="5"/>
      <c r="C98" s="5"/>
    </row>
    <row r="99" spans="1:3" ht="15">
      <c r="A99" s="5"/>
      <c r="B99" s="5"/>
      <c r="C99" s="5"/>
    </row>
    <row r="100" spans="1:3" ht="15">
      <c r="A100" s="5"/>
      <c r="B100" s="5"/>
      <c r="C100" s="5"/>
    </row>
    <row r="101" spans="1:3" ht="15">
      <c r="A101" s="5"/>
      <c r="B101" s="5"/>
      <c r="C101" s="5"/>
    </row>
    <row r="102" spans="1:3" ht="15">
      <c r="A102" s="5"/>
      <c r="B102" s="5"/>
      <c r="C102" s="5"/>
    </row>
    <row r="103" spans="1:3" ht="15">
      <c r="A103" s="5"/>
      <c r="B103" s="5"/>
      <c r="C103" s="5"/>
    </row>
    <row r="104" spans="1:3" ht="15">
      <c r="A104" s="5"/>
      <c r="B104" s="5"/>
      <c r="C104" s="5"/>
    </row>
    <row r="105" spans="1:3" ht="15">
      <c r="A105" s="5"/>
      <c r="B105" s="5"/>
      <c r="C105" s="5"/>
    </row>
    <row r="106" spans="1:3" ht="15">
      <c r="A106" s="5"/>
      <c r="B106" s="5"/>
      <c r="C106" s="5"/>
    </row>
    <row r="107" spans="1:3" ht="15">
      <c r="A107" s="5"/>
      <c r="B107" s="5"/>
      <c r="C107" s="5"/>
    </row>
    <row r="108" spans="1:3" ht="15">
      <c r="A108" s="5"/>
      <c r="B108" s="5"/>
      <c r="C108" s="5"/>
    </row>
    <row r="109" spans="1:3" ht="15">
      <c r="A109" s="5"/>
      <c r="B109" s="5"/>
      <c r="C109" s="5"/>
    </row>
    <row r="110" spans="1:3" ht="15">
      <c r="A110" s="5"/>
      <c r="B110" s="5"/>
      <c r="C110" s="5"/>
    </row>
    <row r="111" spans="1:3" ht="15">
      <c r="A111" s="5"/>
      <c r="B111" s="5"/>
      <c r="C111" s="5"/>
    </row>
    <row r="112" spans="1:3" ht="15">
      <c r="A112" s="5"/>
      <c r="B112" s="5"/>
      <c r="C112" s="5"/>
    </row>
    <row r="113" spans="1:3" ht="15">
      <c r="A113" s="5"/>
      <c r="B113" s="5"/>
      <c r="C113" s="5"/>
    </row>
    <row r="114" spans="1:3" ht="15">
      <c r="A114" s="5"/>
      <c r="B114" s="5"/>
      <c r="C114" s="5"/>
    </row>
    <row r="115" spans="1:3" ht="15">
      <c r="A115" s="5"/>
      <c r="B115" s="5"/>
      <c r="C115" s="5"/>
    </row>
    <row r="116" spans="1:3" ht="15">
      <c r="A116" s="5"/>
      <c r="B116" s="5"/>
      <c r="C116" s="5"/>
    </row>
    <row r="117" spans="1:3" ht="15">
      <c r="A117" s="5"/>
      <c r="B117" s="5"/>
      <c r="C117" s="5"/>
    </row>
    <row r="118" spans="1:3" ht="15">
      <c r="A118" s="5"/>
      <c r="B118" s="5"/>
      <c r="C118" s="5"/>
    </row>
    <row r="119" spans="1:3" ht="15">
      <c r="A119" s="5"/>
      <c r="B119" s="5"/>
      <c r="C119" s="5"/>
    </row>
    <row r="120" spans="1:3" ht="15">
      <c r="A120" s="5"/>
      <c r="B120" s="5"/>
      <c r="C120" s="5"/>
    </row>
    <row r="121" spans="1:3" ht="15">
      <c r="A121" s="5"/>
      <c r="B121" s="5"/>
      <c r="C121" s="5"/>
    </row>
    <row r="122" spans="1:3" ht="15">
      <c r="A122" s="5"/>
      <c r="B122" s="5"/>
      <c r="C122" s="5"/>
    </row>
    <row r="123" spans="1:3" ht="15">
      <c r="A123" s="5"/>
      <c r="B123" s="5"/>
      <c r="C123" s="5"/>
    </row>
    <row r="124" spans="1:3" ht="15">
      <c r="A124" s="5"/>
      <c r="B124" s="5"/>
      <c r="C124" s="5"/>
    </row>
    <row r="125" spans="1:3" ht="15">
      <c r="A125" s="5"/>
      <c r="B125" s="5"/>
      <c r="C125" s="5"/>
    </row>
    <row r="126" spans="1:3" ht="15">
      <c r="A126" s="5"/>
      <c r="B126" s="5"/>
      <c r="C126" s="5"/>
    </row>
    <row r="127" spans="1:3" ht="15">
      <c r="A127" s="5"/>
      <c r="B127" s="5"/>
      <c r="C127" s="5"/>
    </row>
    <row r="128" spans="1:3" ht="15">
      <c r="A128" s="5"/>
      <c r="B128" s="5"/>
      <c r="C128" s="5"/>
    </row>
    <row r="129" spans="1:3" ht="15">
      <c r="A129" s="5"/>
      <c r="B129" s="5"/>
      <c r="C129" s="5"/>
    </row>
    <row r="130" spans="1:3" ht="15">
      <c r="A130" s="5"/>
      <c r="B130" s="5"/>
      <c r="C130" s="5"/>
    </row>
    <row r="131" spans="1:3" ht="15">
      <c r="A131" s="5"/>
      <c r="B131" s="5"/>
      <c r="C131" s="5"/>
    </row>
    <row r="132" spans="1:3" ht="15">
      <c r="A132" s="5"/>
      <c r="B132" s="5"/>
      <c r="C132" s="5"/>
    </row>
    <row r="133" spans="1:3" ht="15">
      <c r="A133" s="5"/>
      <c r="B133" s="5"/>
      <c r="C133" s="5"/>
    </row>
    <row r="134" spans="1:3" ht="15">
      <c r="A134" s="5"/>
      <c r="B134" s="5"/>
      <c r="C134" s="5"/>
    </row>
    <row r="135" spans="1:3" ht="15">
      <c r="A135" s="5"/>
      <c r="B135" s="5"/>
      <c r="C135" s="5"/>
    </row>
    <row r="136" spans="1:3" ht="15">
      <c r="A136" s="5"/>
      <c r="B136" s="5"/>
      <c r="C136" s="5"/>
    </row>
    <row r="137" spans="1:3" ht="15">
      <c r="A137" s="5"/>
      <c r="B137" s="5"/>
      <c r="C137" s="5"/>
    </row>
    <row r="138" spans="1:3" ht="15">
      <c r="A138" s="5"/>
      <c r="B138" s="5"/>
      <c r="C138" s="5"/>
    </row>
    <row r="139" spans="1:3" ht="15">
      <c r="A139" s="5"/>
      <c r="B139" s="5"/>
      <c r="C139" s="5"/>
    </row>
    <row r="140" spans="1:3" ht="15">
      <c r="A140" s="5"/>
      <c r="B140" s="5"/>
      <c r="C140" s="5"/>
    </row>
    <row r="141" spans="1:3" ht="15">
      <c r="A141" s="5"/>
      <c r="B141" s="5"/>
      <c r="C141" s="5"/>
    </row>
    <row r="142" spans="1:3" ht="15">
      <c r="A142" s="5"/>
      <c r="B142" s="5"/>
      <c r="C142" s="5"/>
    </row>
    <row r="143" spans="1:3" ht="15">
      <c r="A143" s="5"/>
      <c r="B143" s="5"/>
      <c r="C143" s="5"/>
    </row>
    <row r="144" spans="1:3" ht="15">
      <c r="A144" s="5"/>
      <c r="B144" s="5"/>
      <c r="C144" s="5"/>
    </row>
    <row r="145" spans="1:3" ht="15">
      <c r="A145" s="5"/>
      <c r="B145" s="5"/>
      <c r="C145" s="5"/>
    </row>
    <row r="146" spans="1:3" ht="15">
      <c r="A146" s="5"/>
      <c r="B146" s="5"/>
      <c r="C146" s="5"/>
    </row>
    <row r="147" spans="1:3" ht="15">
      <c r="A147" s="5"/>
      <c r="B147" s="5"/>
      <c r="C147" s="5"/>
    </row>
    <row r="148" spans="1:3" ht="15">
      <c r="A148" s="5"/>
      <c r="B148" s="5"/>
      <c r="C148" s="5"/>
    </row>
    <row r="149" spans="1:3" ht="15">
      <c r="A149" s="5"/>
      <c r="B149" s="5"/>
      <c r="C149" s="5"/>
    </row>
    <row r="150" spans="1:3" ht="15">
      <c r="A150" s="5"/>
      <c r="B150" s="5"/>
      <c r="C150" s="5"/>
    </row>
    <row r="151" spans="1:3" ht="15">
      <c r="A151" s="5"/>
      <c r="B151" s="5"/>
      <c r="C151" s="5"/>
    </row>
    <row r="152" spans="1:3" ht="15">
      <c r="A152" s="5"/>
      <c r="B152" s="5"/>
      <c r="C152" s="5"/>
    </row>
    <row r="153" spans="1:3" ht="15">
      <c r="A153" s="5"/>
      <c r="B153" s="5"/>
      <c r="C153" s="5"/>
    </row>
    <row r="154" spans="1:3" ht="15">
      <c r="A154" s="5"/>
      <c r="B154" s="5"/>
      <c r="C154" s="5"/>
    </row>
    <row r="155" spans="1:3" ht="15">
      <c r="A155" s="5"/>
      <c r="B155" s="5"/>
      <c r="C155" s="5"/>
    </row>
    <row r="156" spans="1:3" ht="15">
      <c r="A156" s="5"/>
      <c r="B156" s="5"/>
      <c r="C156" s="5"/>
    </row>
    <row r="157" spans="1:3" ht="15">
      <c r="A157" s="5"/>
      <c r="B157" s="5"/>
      <c r="C157" s="5"/>
    </row>
    <row r="158" spans="1:3" ht="15">
      <c r="A158" s="5"/>
      <c r="B158" s="5"/>
      <c r="C158" s="5"/>
    </row>
    <row r="159" spans="1:3" ht="15">
      <c r="A159" s="5"/>
      <c r="B159" s="5"/>
      <c r="C159" s="5"/>
    </row>
    <row r="160" spans="1:3" ht="15">
      <c r="A160" s="5"/>
      <c r="B160" s="5"/>
      <c r="C160" s="5"/>
    </row>
    <row r="161" spans="1:3" ht="15">
      <c r="A161" s="5"/>
      <c r="B161" s="5"/>
      <c r="C161" s="5"/>
    </row>
    <row r="162" spans="1:3" ht="15">
      <c r="A162" s="5"/>
      <c r="B162" s="5"/>
      <c r="C162" s="5"/>
    </row>
    <row r="163" spans="1:3" ht="15">
      <c r="A163" s="5"/>
      <c r="B163" s="5"/>
      <c r="C163" s="5"/>
    </row>
    <row r="164" spans="1:3" ht="15">
      <c r="A164" s="5"/>
      <c r="B164" s="5"/>
      <c r="C164" s="5"/>
    </row>
    <row r="165" spans="1:3" ht="15">
      <c r="A165" s="5"/>
      <c r="B165" s="5"/>
      <c r="C165" s="5"/>
    </row>
    <row r="166" spans="1:3" ht="15">
      <c r="A166" s="5"/>
      <c r="B166" s="5"/>
      <c r="C166" s="5"/>
    </row>
    <row r="167" spans="1:3" ht="15">
      <c r="A167" s="5"/>
      <c r="B167" s="5"/>
      <c r="C167" s="5"/>
    </row>
    <row r="168" spans="1:3" ht="15">
      <c r="A168" s="5"/>
      <c r="B168" s="5"/>
      <c r="C168" s="5"/>
    </row>
    <row r="169" spans="1:3" ht="15">
      <c r="A169" s="5"/>
      <c r="B169" s="5"/>
      <c r="C169" s="5"/>
    </row>
    <row r="170" spans="1:3" ht="15">
      <c r="A170" s="5"/>
      <c r="B170" s="5"/>
      <c r="C170" s="5"/>
    </row>
    <row r="171" spans="1:3" ht="15">
      <c r="A171" s="5"/>
      <c r="B171" s="5"/>
      <c r="C171" s="5"/>
    </row>
    <row r="172" spans="1:3" ht="15">
      <c r="A172" s="5"/>
      <c r="B172" s="5"/>
      <c r="C172" s="5"/>
    </row>
    <row r="173" spans="1:3" ht="15">
      <c r="A173" s="5"/>
      <c r="B173" s="5"/>
      <c r="C173" s="5"/>
    </row>
    <row r="174" spans="1:3" ht="15">
      <c r="A174" s="5"/>
      <c r="B174" s="5"/>
      <c r="C174" s="5"/>
    </row>
    <row r="175" spans="1:3" ht="15">
      <c r="A175" s="5"/>
      <c r="B175" s="5"/>
      <c r="C175" s="5"/>
    </row>
    <row r="176" spans="1:3" ht="15">
      <c r="A176" s="5"/>
      <c r="B176" s="5"/>
      <c r="C176" s="5"/>
    </row>
    <row r="177" spans="1:3" ht="15">
      <c r="A177" s="7"/>
      <c r="B177" s="7"/>
      <c r="C177" s="7"/>
    </row>
    <row r="178" spans="1:3" ht="15">
      <c r="A178" s="7"/>
      <c r="B178" s="7"/>
      <c r="C178" s="7"/>
    </row>
    <row r="179" spans="1:3" ht="15">
      <c r="A179" s="7"/>
      <c r="B179" s="7"/>
      <c r="C179" s="7"/>
    </row>
    <row r="180" spans="1:3" ht="15">
      <c r="A180" s="7"/>
      <c r="B180" s="7"/>
      <c r="C180" s="7"/>
    </row>
    <row r="181" spans="1:3" ht="15">
      <c r="A181" s="7"/>
      <c r="B181" s="7"/>
      <c r="C181" s="7"/>
    </row>
    <row r="182" spans="1:3" ht="15">
      <c r="A182" s="7"/>
      <c r="B182" s="7"/>
      <c r="C182" s="7"/>
    </row>
    <row r="183" spans="1:3" ht="15">
      <c r="A183" s="7"/>
      <c r="B183" s="7"/>
      <c r="C183" s="7"/>
    </row>
    <row r="184" spans="1:3" ht="15">
      <c r="A184" s="7"/>
      <c r="B184" s="7"/>
      <c r="C184" s="7"/>
    </row>
    <row r="185" spans="1:3" ht="15">
      <c r="A185" s="7"/>
      <c r="B185" s="7"/>
      <c r="C185" s="7"/>
    </row>
    <row r="186" spans="1:3" ht="15">
      <c r="A186" s="7"/>
      <c r="B186" s="7"/>
      <c r="C186" s="7"/>
    </row>
    <row r="187" spans="1:3" ht="15">
      <c r="A187" s="7"/>
      <c r="B187" s="7"/>
      <c r="C187" s="7"/>
    </row>
    <row r="188" spans="1:3" ht="15">
      <c r="A188" s="7"/>
      <c r="B188" s="7"/>
      <c r="C188" s="7"/>
    </row>
    <row r="189" spans="1:3" ht="15">
      <c r="A189" s="7"/>
      <c r="B189" s="7"/>
      <c r="C189" s="7"/>
    </row>
    <row r="190" spans="1:3" ht="15">
      <c r="A190" s="7"/>
      <c r="B190" s="7"/>
      <c r="C190" s="7"/>
    </row>
    <row r="191" spans="1:3" ht="15">
      <c r="A191" s="7"/>
      <c r="B191" s="7"/>
      <c r="C191" s="7"/>
    </row>
    <row r="192" spans="1:3" ht="15">
      <c r="A192" s="7"/>
      <c r="B192" s="7"/>
      <c r="C192" s="7"/>
    </row>
    <row r="193" spans="1:3" ht="15">
      <c r="A193" s="7"/>
      <c r="B193" s="7"/>
      <c r="C193" s="7"/>
    </row>
    <row r="194" spans="1:3" ht="15">
      <c r="A194" s="7"/>
      <c r="B194" s="7"/>
      <c r="C194" s="7"/>
    </row>
    <row r="195" spans="1:3" ht="15">
      <c r="A195" s="7"/>
      <c r="B195" s="7"/>
      <c r="C195" s="7"/>
    </row>
    <row r="196" spans="1:3" ht="15">
      <c r="A196" s="7"/>
      <c r="B196" s="7"/>
      <c r="C196" s="7"/>
    </row>
    <row r="197" spans="1:3" ht="15">
      <c r="A197" s="7"/>
      <c r="B197" s="7"/>
      <c r="C197" s="7"/>
    </row>
    <row r="198" spans="1:3" ht="15">
      <c r="A198" s="7"/>
      <c r="B198" s="7"/>
      <c r="C198" s="7"/>
    </row>
    <row r="199" spans="1:3" ht="15">
      <c r="A199" s="7"/>
      <c r="B199" s="7"/>
      <c r="C199" s="7"/>
    </row>
    <row r="200" spans="1:3" ht="15">
      <c r="A200" s="7"/>
      <c r="B200" s="7"/>
      <c r="C200" s="7"/>
    </row>
    <row r="201" spans="1:3" ht="15">
      <c r="A201" s="7"/>
      <c r="B201" s="7"/>
      <c r="C201" s="7"/>
    </row>
    <row r="202" spans="1:3" ht="15">
      <c r="A202" s="7"/>
      <c r="B202" s="7"/>
      <c r="C202" s="7"/>
    </row>
    <row r="203" spans="1:3" ht="15">
      <c r="A203" s="7"/>
      <c r="B203" s="7"/>
      <c r="C203" s="7"/>
    </row>
    <row r="204" spans="1:3" ht="15">
      <c r="A204" s="7"/>
      <c r="B204" s="7"/>
      <c r="C204" s="7"/>
    </row>
    <row r="205" spans="1:3" ht="15">
      <c r="A205" s="7"/>
      <c r="B205" s="7"/>
      <c r="C205" s="7"/>
    </row>
    <row r="206" spans="1:3" ht="15">
      <c r="A206" s="7"/>
      <c r="B206" s="7"/>
      <c r="C206" s="7"/>
    </row>
    <row r="207" spans="1:3" ht="15">
      <c r="A207" s="7"/>
      <c r="B207" s="7"/>
      <c r="C207" s="7"/>
    </row>
    <row r="208" spans="1:3" ht="15">
      <c r="A208" s="7"/>
      <c r="B208" s="7"/>
      <c r="C208" s="7"/>
    </row>
    <row r="209" spans="1:3" ht="15">
      <c r="A209" s="7"/>
      <c r="B209" s="7"/>
      <c r="C209" s="7"/>
    </row>
    <row r="210" spans="1:3" ht="15">
      <c r="A210" s="7"/>
      <c r="B210" s="7"/>
      <c r="C210" s="7"/>
    </row>
    <row r="211" spans="1:3" ht="15">
      <c r="A211" s="7"/>
      <c r="B211" s="7"/>
      <c r="C211" s="7"/>
    </row>
    <row r="212" spans="1:3" ht="15">
      <c r="A212" s="7"/>
      <c r="B212" s="7"/>
      <c r="C212" s="7"/>
    </row>
    <row r="213" spans="1:3" ht="15">
      <c r="A213" s="7"/>
      <c r="B213" s="7"/>
      <c r="C213" s="7"/>
    </row>
    <row r="214" spans="1:3" ht="15">
      <c r="A214" s="7"/>
      <c r="B214" s="7"/>
      <c r="C214" s="7"/>
    </row>
    <row r="215" spans="1:3" ht="15">
      <c r="A215" s="7"/>
      <c r="B215" s="7"/>
      <c r="C215" s="7"/>
    </row>
    <row r="216" spans="1:3" ht="15">
      <c r="A216" s="7"/>
      <c r="B216" s="7"/>
      <c r="C216" s="7"/>
    </row>
    <row r="217" spans="1:3" ht="15">
      <c r="A217" s="7"/>
      <c r="B217" s="7"/>
      <c r="C217" s="7"/>
    </row>
    <row r="218" spans="1:3" ht="15">
      <c r="A218" s="7"/>
      <c r="B218" s="7"/>
      <c r="C218" s="7"/>
    </row>
    <row r="219" spans="1:3" ht="15">
      <c r="A219" s="7"/>
      <c r="B219" s="7"/>
      <c r="C219" s="7"/>
    </row>
    <row r="220" spans="1:3" ht="15">
      <c r="A220" s="7"/>
      <c r="B220" s="7"/>
      <c r="C220" s="7"/>
    </row>
    <row r="221" spans="1:3" ht="15">
      <c r="A221" s="7"/>
      <c r="B221" s="7"/>
      <c r="C221" s="7"/>
    </row>
    <row r="222" spans="1:3" ht="15">
      <c r="A222" s="7"/>
      <c r="B222" s="7"/>
      <c r="C222" s="7"/>
    </row>
    <row r="223" spans="1:3" ht="15">
      <c r="A223" s="7"/>
      <c r="B223" s="7"/>
      <c r="C223" s="7"/>
    </row>
    <row r="224" spans="1:3" ht="15">
      <c r="A224" s="7"/>
      <c r="B224" s="7"/>
      <c r="C224" s="7"/>
    </row>
    <row r="225" spans="1:3" ht="15">
      <c r="A225" s="7"/>
      <c r="B225" s="7"/>
      <c r="C225" s="7"/>
    </row>
    <row r="226" spans="1:3" ht="15">
      <c r="A226" s="7"/>
      <c r="B226" s="7"/>
      <c r="C226" s="7"/>
    </row>
    <row r="227" spans="1:3" ht="15">
      <c r="A227" s="7"/>
      <c r="B227" s="7"/>
      <c r="C227" s="7"/>
    </row>
    <row r="228" spans="1:3" ht="15">
      <c r="A228" s="7"/>
      <c r="B228" s="7"/>
      <c r="C228" s="7"/>
    </row>
    <row r="229" spans="1:3" ht="15">
      <c r="A229" s="7"/>
      <c r="B229" s="7"/>
      <c r="C229" s="7"/>
    </row>
    <row r="230" spans="1:3" ht="15">
      <c r="A230" s="7"/>
      <c r="B230" s="7"/>
      <c r="C230" s="7"/>
    </row>
    <row r="231" spans="1:3" ht="15">
      <c r="A231" s="7"/>
      <c r="B231" s="7"/>
      <c r="C231" s="7"/>
    </row>
    <row r="232" spans="1:3" ht="15">
      <c r="A232" s="7"/>
      <c r="B232" s="7"/>
      <c r="C232" s="7"/>
    </row>
    <row r="233" spans="1:3" ht="15">
      <c r="A233" s="7"/>
      <c r="B233" s="7"/>
      <c r="C233" s="7"/>
    </row>
    <row r="234" spans="1:3" ht="15">
      <c r="A234" s="7"/>
      <c r="B234" s="7"/>
      <c r="C234" s="7"/>
    </row>
    <row r="235" spans="1:3" ht="15">
      <c r="A235" s="7"/>
      <c r="B235" s="7"/>
      <c r="C235" s="7"/>
    </row>
    <row r="236" spans="1:3" ht="15">
      <c r="A236" s="7"/>
      <c r="B236" s="7"/>
      <c r="C236" s="7"/>
    </row>
    <row r="237" spans="1:3" ht="15">
      <c r="A237" s="7"/>
      <c r="B237" s="7"/>
      <c r="C237" s="7"/>
    </row>
    <row r="238" spans="1:3" ht="15">
      <c r="A238" s="7"/>
      <c r="B238" s="7"/>
      <c r="C238" s="7"/>
    </row>
    <row r="239" spans="1:3" ht="15">
      <c r="A239" s="7"/>
      <c r="B239" s="7"/>
      <c r="C239" s="7"/>
    </row>
    <row r="240" spans="1:3" ht="15">
      <c r="A240" s="7"/>
      <c r="B240" s="7"/>
      <c r="C240" s="7"/>
    </row>
    <row r="241" spans="1:3" ht="15">
      <c r="A241" s="7"/>
      <c r="B241" s="7"/>
      <c r="C241" s="7"/>
    </row>
    <row r="242" spans="1:3" ht="15">
      <c r="A242" s="7"/>
      <c r="B242" s="7"/>
      <c r="C242" s="7"/>
    </row>
    <row r="243" spans="1:3" ht="15">
      <c r="A243" s="7"/>
      <c r="B243" s="7"/>
      <c r="C243" s="7"/>
    </row>
    <row r="244" spans="1:3" ht="15">
      <c r="A244" s="7"/>
      <c r="B244" s="7"/>
      <c r="C244" s="7"/>
    </row>
    <row r="245" spans="1:3" ht="15">
      <c r="A245" s="7"/>
      <c r="B245" s="7"/>
      <c r="C245" s="7"/>
    </row>
    <row r="246" spans="1:3" ht="15">
      <c r="A246" s="7"/>
      <c r="B246" s="7"/>
      <c r="C246" s="7"/>
    </row>
    <row r="247" spans="1:3" ht="15">
      <c r="A247" s="7"/>
      <c r="B247" s="7"/>
      <c r="C247" s="7"/>
    </row>
    <row r="248" spans="1:3" ht="15">
      <c r="A248" s="7"/>
      <c r="B248" s="7"/>
      <c r="C248" s="7"/>
    </row>
    <row r="249" spans="1:3" ht="15">
      <c r="A249" s="7"/>
      <c r="B249" s="7"/>
      <c r="C249" s="7"/>
    </row>
    <row r="250" spans="1:3" ht="15">
      <c r="A250" s="7"/>
      <c r="B250" s="7"/>
      <c r="C250" s="7"/>
    </row>
    <row r="251" spans="1:3" ht="15">
      <c r="A251" s="7"/>
      <c r="B251" s="7"/>
      <c r="C251" s="7"/>
    </row>
    <row r="252" spans="1:3" ht="15">
      <c r="A252" s="7"/>
      <c r="B252" s="7"/>
      <c r="C252" s="7"/>
    </row>
    <row r="253" spans="1:3" ht="15">
      <c r="A253" s="7"/>
      <c r="B253" s="7"/>
      <c r="C253" s="7"/>
    </row>
    <row r="254" spans="1:3" ht="15">
      <c r="A254" s="7"/>
      <c r="B254" s="7"/>
      <c r="C254" s="7"/>
    </row>
    <row r="255" spans="1:3" ht="15">
      <c r="A255" s="7"/>
      <c r="B255" s="7"/>
      <c r="C255" s="7"/>
    </row>
    <row r="256" spans="1:3" ht="15">
      <c r="A256" s="7"/>
      <c r="B256" s="7"/>
      <c r="C256" s="7"/>
    </row>
    <row r="257" spans="1:3" ht="15">
      <c r="A257" s="7"/>
      <c r="B257" s="7"/>
      <c r="C257" s="7"/>
    </row>
    <row r="258" spans="1:3" ht="15">
      <c r="A258" s="7"/>
      <c r="B258" s="7"/>
      <c r="C258" s="7"/>
    </row>
    <row r="259" spans="1:3" ht="15">
      <c r="A259" s="7"/>
      <c r="B259" s="7"/>
      <c r="C259" s="7"/>
    </row>
    <row r="260" spans="1:3" ht="15">
      <c r="A260" s="7"/>
      <c r="B260" s="7"/>
      <c r="C260" s="7"/>
    </row>
    <row r="261" spans="1:3" ht="15">
      <c r="A261" s="7"/>
      <c r="B261" s="7"/>
      <c r="C261" s="7"/>
    </row>
    <row r="262" spans="1:3" ht="15">
      <c r="A262" s="7"/>
      <c r="B262" s="7"/>
      <c r="C262" s="7"/>
    </row>
    <row r="263" spans="1:3" ht="15">
      <c r="A263" s="7"/>
      <c r="B263" s="7"/>
      <c r="C263" s="7"/>
    </row>
    <row r="264" spans="1:3" ht="15">
      <c r="A264" s="7"/>
      <c r="B264" s="7"/>
      <c r="C264" s="7"/>
    </row>
    <row r="265" spans="1:3" ht="15">
      <c r="A265" s="7"/>
      <c r="B265" s="7"/>
      <c r="C265" s="7"/>
    </row>
    <row r="266" spans="1:3" ht="15">
      <c r="A266" s="7"/>
      <c r="B266" s="7"/>
      <c r="C266" s="7"/>
    </row>
    <row r="267" spans="1:3" ht="15">
      <c r="A267" s="7"/>
      <c r="B267" s="7"/>
      <c r="C267" s="7"/>
    </row>
    <row r="268" spans="1:3" ht="15">
      <c r="A268" s="7"/>
      <c r="B268" s="7"/>
      <c r="C268" s="7"/>
    </row>
    <row r="269" spans="1:3" ht="15">
      <c r="A269" s="7"/>
      <c r="B269" s="7"/>
      <c r="C269" s="7"/>
    </row>
    <row r="270" spans="1:3" ht="15">
      <c r="A270" s="7"/>
      <c r="B270" s="7"/>
      <c r="C270" s="7"/>
    </row>
    <row r="271" spans="1:3" ht="15">
      <c r="A271" s="7"/>
      <c r="B271" s="7"/>
      <c r="C271" s="7"/>
    </row>
    <row r="272" spans="1:3" ht="15">
      <c r="A272" s="7"/>
      <c r="B272" s="7"/>
      <c r="C272" s="7"/>
    </row>
    <row r="273" spans="1:3" ht="15">
      <c r="A273" s="7"/>
      <c r="B273" s="7"/>
      <c r="C273" s="7"/>
    </row>
    <row r="274" spans="1:3" ht="15">
      <c r="A274" s="7"/>
      <c r="B274" s="7"/>
      <c r="C274" s="7"/>
    </row>
    <row r="275" spans="1:3" ht="15">
      <c r="A275" s="7"/>
      <c r="B275" s="7"/>
      <c r="C275" s="7"/>
    </row>
    <row r="276" spans="1:3" ht="15">
      <c r="A276" s="7"/>
      <c r="B276" s="7"/>
      <c r="C276" s="7"/>
    </row>
    <row r="277" spans="1:3" ht="15">
      <c r="A277" s="7"/>
      <c r="B277" s="7"/>
      <c r="C277" s="7"/>
    </row>
    <row r="278" spans="1:3" ht="15">
      <c r="A278" s="7"/>
      <c r="B278" s="7"/>
      <c r="C278" s="7"/>
    </row>
    <row r="279" spans="1:3" ht="15">
      <c r="A279" s="7"/>
      <c r="B279" s="7"/>
      <c r="C279" s="7"/>
    </row>
    <row r="280" spans="1:3" ht="15">
      <c r="A280" s="7"/>
      <c r="B280" s="7"/>
      <c r="C280" s="7"/>
    </row>
    <row r="281" spans="1:3" ht="15">
      <c r="A281" s="7"/>
      <c r="B281" s="7"/>
      <c r="C281" s="7"/>
    </row>
    <row r="282" spans="1:3" ht="15">
      <c r="A282" s="7"/>
      <c r="B282" s="7"/>
      <c r="C282" s="7"/>
    </row>
    <row r="283" spans="1:3" ht="15">
      <c r="A283" s="7"/>
      <c r="B283" s="7"/>
      <c r="C283" s="7"/>
    </row>
    <row r="284" spans="1:3" ht="15">
      <c r="A284" s="7"/>
      <c r="B284" s="7"/>
      <c r="C284" s="7"/>
    </row>
    <row r="285" spans="1:3" ht="15">
      <c r="A285" s="7"/>
      <c r="B285" s="7"/>
      <c r="C285" s="7"/>
    </row>
    <row r="286" spans="1:3" ht="15">
      <c r="A286" s="7"/>
      <c r="B286" s="7"/>
      <c r="C286" s="7"/>
    </row>
    <row r="287" spans="1:3" ht="15">
      <c r="A287" s="7"/>
      <c r="B287" s="7"/>
      <c r="C287" s="7"/>
    </row>
    <row r="288" spans="1:3" ht="15">
      <c r="A288" s="7"/>
      <c r="B288" s="7"/>
      <c r="C288" s="7"/>
    </row>
    <row r="289" spans="1:3" ht="15">
      <c r="A289" s="7"/>
      <c r="B289" s="7"/>
      <c r="C289" s="7"/>
    </row>
    <row r="290" spans="1:3" ht="15">
      <c r="A290" s="7"/>
      <c r="B290" s="7"/>
      <c r="C290" s="7"/>
    </row>
    <row r="291" spans="1:3" ht="15">
      <c r="A291" s="7"/>
      <c r="B291" s="7"/>
      <c r="C291" s="7"/>
    </row>
    <row r="292" spans="1:3" ht="15">
      <c r="A292" s="7"/>
      <c r="B292" s="7"/>
      <c r="C292" s="7"/>
    </row>
    <row r="293" spans="1:3" ht="15">
      <c r="A293" s="7"/>
      <c r="B293" s="7"/>
      <c r="C293" s="7"/>
    </row>
    <row r="294" spans="1:3" ht="15">
      <c r="A294" s="7"/>
      <c r="B294" s="7"/>
      <c r="C294" s="7"/>
    </row>
    <row r="295" spans="1:3" ht="15">
      <c r="A295" s="7"/>
      <c r="B295" s="7"/>
      <c r="C295" s="7"/>
    </row>
    <row r="296" spans="1:3" ht="15">
      <c r="A296" s="7"/>
      <c r="B296" s="7"/>
      <c r="C296" s="7"/>
    </row>
    <row r="297" spans="1:3" ht="15">
      <c r="A297" s="7"/>
      <c r="B297" s="7"/>
      <c r="C297" s="7"/>
    </row>
    <row r="298" spans="1:3" ht="15">
      <c r="A298" s="7"/>
      <c r="B298" s="7"/>
      <c r="C298" s="7"/>
    </row>
    <row r="299" spans="1:3" ht="15">
      <c r="A299" s="7"/>
      <c r="B299" s="7"/>
      <c r="C299" s="7"/>
    </row>
    <row r="300" spans="1:3" ht="15">
      <c r="A300" s="7"/>
      <c r="B300" s="7"/>
      <c r="C300" s="7"/>
    </row>
    <row r="301" spans="1:3" ht="15">
      <c r="A301" s="7"/>
      <c r="B301" s="7"/>
      <c r="C301" s="7"/>
    </row>
    <row r="302" spans="1:3" ht="15">
      <c r="A302" s="7"/>
      <c r="B302" s="7"/>
      <c r="C302" s="7"/>
    </row>
    <row r="303" spans="1:3" ht="15">
      <c r="A303" s="7"/>
      <c r="B303" s="7"/>
      <c r="C303" s="7"/>
    </row>
    <row r="304" spans="1:3" ht="15">
      <c r="A304" s="7"/>
      <c r="B304" s="7"/>
      <c r="C304" s="7"/>
    </row>
    <row r="305" spans="1:3" ht="15">
      <c r="A305" s="7"/>
      <c r="B305" s="7"/>
      <c r="C305" s="7"/>
    </row>
    <row r="306" spans="1:3" ht="15">
      <c r="A306" s="7"/>
      <c r="B306" s="7"/>
      <c r="C306" s="7"/>
    </row>
    <row r="307" spans="1:3" ht="15">
      <c r="A307" s="7"/>
      <c r="B307" s="7"/>
      <c r="C307" s="7"/>
    </row>
    <row r="308" spans="1:3" ht="15">
      <c r="A308" s="7"/>
      <c r="B308" s="7"/>
      <c r="C308" s="7"/>
    </row>
    <row r="309" spans="1:3" ht="15">
      <c r="A309" s="7"/>
      <c r="B309" s="7"/>
      <c r="C309" s="7"/>
    </row>
    <row r="310" spans="1:3" ht="15">
      <c r="A310" s="7"/>
      <c r="B310" s="7"/>
      <c r="C310" s="7"/>
    </row>
    <row r="311" spans="1:3" ht="15">
      <c r="A311" s="7"/>
      <c r="B311" s="7"/>
      <c r="C311" s="7"/>
    </row>
    <row r="312" spans="1:3" ht="15">
      <c r="A312" s="7"/>
      <c r="B312" s="7"/>
      <c r="C312" s="7"/>
    </row>
    <row r="313" spans="1:3" ht="15">
      <c r="A313" s="7"/>
      <c r="B313" s="7"/>
      <c r="C313" s="7"/>
    </row>
    <row r="314" spans="1:3" ht="15">
      <c r="A314" s="7"/>
      <c r="B314" s="7"/>
      <c r="C314" s="7"/>
    </row>
    <row r="315" spans="1:3" ht="15">
      <c r="A315" s="7"/>
      <c r="B315" s="7"/>
      <c r="C315" s="7"/>
    </row>
    <row r="316" spans="1:3" ht="15">
      <c r="A316" s="7"/>
      <c r="B316" s="7"/>
      <c r="C316" s="7"/>
    </row>
    <row r="317" spans="1:3" ht="15">
      <c r="A317" s="7"/>
      <c r="B317" s="7"/>
      <c r="C317" s="7"/>
    </row>
    <row r="318" spans="1:3" ht="15">
      <c r="A318" s="7"/>
      <c r="B318" s="7"/>
      <c r="C318" s="7"/>
    </row>
    <row r="319" spans="1:3" ht="15">
      <c r="A319" s="7"/>
      <c r="B319" s="7"/>
      <c r="C319" s="7"/>
    </row>
    <row r="320" spans="1:3" ht="15">
      <c r="A320" s="7"/>
      <c r="B320" s="7"/>
      <c r="C320" s="7"/>
    </row>
    <row r="321" spans="1:3" ht="15">
      <c r="A321" s="7"/>
      <c r="B321" s="7"/>
      <c r="C321" s="7"/>
    </row>
    <row r="322" spans="1:3" ht="15">
      <c r="A322" s="7"/>
      <c r="B322" s="7"/>
      <c r="C322" s="7"/>
    </row>
    <row r="323" spans="1:3" ht="15">
      <c r="A323" s="7"/>
      <c r="B323" s="7"/>
      <c r="C323" s="7"/>
    </row>
    <row r="324" spans="1:3" ht="15">
      <c r="A324" s="7"/>
      <c r="B324" s="7"/>
      <c r="C324" s="7"/>
    </row>
    <row r="325" spans="1:3" ht="15">
      <c r="A325" s="7"/>
      <c r="B325" s="7"/>
      <c r="C325" s="7"/>
    </row>
    <row r="326" spans="1:3" ht="15">
      <c r="A326" s="7"/>
      <c r="B326" s="7"/>
      <c r="C326" s="7"/>
    </row>
    <row r="327" spans="1:3" ht="15">
      <c r="A327" s="7"/>
      <c r="B327" s="7"/>
      <c r="C327" s="7"/>
    </row>
    <row r="328" spans="1:3" ht="15">
      <c r="A328" s="7"/>
      <c r="B328" s="7"/>
      <c r="C328" s="7"/>
    </row>
    <row r="329" spans="1:3" ht="15">
      <c r="A329" s="7"/>
      <c r="B329" s="7"/>
      <c r="C329" s="7"/>
    </row>
    <row r="330" spans="1:3" ht="15">
      <c r="A330" s="7"/>
      <c r="B330" s="7"/>
      <c r="C330" s="7"/>
    </row>
    <row r="331" spans="1:3" ht="15">
      <c r="A331" s="7"/>
      <c r="B331" s="7"/>
      <c r="C331" s="7"/>
    </row>
    <row r="332" spans="1:3" ht="15">
      <c r="A332" s="7"/>
      <c r="B332" s="7"/>
      <c r="C332" s="7"/>
    </row>
    <row r="333" spans="1:3" ht="15">
      <c r="A333" s="7"/>
      <c r="B333" s="7"/>
      <c r="C333" s="7"/>
    </row>
    <row r="334" spans="1:3" ht="15">
      <c r="A334" s="7"/>
      <c r="B334" s="7"/>
      <c r="C334" s="7"/>
    </row>
    <row r="335" spans="1:3" ht="15">
      <c r="A335" s="7"/>
      <c r="B335" s="7"/>
      <c r="C335" s="7"/>
    </row>
    <row r="336" spans="1:3" ht="15">
      <c r="A336" s="7"/>
      <c r="B336" s="7"/>
      <c r="C336" s="7"/>
    </row>
    <row r="337" spans="1:3" ht="15">
      <c r="A337" s="7"/>
      <c r="B337" s="7"/>
      <c r="C337" s="7"/>
    </row>
    <row r="338" spans="1:3" ht="15">
      <c r="A338" s="7"/>
      <c r="B338" s="7"/>
      <c r="C338" s="7"/>
    </row>
    <row r="339" spans="1:3" ht="15">
      <c r="A339" s="7"/>
      <c r="B339" s="7"/>
      <c r="C339" s="7"/>
    </row>
    <row r="340" spans="1:3" ht="15">
      <c r="A340" s="7"/>
      <c r="B340" s="7"/>
      <c r="C340" s="7"/>
    </row>
    <row r="341" spans="1:3" ht="15">
      <c r="A341" s="7"/>
      <c r="B341" s="7"/>
      <c r="C341" s="7"/>
    </row>
    <row r="342" spans="1:3" ht="15">
      <c r="A342" s="7"/>
      <c r="B342" s="7"/>
      <c r="C342" s="7"/>
    </row>
    <row r="343" spans="1:3" ht="15">
      <c r="A343" s="7"/>
      <c r="B343" s="7"/>
      <c r="C343" s="7"/>
    </row>
    <row r="344" spans="1:3" ht="15">
      <c r="A344" s="7"/>
      <c r="B344" s="7"/>
      <c r="C344" s="7"/>
    </row>
    <row r="345" spans="1:3" ht="15">
      <c r="A345" s="7"/>
      <c r="B345" s="7"/>
      <c r="C345" s="7"/>
    </row>
    <row r="346" spans="1:3" ht="15">
      <c r="A346" s="7"/>
      <c r="B346" s="7"/>
      <c r="C346" s="7"/>
    </row>
    <row r="347" spans="1:3" ht="15">
      <c r="A347" s="7"/>
      <c r="B347" s="7"/>
      <c r="C347" s="7"/>
    </row>
    <row r="348" spans="1:3" ht="15">
      <c r="A348" s="7"/>
      <c r="B348" s="7"/>
      <c r="C348" s="7"/>
    </row>
    <row r="349" spans="1:3" ht="15">
      <c r="A349" s="7"/>
      <c r="B349" s="7"/>
      <c r="C349" s="7"/>
    </row>
    <row r="350" spans="1:3" ht="15">
      <c r="A350" s="7"/>
      <c r="B350" s="7"/>
      <c r="C350" s="7"/>
    </row>
    <row r="351" spans="1:3" ht="15">
      <c r="A351" s="7"/>
      <c r="B351" s="7"/>
      <c r="C351" s="7"/>
    </row>
    <row r="352" spans="1:3" ht="15">
      <c r="A352" s="7"/>
      <c r="B352" s="7"/>
      <c r="C352" s="7"/>
    </row>
    <row r="353" spans="1:3" ht="15">
      <c r="A353" s="7"/>
      <c r="B353" s="7"/>
      <c r="C353" s="7"/>
    </row>
    <row r="354" spans="1:3" ht="15">
      <c r="A354" s="7"/>
      <c r="B354" s="7"/>
      <c r="C354" s="7"/>
    </row>
    <row r="355" spans="1:3" ht="15">
      <c r="A355" s="7"/>
      <c r="B355" s="7"/>
      <c r="C355" s="7"/>
    </row>
    <row r="356" spans="1:3" ht="15">
      <c r="A356" s="7"/>
      <c r="B356" s="7"/>
      <c r="C356" s="7"/>
    </row>
    <row r="357" spans="1:3" ht="15">
      <c r="A357" s="7"/>
      <c r="B357" s="7"/>
      <c r="C357" s="7"/>
    </row>
    <row r="358" spans="1:3" ht="15">
      <c r="A358" s="7"/>
      <c r="B358" s="7"/>
      <c r="C358" s="7"/>
    </row>
    <row r="359" spans="1:3" ht="15">
      <c r="A359" s="7"/>
      <c r="B359" s="7"/>
      <c r="C359" s="7"/>
    </row>
    <row r="360" spans="1:3" ht="15">
      <c r="A360" s="7"/>
      <c r="B360" s="7"/>
      <c r="C360" s="7"/>
    </row>
    <row r="361" spans="1:3" ht="15">
      <c r="A361" s="7"/>
      <c r="B361" s="7"/>
      <c r="C361" s="7"/>
    </row>
    <row r="362" spans="1:3" ht="15">
      <c r="A362" s="7"/>
      <c r="B362" s="7"/>
      <c r="C362" s="7"/>
    </row>
    <row r="363" spans="1:3" ht="15">
      <c r="A363" s="7"/>
      <c r="B363" s="7"/>
      <c r="C363" s="7"/>
    </row>
    <row r="364" spans="1:3" ht="15">
      <c r="A364" s="7"/>
      <c r="B364" s="7"/>
      <c r="C364" s="7"/>
    </row>
    <row r="365" spans="1:3" ht="15">
      <c r="A365" s="7"/>
      <c r="B365" s="7"/>
      <c r="C365" s="7"/>
    </row>
    <row r="366" spans="1:3" ht="15">
      <c r="A366" s="7"/>
      <c r="B366" s="7"/>
      <c r="C366" s="7"/>
    </row>
    <row r="367" spans="1:3" ht="15">
      <c r="A367" s="7"/>
      <c r="B367" s="7"/>
      <c r="C367" s="7"/>
    </row>
    <row r="368" spans="1:3" ht="15">
      <c r="A368" s="7"/>
      <c r="B368" s="7"/>
      <c r="C368" s="7"/>
    </row>
    <row r="369" spans="1:3" ht="15">
      <c r="A369" s="7"/>
      <c r="B369" s="7"/>
      <c r="C369" s="7"/>
    </row>
    <row r="370" spans="1:3" ht="15">
      <c r="A370" s="7"/>
      <c r="B370" s="7"/>
      <c r="C370" s="7"/>
    </row>
    <row r="371" spans="1:3" ht="15">
      <c r="A371" s="7"/>
      <c r="B371" s="7"/>
      <c r="C371" s="7"/>
    </row>
    <row r="372" spans="1:3" ht="15">
      <c r="A372" s="7"/>
      <c r="B372" s="7"/>
      <c r="C372" s="7"/>
    </row>
    <row r="373" spans="1:3" ht="15">
      <c r="A373" s="7"/>
      <c r="B373" s="7"/>
      <c r="C373" s="7"/>
    </row>
    <row r="374" spans="1:3" ht="15">
      <c r="A374" s="7"/>
      <c r="B374" s="7"/>
      <c r="C374" s="7"/>
    </row>
    <row r="375" spans="1:3" ht="15">
      <c r="A375" s="7"/>
      <c r="B375" s="7"/>
      <c r="C375" s="7"/>
    </row>
    <row r="376" spans="1:3" ht="15">
      <c r="A376" s="7"/>
      <c r="B376" s="7"/>
      <c r="C376" s="7"/>
    </row>
    <row r="377" spans="1:3" ht="15">
      <c r="A377" s="7"/>
      <c r="B377" s="7"/>
      <c r="C377" s="7"/>
    </row>
    <row r="378" spans="1:3" ht="15">
      <c r="A378" s="7"/>
      <c r="B378" s="7"/>
      <c r="C378" s="7"/>
    </row>
    <row r="379" spans="1:3" ht="15">
      <c r="A379" s="7"/>
      <c r="B379" s="7"/>
      <c r="C379" s="7"/>
    </row>
    <row r="380" spans="1:3" ht="15">
      <c r="A380" s="7"/>
      <c r="B380" s="7"/>
      <c r="C380" s="7"/>
    </row>
    <row r="381" spans="1:3" ht="15">
      <c r="A381" s="7"/>
      <c r="B381" s="7"/>
      <c r="C381" s="7"/>
    </row>
    <row r="382" spans="1:3" ht="15">
      <c r="A382" s="7"/>
      <c r="B382" s="7"/>
      <c r="C382" s="7"/>
    </row>
    <row r="383" spans="1:3" ht="15">
      <c r="A383" s="7"/>
      <c r="B383" s="7"/>
      <c r="C383" s="7"/>
    </row>
    <row r="384" spans="1:3" ht="15">
      <c r="A384" s="7"/>
      <c r="B384" s="7"/>
      <c r="C384" s="7"/>
    </row>
    <row r="385" spans="1:3" ht="15">
      <c r="A385" s="7"/>
      <c r="B385" s="7"/>
      <c r="C385" s="7"/>
    </row>
    <row r="386" spans="1:3" ht="15">
      <c r="A386" s="7"/>
      <c r="B386" s="7"/>
      <c r="C386" s="7"/>
    </row>
    <row r="387" spans="1:3" ht="15">
      <c r="A387" s="7"/>
      <c r="B387" s="7"/>
      <c r="C387" s="7"/>
    </row>
    <row r="388" spans="1:3" ht="15">
      <c r="A388" s="7"/>
      <c r="B388" s="7"/>
      <c r="C388" s="7"/>
    </row>
    <row r="389" spans="1:3" ht="15">
      <c r="A389" s="7"/>
      <c r="B389" s="7"/>
      <c r="C389" s="7"/>
    </row>
    <row r="390" spans="1:3" ht="15">
      <c r="A390" s="7"/>
      <c r="B390" s="7"/>
      <c r="C390" s="7"/>
    </row>
    <row r="391" spans="1:3" ht="15">
      <c r="A391" s="7"/>
      <c r="B391" s="7"/>
      <c r="C391" s="7"/>
    </row>
    <row r="392" spans="1:3" ht="15">
      <c r="A392" s="7"/>
      <c r="B392" s="7"/>
      <c r="C392" s="7"/>
    </row>
    <row r="393" spans="1:3" ht="15">
      <c r="A393" s="7"/>
      <c r="B393" s="7"/>
      <c r="C393" s="7"/>
    </row>
    <row r="394" spans="1:3" ht="15">
      <c r="A394" s="7"/>
      <c r="B394" s="7"/>
      <c r="C394" s="7"/>
    </row>
    <row r="395" spans="1:3" ht="15">
      <c r="A395" s="7"/>
      <c r="B395" s="7"/>
      <c r="C395" s="7"/>
    </row>
    <row r="396" spans="1:3" ht="15">
      <c r="A396" s="7"/>
      <c r="B396" s="7"/>
      <c r="C396" s="7"/>
    </row>
    <row r="397" spans="1:3" ht="15">
      <c r="A397" s="7"/>
      <c r="B397" s="7"/>
      <c r="C397" s="7"/>
    </row>
    <row r="398" spans="1:3" ht="15">
      <c r="A398" s="7"/>
      <c r="B398" s="7"/>
      <c r="C398" s="7"/>
    </row>
    <row r="399" spans="1:3" ht="15">
      <c r="A399" s="7"/>
      <c r="B399" s="7"/>
      <c r="C399" s="7"/>
    </row>
    <row r="400" spans="1:3" ht="15">
      <c r="A400" s="7"/>
      <c r="B400" s="7"/>
      <c r="C400" s="7"/>
    </row>
    <row r="401" spans="1:3" ht="15">
      <c r="A401" s="7"/>
      <c r="B401" s="7"/>
      <c r="C401" s="7"/>
    </row>
    <row r="402" spans="1:3" ht="15">
      <c r="A402" s="7"/>
      <c r="B402" s="7"/>
      <c r="C402" s="7"/>
    </row>
    <row r="403" spans="1:3" ht="15">
      <c r="A403" s="7"/>
      <c r="B403" s="7"/>
      <c r="C403" s="7"/>
    </row>
    <row r="404" spans="1:3" ht="15">
      <c r="A404" s="7"/>
      <c r="B404" s="7"/>
      <c r="C404" s="7"/>
    </row>
    <row r="405" spans="1:3" ht="15">
      <c r="A405" s="7"/>
      <c r="B405" s="7"/>
      <c r="C405" s="7"/>
    </row>
    <row r="406" spans="1:3" ht="15">
      <c r="A406" s="7"/>
      <c r="B406" s="7"/>
      <c r="C406" s="7"/>
    </row>
    <row r="407" spans="1:3" ht="15">
      <c r="A407" s="7"/>
      <c r="B407" s="7"/>
      <c r="C407" s="7"/>
    </row>
    <row r="408" spans="1:3" ht="15">
      <c r="A408" s="7"/>
      <c r="B408" s="7"/>
      <c r="C408" s="7"/>
    </row>
    <row r="409" spans="1:3" ht="15">
      <c r="A409" s="7"/>
      <c r="B409" s="7"/>
      <c r="C409" s="7"/>
    </row>
    <row r="410" spans="1:3" ht="15">
      <c r="A410" s="7"/>
      <c r="B410" s="7"/>
      <c r="C410" s="7"/>
    </row>
    <row r="411" spans="1:3" ht="15">
      <c r="A411" s="7"/>
      <c r="B411" s="7"/>
      <c r="C411" s="7"/>
    </row>
    <row r="412" spans="1:3" ht="15">
      <c r="A412" s="7"/>
      <c r="B412" s="7"/>
      <c r="C412" s="7"/>
    </row>
    <row r="413" spans="1:3" ht="15">
      <c r="A413" s="7"/>
      <c r="B413" s="7"/>
      <c r="C413" s="7"/>
    </row>
    <row r="414" spans="1:3" ht="15">
      <c r="A414" s="7"/>
      <c r="B414" s="7"/>
      <c r="C414" s="7"/>
    </row>
    <row r="415" spans="1:3" ht="15">
      <c r="A415" s="7"/>
      <c r="B415" s="7"/>
      <c r="C415" s="7"/>
    </row>
    <row r="416" spans="1:3" ht="15">
      <c r="A416" s="7"/>
      <c r="B416" s="7"/>
      <c r="C416" s="7"/>
    </row>
    <row r="417" spans="1:3" ht="15">
      <c r="A417" s="7"/>
      <c r="B417" s="7"/>
      <c r="C417" s="7"/>
    </row>
    <row r="418" spans="1:3" ht="15">
      <c r="A418" s="7"/>
      <c r="B418" s="7"/>
      <c r="C418" s="7"/>
    </row>
    <row r="419" spans="1:3" ht="15">
      <c r="A419" s="7"/>
      <c r="B419" s="7"/>
      <c r="C419" s="7"/>
    </row>
    <row r="420" spans="1:3" ht="15">
      <c r="A420" s="7"/>
      <c r="B420" s="7"/>
      <c r="C420" s="7"/>
    </row>
    <row r="421" spans="1:3" ht="15">
      <c r="A421" s="7"/>
      <c r="B421" s="7"/>
      <c r="C421" s="7"/>
    </row>
    <row r="422" spans="1:3" ht="15">
      <c r="A422" s="7"/>
      <c r="B422" s="7"/>
      <c r="C422" s="7"/>
    </row>
    <row r="423" spans="1:3" ht="15">
      <c r="A423" s="7"/>
      <c r="B423" s="7"/>
      <c r="C423" s="7"/>
    </row>
    <row r="424" spans="1:3" ht="15">
      <c r="A424" s="7"/>
      <c r="B424" s="7"/>
      <c r="C424" s="7"/>
    </row>
    <row r="425" spans="1:3" ht="15">
      <c r="A425" s="7"/>
      <c r="B425" s="7"/>
      <c r="C425" s="7"/>
    </row>
    <row r="426" spans="1:3" ht="15">
      <c r="A426" s="7"/>
      <c r="B426" s="7"/>
      <c r="C426" s="7"/>
    </row>
    <row r="427" spans="1:3" ht="15">
      <c r="A427" s="7"/>
      <c r="B427" s="7"/>
      <c r="C427" s="7"/>
    </row>
    <row r="428" spans="1:3" ht="15">
      <c r="A428" s="7"/>
      <c r="B428" s="7"/>
      <c r="C428" s="7"/>
    </row>
    <row r="429" spans="1:3" ht="15">
      <c r="A429" s="7"/>
      <c r="B429" s="7"/>
      <c r="C429" s="7"/>
    </row>
    <row r="430" spans="1:3" ht="15">
      <c r="A430" s="7"/>
      <c r="B430" s="7"/>
      <c r="C430" s="7"/>
    </row>
    <row r="431" spans="1:3" ht="15">
      <c r="A431" s="7"/>
      <c r="B431" s="7"/>
      <c r="C431" s="7"/>
    </row>
    <row r="432" spans="1:3" ht="15">
      <c r="A432" s="7"/>
      <c r="B432" s="7"/>
      <c r="C432" s="7"/>
    </row>
    <row r="433" spans="1:3" ht="15">
      <c r="A433" s="7"/>
      <c r="B433" s="7"/>
      <c r="C433" s="7"/>
    </row>
    <row r="434" spans="1:3" ht="15">
      <c r="A434" s="7"/>
      <c r="B434" s="7"/>
      <c r="C434" s="7"/>
    </row>
    <row r="435" spans="1:3" ht="15">
      <c r="A435" s="7"/>
      <c r="B435" s="7"/>
      <c r="C435" s="7"/>
    </row>
    <row r="436" spans="1:3" ht="15">
      <c r="A436" s="7"/>
      <c r="B436" s="7"/>
      <c r="C436" s="7"/>
    </row>
    <row r="437" spans="1:3" ht="15">
      <c r="A437" s="7"/>
      <c r="B437" s="7"/>
      <c r="C437" s="7"/>
    </row>
    <row r="438" spans="1:3" ht="15">
      <c r="A438" s="7"/>
      <c r="B438" s="7"/>
      <c r="C438" s="7"/>
    </row>
    <row r="439" spans="1:3" ht="15">
      <c r="A439" s="7"/>
      <c r="B439" s="7"/>
      <c r="C439" s="7"/>
    </row>
    <row r="440" spans="1:3" ht="15">
      <c r="A440" s="7"/>
      <c r="B440" s="7"/>
      <c r="C440" s="7"/>
    </row>
    <row r="441" spans="1:3" ht="15">
      <c r="A441" s="7"/>
      <c r="B441" s="7"/>
      <c r="C441" s="7"/>
    </row>
    <row r="442" spans="1:3" ht="15">
      <c r="A442" s="7"/>
      <c r="B442" s="7"/>
      <c r="C442" s="7"/>
    </row>
    <row r="443" spans="1:3" ht="15">
      <c r="A443" s="7"/>
      <c r="B443" s="7"/>
      <c r="C443" s="7"/>
    </row>
    <row r="444" spans="1:3" ht="15">
      <c r="A444" s="7"/>
      <c r="B444" s="7"/>
      <c r="C444" s="7"/>
    </row>
    <row r="445" spans="1:3" ht="15">
      <c r="A445" s="7"/>
      <c r="B445" s="7"/>
      <c r="C445" s="7"/>
    </row>
    <row r="446" spans="1:3" ht="15">
      <c r="A446" s="7"/>
      <c r="B446" s="7"/>
      <c r="C446" s="7"/>
    </row>
    <row r="447" spans="1:3" ht="15">
      <c r="A447" s="7"/>
      <c r="B447" s="7"/>
      <c r="C447" s="7"/>
    </row>
    <row r="448" spans="1:3" ht="15">
      <c r="A448" s="7"/>
      <c r="B448" s="7"/>
      <c r="C448" s="7"/>
    </row>
    <row r="449" spans="1:3" ht="15">
      <c r="A449" s="7"/>
      <c r="B449" s="7"/>
      <c r="C449" s="7"/>
    </row>
    <row r="450" spans="1:3" ht="15">
      <c r="A450" s="7"/>
      <c r="B450" s="7"/>
      <c r="C450" s="7"/>
    </row>
    <row r="451" spans="1:3" ht="15">
      <c r="A451" s="7"/>
      <c r="B451" s="7"/>
      <c r="C451" s="7"/>
    </row>
    <row r="452" spans="1:3" ht="15">
      <c r="A452" s="7"/>
      <c r="B452" s="7"/>
      <c r="C452" s="7"/>
    </row>
    <row r="453" spans="1:3" ht="15">
      <c r="A453" s="7"/>
      <c r="B453" s="7"/>
      <c r="C453" s="7"/>
    </row>
    <row r="454" spans="1:3" ht="15">
      <c r="A454" s="7"/>
      <c r="B454" s="7"/>
      <c r="C454" s="7"/>
    </row>
    <row r="455" spans="1:3" ht="15">
      <c r="A455" s="7"/>
      <c r="B455" s="7"/>
      <c r="C455" s="7"/>
    </row>
    <row r="456" spans="1:3" ht="15">
      <c r="A456" s="7"/>
      <c r="B456" s="7"/>
      <c r="C456" s="7"/>
    </row>
    <row r="457" spans="1:3" ht="15">
      <c r="A457" s="7"/>
      <c r="B457" s="7"/>
      <c r="C457" s="7"/>
    </row>
    <row r="458" spans="1:3" ht="15">
      <c r="A458" s="7"/>
      <c r="B458" s="7"/>
      <c r="C458" s="7"/>
    </row>
    <row r="459" spans="1:3" ht="15">
      <c r="A459" s="7"/>
      <c r="B459" s="7"/>
      <c r="C459" s="7"/>
    </row>
    <row r="460" spans="1:3" ht="15">
      <c r="A460" s="7"/>
      <c r="B460" s="7"/>
      <c r="C460" s="7"/>
    </row>
    <row r="461" spans="1:3" ht="15">
      <c r="A461" s="7"/>
      <c r="B461" s="7"/>
      <c r="C461" s="7"/>
    </row>
    <row r="462" spans="1:3" ht="15">
      <c r="A462" s="7"/>
      <c r="B462" s="7"/>
      <c r="C462" s="7"/>
    </row>
    <row r="463" spans="1:3" ht="15">
      <c r="A463" s="7"/>
      <c r="B463" s="7"/>
      <c r="C463" s="7"/>
    </row>
    <row r="464" spans="1:3" ht="15">
      <c r="A464" s="7"/>
      <c r="B464" s="7"/>
      <c r="C464" s="7"/>
    </row>
    <row r="465" spans="1:3" ht="15">
      <c r="A465" s="7"/>
      <c r="B465" s="7"/>
      <c r="C465" s="7"/>
    </row>
    <row r="466" spans="1:3" ht="15">
      <c r="A466" s="7"/>
      <c r="B466" s="7"/>
      <c r="C466" s="7"/>
    </row>
    <row r="467" spans="1:3" ht="15">
      <c r="A467" s="7"/>
      <c r="B467" s="7"/>
      <c r="C467" s="7"/>
    </row>
    <row r="468" spans="1:3" ht="15">
      <c r="A468" s="7"/>
      <c r="B468" s="7"/>
      <c r="C468" s="7"/>
    </row>
    <row r="469" spans="1:3" ht="15">
      <c r="A469" s="7"/>
      <c r="B469" s="7"/>
      <c r="C469" s="7"/>
    </row>
    <row r="470" spans="1:3" ht="15">
      <c r="A470" s="7"/>
      <c r="B470" s="7"/>
      <c r="C470" s="7"/>
    </row>
    <row r="471" spans="1:3" ht="15">
      <c r="A471" s="7"/>
      <c r="B471" s="7"/>
      <c r="C471" s="7"/>
    </row>
    <row r="472" spans="1:3" ht="15">
      <c r="A472" s="7"/>
      <c r="B472" s="7"/>
      <c r="C472" s="7"/>
    </row>
    <row r="473" spans="1:3" ht="15">
      <c r="A473" s="7"/>
      <c r="B473" s="7"/>
      <c r="C473" s="7"/>
    </row>
    <row r="474" spans="1:3" ht="15">
      <c r="A474" s="7"/>
      <c r="B474" s="7"/>
      <c r="C474" s="7"/>
    </row>
    <row r="475" spans="1:3" ht="15">
      <c r="A475" s="7"/>
      <c r="B475" s="7"/>
      <c r="C475" s="7"/>
    </row>
    <row r="476" spans="1:3" ht="15">
      <c r="A476" s="7"/>
      <c r="B476" s="7"/>
      <c r="C476" s="7"/>
    </row>
    <row r="477" spans="1:3" ht="15">
      <c r="A477" s="7"/>
      <c r="B477" s="7"/>
      <c r="C477" s="7"/>
    </row>
    <row r="478" spans="1:3" ht="15">
      <c r="A478" s="7"/>
      <c r="B478" s="7"/>
      <c r="C478" s="7"/>
    </row>
    <row r="479" spans="1:3" ht="15">
      <c r="A479" s="7"/>
      <c r="B479" s="7"/>
      <c r="C479" s="7"/>
    </row>
    <row r="480" spans="1:3" ht="15">
      <c r="A480" s="7"/>
      <c r="B480" s="7"/>
      <c r="C480" s="7"/>
    </row>
    <row r="481" spans="1:3" ht="15">
      <c r="A481" s="7"/>
      <c r="B481" s="7"/>
      <c r="C481" s="7"/>
    </row>
    <row r="482" spans="1:3" ht="15">
      <c r="A482" s="7"/>
      <c r="B482" s="7"/>
      <c r="C482" s="7"/>
    </row>
    <row r="483" spans="1:3" ht="15">
      <c r="A483" s="7"/>
      <c r="B483" s="7"/>
      <c r="C483" s="7"/>
    </row>
    <row r="484" spans="1:3" ht="15">
      <c r="A484" s="7"/>
      <c r="B484" s="7"/>
      <c r="C484" s="7"/>
    </row>
    <row r="485" spans="1:3" ht="15">
      <c r="A485" s="7"/>
      <c r="B485" s="7"/>
      <c r="C485" s="7"/>
    </row>
    <row r="486" spans="1:3" ht="15">
      <c r="A486" s="7"/>
      <c r="B486" s="7"/>
      <c r="C486" s="7"/>
    </row>
    <row r="487" spans="1:3" ht="15">
      <c r="A487" s="7"/>
      <c r="B487" s="7"/>
      <c r="C487" s="7"/>
    </row>
    <row r="488" spans="1:3" ht="15">
      <c r="A488" s="7"/>
      <c r="B488" s="7"/>
      <c r="C488" s="7"/>
    </row>
    <row r="489" spans="1:3" ht="15">
      <c r="A489" s="7"/>
      <c r="B489" s="7"/>
      <c r="C489" s="7"/>
    </row>
    <row r="490" spans="1:3" ht="15">
      <c r="A490" s="7"/>
      <c r="B490" s="7"/>
      <c r="C490" s="7"/>
    </row>
    <row r="491" spans="1:3" ht="15">
      <c r="A491" s="7"/>
      <c r="B491" s="7"/>
      <c r="C491" s="7"/>
    </row>
    <row r="492" spans="1:3" ht="15">
      <c r="A492" s="7"/>
      <c r="B492" s="7"/>
      <c r="C492" s="7"/>
    </row>
    <row r="493" spans="1:3" ht="15">
      <c r="A493" s="7"/>
      <c r="B493" s="7"/>
      <c r="C493" s="7"/>
    </row>
    <row r="494" spans="1:3" ht="15">
      <c r="A494" s="7"/>
      <c r="B494" s="7"/>
      <c r="C494" s="7"/>
    </row>
    <row r="495" spans="1:3" ht="15">
      <c r="A495" s="7"/>
      <c r="B495" s="7"/>
      <c r="C495" s="7"/>
    </row>
    <row r="496" spans="1:3" ht="15">
      <c r="A496" s="7"/>
      <c r="B496" s="7"/>
      <c r="C496" s="7"/>
    </row>
    <row r="497" spans="1:3" ht="15">
      <c r="A497" s="7"/>
      <c r="B497" s="7"/>
      <c r="C497" s="7"/>
    </row>
    <row r="498" spans="1:3" ht="15">
      <c r="A498" s="7"/>
      <c r="B498" s="7"/>
      <c r="C498" s="7"/>
    </row>
    <row r="499" spans="1:3" ht="15">
      <c r="A499" s="7"/>
      <c r="B499" s="7"/>
      <c r="C499" s="7"/>
    </row>
    <row r="500" spans="1:3" ht="15">
      <c r="A500" s="7"/>
      <c r="B500" s="7"/>
      <c r="C500" s="7"/>
    </row>
    <row r="501" spans="1:3" ht="15">
      <c r="A501" s="7"/>
      <c r="B501" s="7"/>
      <c r="C501" s="7"/>
    </row>
    <row r="502" spans="1:3" ht="15">
      <c r="A502" s="7"/>
      <c r="B502" s="7"/>
      <c r="C502" s="7"/>
    </row>
    <row r="503" spans="1:3" ht="15">
      <c r="A503" s="7"/>
      <c r="B503" s="7"/>
      <c r="C503" s="7"/>
    </row>
    <row r="504" spans="1:3" ht="15">
      <c r="A504" s="7"/>
      <c r="B504" s="7"/>
      <c r="C504" s="7"/>
    </row>
    <row r="505" spans="1:3" ht="15">
      <c r="A505" s="7"/>
      <c r="B505" s="7"/>
      <c r="C505" s="7"/>
    </row>
    <row r="506" spans="1:3" ht="15">
      <c r="A506" s="7"/>
      <c r="B506" s="7"/>
      <c r="C506" s="7"/>
    </row>
    <row r="507" spans="1:3" ht="15">
      <c r="A507" s="7"/>
      <c r="B507" s="7"/>
      <c r="C507" s="7"/>
    </row>
    <row r="508" spans="1:3" ht="15">
      <c r="A508" s="7"/>
      <c r="B508" s="7"/>
      <c r="C508" s="7"/>
    </row>
    <row r="509" spans="1:3" ht="15">
      <c r="A509" s="7"/>
      <c r="B509" s="7"/>
      <c r="C509" s="7"/>
    </row>
    <row r="510" spans="1:3" ht="15">
      <c r="A510" s="7"/>
      <c r="B510" s="7"/>
      <c r="C510" s="7"/>
    </row>
    <row r="511" spans="1:3" ht="15">
      <c r="A511" s="7"/>
      <c r="B511" s="7"/>
      <c r="C511" s="7"/>
    </row>
    <row r="512" spans="1:3" ht="15">
      <c r="A512" s="7"/>
      <c r="B512" s="7"/>
      <c r="C512" s="7"/>
    </row>
    <row r="513" spans="1:3" ht="15">
      <c r="A513" s="7"/>
      <c r="B513" s="7"/>
      <c r="C513" s="7"/>
    </row>
    <row r="514" spans="1:3" ht="15">
      <c r="A514" s="7"/>
      <c r="B514" s="7"/>
      <c r="C514" s="7"/>
    </row>
    <row r="515" spans="1:3" ht="15">
      <c r="A515" s="7"/>
      <c r="B515" s="7"/>
      <c r="C515" s="7"/>
    </row>
    <row r="516" spans="1:3" ht="15">
      <c r="A516" s="7"/>
      <c r="B516" s="7"/>
      <c r="C516" s="7"/>
    </row>
    <row r="517" spans="1:3" ht="15">
      <c r="A517" s="7"/>
      <c r="B517" s="7"/>
      <c r="C517" s="7"/>
    </row>
    <row r="518" spans="1:3" ht="15">
      <c r="A518" s="7"/>
      <c r="B518" s="7"/>
      <c r="C518" s="7"/>
    </row>
    <row r="519" spans="1:3" ht="15">
      <c r="A519" s="7"/>
      <c r="B519" s="7"/>
      <c r="C519" s="7"/>
    </row>
    <row r="520" spans="1:3" ht="15">
      <c r="A520" s="7"/>
      <c r="B520" s="7"/>
      <c r="C520" s="7"/>
    </row>
    <row r="521" spans="1:3" ht="15">
      <c r="A521" s="7"/>
      <c r="B521" s="7"/>
      <c r="C521" s="7"/>
    </row>
    <row r="522" spans="1:3" ht="15">
      <c r="A522" s="7"/>
      <c r="B522" s="7"/>
      <c r="C522" s="7"/>
    </row>
    <row r="523" spans="1:3" ht="15">
      <c r="A523" s="7"/>
      <c r="B523" s="7"/>
      <c r="C523" s="7"/>
    </row>
    <row r="524" spans="1:3" ht="15">
      <c r="A524" s="7"/>
      <c r="B524" s="7"/>
      <c r="C524" s="7"/>
    </row>
    <row r="525" spans="1:3" ht="15">
      <c r="A525" s="7"/>
      <c r="B525" s="7"/>
      <c r="C525" s="7"/>
    </row>
    <row r="526" spans="1:3" ht="15">
      <c r="A526" s="7"/>
      <c r="B526" s="7"/>
      <c r="C526" s="7"/>
    </row>
    <row r="527" spans="1:3" ht="15">
      <c r="A527" s="7"/>
      <c r="B527" s="7"/>
      <c r="C527" s="7"/>
    </row>
    <row r="528" spans="1:3" ht="15">
      <c r="A528" s="7"/>
      <c r="B528" s="7"/>
      <c r="C528" s="7"/>
    </row>
    <row r="529" spans="1:3" ht="15">
      <c r="A529" s="7"/>
      <c r="B529" s="7"/>
      <c r="C529" s="7"/>
    </row>
    <row r="530" spans="1:3" ht="15">
      <c r="A530" s="7"/>
      <c r="B530" s="7"/>
      <c r="C530" s="7"/>
    </row>
    <row r="531" spans="1:3" ht="15">
      <c r="A531" s="7"/>
      <c r="B531" s="7"/>
      <c r="C531" s="7"/>
    </row>
    <row r="532" spans="1:3" ht="15">
      <c r="A532" s="7"/>
      <c r="B532" s="7"/>
      <c r="C532" s="7"/>
    </row>
    <row r="533" spans="1:3" ht="15">
      <c r="A533" s="7"/>
      <c r="B533" s="7"/>
      <c r="C533" s="7"/>
    </row>
    <row r="534" spans="1:3" ht="15">
      <c r="A534" s="7"/>
      <c r="B534" s="7"/>
      <c r="C534" s="7"/>
    </row>
    <row r="535" spans="1:3" ht="15">
      <c r="A535" s="7"/>
      <c r="B535" s="7"/>
      <c r="C535" s="7"/>
    </row>
    <row r="536" spans="1:3" ht="15">
      <c r="A536" s="7"/>
      <c r="B536" s="7"/>
      <c r="C536" s="7"/>
    </row>
    <row r="537" spans="1:3" ht="15">
      <c r="A537" s="7"/>
      <c r="B537" s="7"/>
      <c r="C537" s="7"/>
    </row>
    <row r="538" spans="1:3" ht="15">
      <c r="A538" s="7"/>
      <c r="B538" s="7"/>
      <c r="C538" s="7"/>
    </row>
    <row r="539" spans="1:3" ht="15">
      <c r="A539" s="7"/>
      <c r="B539" s="7"/>
      <c r="C539" s="7"/>
    </row>
    <row r="540" spans="1:3" ht="15">
      <c r="A540" s="7"/>
      <c r="B540" s="7"/>
      <c r="C540" s="7"/>
    </row>
    <row r="541" spans="1:3" ht="15">
      <c r="A541" s="7"/>
      <c r="B541" s="7"/>
      <c r="C541" s="7"/>
    </row>
    <row r="542" spans="1:3" ht="15">
      <c r="A542" s="7"/>
      <c r="B542" s="7"/>
      <c r="C542" s="7"/>
    </row>
    <row r="543" spans="1:3" ht="15">
      <c r="A543" s="7"/>
      <c r="B543" s="7"/>
      <c r="C543" s="7"/>
    </row>
    <row r="544" spans="1:3" ht="15">
      <c r="A544" s="7"/>
      <c r="B544" s="7"/>
      <c r="C544" s="7"/>
    </row>
    <row r="545" spans="1:3" ht="15">
      <c r="A545" s="7"/>
      <c r="B545" s="7"/>
      <c r="C545" s="7"/>
    </row>
    <row r="546" spans="1:3" ht="15">
      <c r="A546" s="7"/>
      <c r="B546" s="7"/>
      <c r="C546" s="7"/>
    </row>
    <row r="547" spans="1:3" ht="15">
      <c r="A547" s="7"/>
      <c r="B547" s="7"/>
      <c r="C547" s="7"/>
    </row>
    <row r="548" spans="1:3" ht="15">
      <c r="A548" s="7"/>
      <c r="B548" s="7"/>
      <c r="C548" s="7"/>
    </row>
    <row r="549" spans="1:3" ht="15">
      <c r="A549" s="7"/>
      <c r="B549" s="7"/>
      <c r="C549" s="7"/>
    </row>
    <row r="550" spans="1:3" ht="15">
      <c r="A550" s="7"/>
      <c r="B550" s="7"/>
      <c r="C550" s="7"/>
    </row>
    <row r="551" spans="1:3" ht="15">
      <c r="A551" s="7"/>
      <c r="B551" s="7"/>
      <c r="C551" s="7"/>
    </row>
    <row r="552" spans="1:3" ht="15">
      <c r="A552" s="7"/>
      <c r="B552" s="7"/>
      <c r="C552" s="7"/>
    </row>
    <row r="553" spans="1:3" ht="15">
      <c r="A553" s="7"/>
      <c r="B553" s="7"/>
      <c r="C553" s="7"/>
    </row>
    <row r="554" spans="1:3" ht="15">
      <c r="A554" s="7"/>
      <c r="B554" s="7"/>
      <c r="C554" s="7"/>
    </row>
    <row r="555" spans="1:3" ht="15">
      <c r="A555" s="7"/>
      <c r="B555" s="7"/>
      <c r="C555" s="7"/>
    </row>
    <row r="556" spans="1:3" ht="15">
      <c r="A556" s="7"/>
      <c r="B556" s="7"/>
      <c r="C556" s="7"/>
    </row>
    <row r="557" spans="1:3" ht="15">
      <c r="A557" s="7"/>
      <c r="B557" s="7"/>
      <c r="C557" s="7"/>
    </row>
    <row r="558" spans="1:3" ht="15">
      <c r="A558" s="7"/>
      <c r="B558" s="7"/>
      <c r="C558" s="7"/>
    </row>
    <row r="559" spans="1:3" ht="15">
      <c r="A559" s="7"/>
      <c r="B559" s="7"/>
      <c r="C559" s="7"/>
    </row>
    <row r="560" spans="1:3" ht="15">
      <c r="A560" s="7"/>
      <c r="B560" s="7"/>
      <c r="C560" s="7"/>
    </row>
    <row r="561" spans="1:3" ht="15">
      <c r="A561" s="7"/>
      <c r="B561" s="7"/>
      <c r="C561" s="7"/>
    </row>
    <row r="562" spans="1:3" ht="15">
      <c r="A562" s="7"/>
      <c r="B562" s="7"/>
      <c r="C562" s="7"/>
    </row>
    <row r="563" spans="1:3" ht="15">
      <c r="A563" s="7"/>
      <c r="B563" s="7"/>
      <c r="C563" s="7"/>
    </row>
    <row r="564" spans="1:3" ht="15">
      <c r="A564" s="7"/>
      <c r="B564" s="7"/>
      <c r="C564" s="7"/>
    </row>
    <row r="565" spans="1:3" ht="15">
      <c r="A565" s="7"/>
      <c r="B565" s="7"/>
      <c r="C565" s="7"/>
    </row>
    <row r="566" spans="1:3" ht="15">
      <c r="A566" s="7"/>
      <c r="B566" s="7"/>
      <c r="C566" s="7"/>
    </row>
    <row r="567" spans="1:3" ht="15">
      <c r="A567" s="7"/>
      <c r="B567" s="7"/>
      <c r="C567" s="7"/>
    </row>
    <row r="568" spans="1:3" ht="15">
      <c r="A568" s="7"/>
      <c r="B568" s="7"/>
      <c r="C568" s="7"/>
    </row>
    <row r="569" spans="1:3" ht="15">
      <c r="A569" s="7"/>
      <c r="B569" s="7"/>
      <c r="C569" s="7"/>
    </row>
    <row r="570" spans="1:3" ht="15">
      <c r="A570" s="7"/>
      <c r="B570" s="7"/>
      <c r="C570" s="7"/>
    </row>
    <row r="571" spans="1:3" ht="15">
      <c r="A571" s="7"/>
      <c r="B571" s="7"/>
      <c r="C571" s="7"/>
    </row>
    <row r="572" spans="1:3" ht="15">
      <c r="A572" s="7"/>
      <c r="B572" s="7"/>
      <c r="C572" s="7"/>
    </row>
    <row r="573" spans="1:3" ht="15">
      <c r="A573" s="7"/>
      <c r="B573" s="7"/>
      <c r="C573" s="7"/>
    </row>
    <row r="574" spans="1:3" ht="15">
      <c r="A574" s="7"/>
      <c r="B574" s="7"/>
      <c r="C574" s="7"/>
    </row>
    <row r="575" spans="1:3" ht="15">
      <c r="A575" s="7"/>
      <c r="B575" s="7"/>
      <c r="C575" s="7"/>
    </row>
    <row r="576" spans="1:3" ht="15">
      <c r="A576" s="7"/>
      <c r="B576" s="7"/>
      <c r="C576" s="7"/>
    </row>
    <row r="577" spans="1:3" ht="15">
      <c r="A577" s="7"/>
      <c r="B577" s="7"/>
      <c r="C577" s="7"/>
    </row>
    <row r="578" spans="1:3" ht="15">
      <c r="A578" s="7"/>
      <c r="B578" s="7"/>
      <c r="C578" s="7"/>
    </row>
    <row r="579" spans="1:3" ht="15">
      <c r="A579" s="7"/>
      <c r="B579" s="7"/>
      <c r="C579" s="7"/>
    </row>
    <row r="580" spans="1:3" ht="15">
      <c r="A580" s="7"/>
      <c r="B580" s="7"/>
      <c r="C580" s="7"/>
    </row>
    <row r="581" spans="1:3" ht="15">
      <c r="A581" s="7"/>
      <c r="B581" s="7"/>
      <c r="C581" s="7"/>
    </row>
    <row r="582" spans="1:3" ht="15">
      <c r="A582" s="7"/>
      <c r="B582" s="7"/>
      <c r="C582" s="7"/>
    </row>
    <row r="583" spans="1:3" ht="15">
      <c r="A583" s="7"/>
      <c r="B583" s="7"/>
      <c r="C583" s="7"/>
    </row>
    <row r="584" spans="1:3" ht="15">
      <c r="A584" s="7"/>
      <c r="B584" s="7"/>
      <c r="C584" s="7"/>
    </row>
    <row r="585" spans="1:3" ht="15">
      <c r="A585" s="7"/>
      <c r="B585" s="7"/>
      <c r="C585" s="7"/>
    </row>
    <row r="586" spans="1:3" ht="15">
      <c r="A586" s="7"/>
      <c r="B586" s="7"/>
      <c r="C586" s="7"/>
    </row>
    <row r="587" spans="1:3" ht="15">
      <c r="A587" s="7"/>
      <c r="B587" s="7"/>
      <c r="C587" s="7"/>
    </row>
    <row r="588" spans="1:3" ht="15">
      <c r="A588" s="7"/>
      <c r="B588" s="7"/>
      <c r="C588" s="7"/>
    </row>
    <row r="589" spans="1:3" ht="15">
      <c r="A589" s="7"/>
      <c r="B589" s="7"/>
      <c r="C589" s="7"/>
    </row>
    <row r="590" spans="1:3" ht="15">
      <c r="A590" s="7"/>
      <c r="B590" s="7"/>
      <c r="C590" s="7"/>
    </row>
    <row r="591" spans="1:3" ht="15">
      <c r="A591" s="7"/>
      <c r="B591" s="7"/>
      <c r="C591" s="7"/>
    </row>
    <row r="592" spans="1:3" ht="15">
      <c r="A592" s="7"/>
      <c r="B592" s="7"/>
      <c r="C592" s="7"/>
    </row>
    <row r="593" spans="1:3" ht="15">
      <c r="A593" s="7"/>
      <c r="B593" s="7"/>
      <c r="C593" s="7"/>
    </row>
    <row r="594" spans="1:3" ht="15">
      <c r="A594" s="7"/>
      <c r="B594" s="7"/>
      <c r="C594" s="7"/>
    </row>
    <row r="595" spans="1:3" ht="15">
      <c r="A595" s="7"/>
      <c r="B595" s="7"/>
      <c r="C595" s="7"/>
    </row>
    <row r="596" spans="1:3" ht="15">
      <c r="A596" s="7"/>
      <c r="B596" s="7"/>
      <c r="C596" s="7"/>
    </row>
    <row r="597" spans="1:3" ht="15">
      <c r="A597" s="7"/>
      <c r="B597" s="7"/>
      <c r="C597" s="7"/>
    </row>
    <row r="598" spans="1:3" ht="15">
      <c r="A598" s="7"/>
      <c r="B598" s="7"/>
      <c r="C598" s="7"/>
    </row>
    <row r="599" spans="1:3" ht="15">
      <c r="A599" s="7"/>
      <c r="B599" s="7"/>
      <c r="C599" s="7"/>
    </row>
    <row r="600" spans="1:3" ht="15">
      <c r="A600" s="7"/>
      <c r="B600" s="7"/>
      <c r="C600" s="7"/>
    </row>
    <row r="601" spans="1:3" ht="15">
      <c r="A601" s="7"/>
      <c r="B601" s="7"/>
      <c r="C601" s="7"/>
    </row>
    <row r="602" spans="1:3" ht="15">
      <c r="A602" s="7"/>
      <c r="B602" s="7"/>
      <c r="C602" s="7"/>
    </row>
    <row r="603" spans="1:3" ht="15">
      <c r="A603" s="7"/>
      <c r="B603" s="7"/>
      <c r="C603" s="7"/>
    </row>
    <row r="604" spans="1:3" ht="15">
      <c r="A604" s="7"/>
      <c r="B604" s="7"/>
      <c r="C604" s="7"/>
    </row>
    <row r="605" spans="1:3" ht="15">
      <c r="A605" s="7"/>
      <c r="B605" s="7"/>
      <c r="C605" s="7"/>
    </row>
    <row r="606" spans="1:3" ht="15">
      <c r="A606" s="7"/>
      <c r="B606" s="7"/>
      <c r="C606" s="7"/>
    </row>
    <row r="607" spans="1:3" ht="15">
      <c r="A607" s="7"/>
      <c r="B607" s="7"/>
      <c r="C607" s="7"/>
    </row>
    <row r="608" spans="1:3" ht="15">
      <c r="A608" s="7"/>
      <c r="B608" s="7"/>
      <c r="C608" s="7"/>
    </row>
    <row r="609" spans="1:3" ht="15">
      <c r="A609" s="7"/>
      <c r="B609" s="7"/>
      <c r="C609" s="7"/>
    </row>
    <row r="610" spans="1:3" ht="15">
      <c r="A610" s="7"/>
      <c r="B610" s="7"/>
      <c r="C610" s="7"/>
    </row>
    <row r="611" spans="1:3" ht="15">
      <c r="A611" s="7"/>
      <c r="B611" s="7"/>
      <c r="C611" s="7"/>
    </row>
    <row r="612" spans="1:3" ht="15">
      <c r="A612" s="7"/>
      <c r="B612" s="7"/>
      <c r="C612" s="7"/>
    </row>
    <row r="613" spans="1:3" ht="15">
      <c r="A613" s="7"/>
      <c r="B613" s="7"/>
      <c r="C613" s="7"/>
    </row>
    <row r="614" spans="1:3" ht="15">
      <c r="A614" s="7"/>
      <c r="B614" s="7"/>
      <c r="C614" s="7"/>
    </row>
    <row r="615" spans="1:3" ht="15">
      <c r="A615" s="7"/>
      <c r="B615" s="7"/>
      <c r="C615" s="7"/>
    </row>
    <row r="616" spans="1:3" ht="15">
      <c r="A616" s="7"/>
      <c r="B616" s="7"/>
      <c r="C616" s="7"/>
    </row>
    <row r="617" spans="1:3" ht="15">
      <c r="A617" s="7"/>
      <c r="B617" s="7"/>
      <c r="C617" s="7"/>
    </row>
    <row r="618" spans="1:3" ht="15">
      <c r="A618" s="7"/>
      <c r="B618" s="7"/>
      <c r="C618" s="7"/>
    </row>
    <row r="619" spans="1:3" ht="15">
      <c r="A619" s="7"/>
      <c r="B619" s="7"/>
      <c r="C619" s="7"/>
    </row>
    <row r="620" spans="1:3" ht="15">
      <c r="A620" s="7"/>
      <c r="B620" s="7"/>
      <c r="C620" s="7"/>
    </row>
    <row r="621" spans="1:3" ht="15">
      <c r="A621" s="7"/>
      <c r="B621" s="7"/>
      <c r="C621" s="7"/>
    </row>
    <row r="622" spans="1:3" ht="15">
      <c r="A622" s="7"/>
      <c r="B622" s="7"/>
      <c r="C622" s="7"/>
    </row>
    <row r="623" spans="1:3" ht="15">
      <c r="A623" s="7"/>
      <c r="B623" s="7"/>
      <c r="C623" s="7"/>
    </row>
    <row r="624" spans="1:3" ht="15">
      <c r="A624" s="7"/>
      <c r="B624" s="7"/>
      <c r="C624" s="7"/>
    </row>
    <row r="625" spans="1:3" ht="15">
      <c r="A625" s="7"/>
      <c r="B625" s="7"/>
      <c r="C625" s="7"/>
    </row>
    <row r="626" spans="1:3" ht="15">
      <c r="A626" s="7"/>
      <c r="B626" s="7"/>
      <c r="C626" s="7"/>
    </row>
    <row r="627" spans="1:3" ht="15">
      <c r="A627" s="7"/>
      <c r="B627" s="7"/>
      <c r="C627" s="7"/>
    </row>
    <row r="628" spans="1:3" ht="15">
      <c r="A628" s="7"/>
      <c r="B628" s="7"/>
      <c r="C628" s="7"/>
    </row>
    <row r="629" spans="1:3" ht="15">
      <c r="A629" s="7"/>
      <c r="B629" s="7"/>
      <c r="C629" s="7"/>
    </row>
    <row r="630" spans="1:3" ht="15">
      <c r="A630" s="7"/>
      <c r="B630" s="7"/>
      <c r="C630" s="7"/>
    </row>
    <row r="631" spans="1:3" ht="15">
      <c r="A631" s="7"/>
      <c r="B631" s="7"/>
      <c r="C631" s="7"/>
    </row>
    <row r="632" spans="1:3" ht="15">
      <c r="A632" s="7"/>
      <c r="B632" s="7"/>
      <c r="C632" s="7"/>
    </row>
    <row r="633" spans="1:3" ht="15">
      <c r="A633" s="7"/>
      <c r="B633" s="7"/>
      <c r="C633" s="7"/>
    </row>
    <row r="634" spans="1:3" ht="15">
      <c r="A634" s="7"/>
      <c r="B634" s="7"/>
      <c r="C634" s="7"/>
    </row>
    <row r="635" spans="1:3" ht="15">
      <c r="A635" s="7"/>
      <c r="B635" s="7"/>
      <c r="C635" s="7"/>
    </row>
    <row r="636" spans="1:3" ht="15">
      <c r="A636" s="7"/>
      <c r="B636" s="7"/>
      <c r="C636" s="7"/>
    </row>
    <row r="637" spans="1:3" ht="15">
      <c r="A637" s="7"/>
      <c r="B637" s="7"/>
      <c r="C637" s="7"/>
    </row>
    <row r="638" spans="1:3" ht="15">
      <c r="A638" s="7"/>
      <c r="B638" s="7"/>
      <c r="C638" s="7"/>
    </row>
    <row r="639" spans="1:3" ht="15">
      <c r="A639" s="7"/>
      <c r="B639" s="7"/>
      <c r="C639" s="7"/>
    </row>
    <row r="640" spans="1:3" ht="15">
      <c r="A640" s="7"/>
      <c r="B640" s="7"/>
      <c r="C640" s="7"/>
    </row>
    <row r="641" spans="1:3" ht="15">
      <c r="A641" s="7"/>
      <c r="B641" s="7"/>
      <c r="C641" s="7"/>
    </row>
    <row r="642" spans="1:3" ht="15">
      <c r="A642" s="7"/>
      <c r="B642" s="7"/>
      <c r="C642" s="7"/>
    </row>
    <row r="643" spans="1:3" ht="15">
      <c r="A643" s="7"/>
      <c r="B643" s="7"/>
      <c r="C643" s="7"/>
    </row>
    <row r="644" spans="1:3" ht="15">
      <c r="A644" s="7"/>
      <c r="B644" s="7"/>
      <c r="C644" s="7"/>
    </row>
    <row r="645" spans="1:3" ht="15">
      <c r="A645" s="7"/>
      <c r="B645" s="7"/>
      <c r="C645" s="7"/>
    </row>
    <row r="646" spans="1:3" ht="15">
      <c r="A646" s="7"/>
      <c r="B646" s="7"/>
      <c r="C646" s="7"/>
    </row>
    <row r="647" spans="1:3" ht="15">
      <c r="A647" s="7"/>
      <c r="B647" s="7"/>
      <c r="C647" s="7"/>
    </row>
    <row r="648" spans="1:3" ht="15">
      <c r="A648" s="7"/>
      <c r="B648" s="7"/>
      <c r="C648" s="7"/>
    </row>
    <row r="649" spans="1:3" ht="15">
      <c r="A649" s="7"/>
      <c r="B649" s="7"/>
      <c r="C649" s="7"/>
    </row>
    <row r="650" spans="1:3" ht="15">
      <c r="A650" s="7"/>
      <c r="B650" s="7"/>
      <c r="C650" s="7"/>
    </row>
    <row r="651" spans="1:3" ht="15">
      <c r="A651" s="7"/>
      <c r="B651" s="7"/>
      <c r="C651" s="7"/>
    </row>
    <row r="652" spans="1:3" ht="15">
      <c r="A652" s="7"/>
      <c r="B652" s="7"/>
      <c r="C652" s="7"/>
    </row>
    <row r="653" spans="1:3" ht="15">
      <c r="A653" s="7"/>
      <c r="B653" s="7"/>
      <c r="C653" s="7"/>
    </row>
    <row r="654" spans="1:3" ht="15">
      <c r="A654" s="7"/>
      <c r="B654" s="7"/>
      <c r="C654" s="7"/>
    </row>
    <row r="655" spans="1:3" ht="15">
      <c r="A655" s="7"/>
      <c r="B655" s="7"/>
      <c r="C655" s="7"/>
    </row>
    <row r="656" spans="1:3" ht="15">
      <c r="A656" s="7"/>
      <c r="B656" s="7"/>
      <c r="C656" s="7"/>
    </row>
    <row r="657" spans="1:3" ht="15">
      <c r="A657" s="7"/>
      <c r="B657" s="7"/>
      <c r="C657" s="7"/>
    </row>
    <row r="658" spans="1:3" ht="15">
      <c r="A658" s="7"/>
      <c r="B658" s="7"/>
      <c r="C658" s="7"/>
    </row>
    <row r="659" spans="1:3" ht="15">
      <c r="A659" s="7"/>
      <c r="B659" s="7"/>
      <c r="C659" s="7"/>
    </row>
    <row r="660" spans="1:3" ht="15">
      <c r="A660" s="7"/>
      <c r="B660" s="7"/>
      <c r="C660" s="7"/>
    </row>
    <row r="661" spans="1:3" ht="15">
      <c r="A661" s="7"/>
      <c r="B661" s="7"/>
      <c r="C661" s="7"/>
    </row>
    <row r="662" spans="1:3" ht="15">
      <c r="A662" s="7"/>
      <c r="B662" s="7"/>
      <c r="C662" s="7"/>
    </row>
    <row r="663" spans="1:3" ht="15">
      <c r="A663" s="7"/>
      <c r="B663" s="7"/>
      <c r="C663" s="7"/>
    </row>
    <row r="664" spans="1:3" ht="15">
      <c r="A664" s="7"/>
      <c r="B664" s="7"/>
      <c r="C664" s="7"/>
    </row>
    <row r="665" spans="1:3" ht="15">
      <c r="A665" s="7"/>
      <c r="B665" s="7"/>
      <c r="C665" s="7"/>
    </row>
    <row r="666" spans="1:3" ht="15">
      <c r="A666" s="7"/>
      <c r="B666" s="7"/>
      <c r="C666" s="7"/>
    </row>
    <row r="667" spans="1:3" ht="15">
      <c r="A667" s="7"/>
      <c r="B667" s="7"/>
      <c r="C667" s="7"/>
    </row>
    <row r="668" spans="1:3" ht="15">
      <c r="A668" s="7"/>
      <c r="B668" s="7"/>
      <c r="C668" s="7"/>
    </row>
    <row r="669" spans="1:3" ht="15">
      <c r="A669" s="7"/>
      <c r="B669" s="7"/>
      <c r="C669" s="7"/>
    </row>
    <row r="670" spans="1:3" ht="15">
      <c r="A670" s="7"/>
      <c r="B670" s="7"/>
      <c r="C670" s="7"/>
    </row>
    <row r="671" spans="1:3" ht="15">
      <c r="A671" s="7"/>
      <c r="B671" s="7"/>
      <c r="C671" s="7"/>
    </row>
    <row r="672" spans="1:3" ht="15">
      <c r="A672" s="7"/>
      <c r="B672" s="7"/>
      <c r="C672" s="7"/>
    </row>
    <row r="673" spans="1:3" ht="15">
      <c r="A673" s="7"/>
      <c r="B673" s="7"/>
      <c r="C673" s="7"/>
    </row>
    <row r="674" spans="1:3" ht="15">
      <c r="A674" s="7"/>
      <c r="B674" s="7"/>
      <c r="C674" s="7"/>
    </row>
    <row r="675" spans="1:3" ht="15">
      <c r="A675" s="7"/>
      <c r="B675" s="7"/>
      <c r="C675" s="7"/>
    </row>
    <row r="676" spans="1:3" ht="15">
      <c r="A676" s="7"/>
      <c r="B676" s="7"/>
      <c r="C676" s="7"/>
    </row>
    <row r="677" spans="1:3" ht="15">
      <c r="A677" s="7"/>
      <c r="B677" s="7"/>
      <c r="C677" s="7"/>
    </row>
    <row r="678" spans="1:3" ht="15">
      <c r="A678" s="7"/>
      <c r="B678" s="7"/>
      <c r="C678" s="7"/>
    </row>
    <row r="679" spans="1:3" ht="15">
      <c r="A679" s="7"/>
      <c r="B679" s="7"/>
      <c r="C679" s="7"/>
    </row>
    <row r="680" spans="1:3" ht="15">
      <c r="A680" s="7"/>
      <c r="B680" s="7"/>
      <c r="C680" s="7"/>
    </row>
    <row r="681" spans="1:3" ht="15">
      <c r="A681" s="7"/>
      <c r="B681" s="7"/>
      <c r="C681" s="7"/>
    </row>
    <row r="682" spans="1:3" ht="15">
      <c r="A682" s="7"/>
      <c r="B682" s="7"/>
      <c r="C682" s="7"/>
    </row>
    <row r="683" spans="1:3" ht="15">
      <c r="A683" s="7"/>
      <c r="B683" s="7"/>
      <c r="C683" s="7"/>
    </row>
    <row r="684" spans="1:3" ht="15">
      <c r="A684" s="7"/>
      <c r="B684" s="7"/>
      <c r="C684" s="7"/>
    </row>
    <row r="685" spans="1:3" ht="15">
      <c r="A685" s="7"/>
      <c r="B685" s="7"/>
      <c r="C685" s="7"/>
    </row>
    <row r="686" spans="1:3" ht="15">
      <c r="A686" s="7"/>
      <c r="B686" s="7"/>
      <c r="C686" s="7"/>
    </row>
    <row r="687" spans="1:3" ht="15">
      <c r="A687" s="7"/>
      <c r="B687" s="7"/>
      <c r="C687" s="7"/>
    </row>
    <row r="688" spans="1:3" ht="15">
      <c r="A688" s="7"/>
      <c r="B688" s="7"/>
      <c r="C688" s="7"/>
    </row>
    <row r="689" spans="1:3" ht="15">
      <c r="A689" s="7"/>
      <c r="B689" s="7"/>
      <c r="C689" s="7"/>
    </row>
    <row r="690" spans="1:3" ht="15">
      <c r="A690" s="7"/>
      <c r="B690" s="7"/>
      <c r="C690" s="7"/>
    </row>
    <row r="691" spans="1:3" ht="15">
      <c r="A691" s="7"/>
      <c r="B691" s="7"/>
      <c r="C691" s="7"/>
    </row>
    <row r="692" spans="1:3" ht="15">
      <c r="A692" s="7"/>
      <c r="B692" s="7"/>
      <c r="C692" s="7"/>
    </row>
    <row r="693" spans="1:3" ht="15">
      <c r="A693" s="7"/>
      <c r="B693" s="7"/>
      <c r="C693" s="7"/>
    </row>
    <row r="694" spans="1:3" ht="15">
      <c r="A694" s="7"/>
      <c r="B694" s="7"/>
      <c r="C694" s="7"/>
    </row>
    <row r="695" spans="1:3" ht="15">
      <c r="A695" s="7"/>
      <c r="B695" s="7"/>
      <c r="C695" s="7"/>
    </row>
    <row r="696" spans="1:3" ht="15">
      <c r="A696" s="7"/>
      <c r="B696" s="7"/>
      <c r="C696" s="7"/>
    </row>
    <row r="697" spans="1:3" ht="15">
      <c r="A697" s="7"/>
      <c r="B697" s="7"/>
      <c r="C697" s="7"/>
    </row>
    <row r="698" spans="1:3" ht="15">
      <c r="A698" s="7"/>
      <c r="B698" s="7"/>
      <c r="C698" s="7"/>
    </row>
    <row r="699" spans="1:3" ht="15">
      <c r="A699" s="7"/>
      <c r="B699" s="7"/>
      <c r="C699" s="7"/>
    </row>
    <row r="700" spans="1:3" ht="15">
      <c r="A700" s="7"/>
      <c r="B700" s="7"/>
      <c r="C700" s="7"/>
    </row>
    <row r="701" spans="1:3" ht="15">
      <c r="A701" s="7"/>
      <c r="B701" s="7"/>
      <c r="C701" s="7"/>
    </row>
    <row r="702" spans="1:3" ht="15">
      <c r="A702" s="7"/>
      <c r="B702" s="7"/>
      <c r="C702" s="7"/>
    </row>
    <row r="703" spans="1:3" ht="15">
      <c r="A703" s="7"/>
      <c r="B703" s="7"/>
      <c r="C703" s="7"/>
    </row>
    <row r="704" spans="1:3" ht="15">
      <c r="A704" s="7"/>
      <c r="B704" s="7"/>
      <c r="C704" s="7"/>
    </row>
    <row r="705" spans="1:3" ht="15">
      <c r="A705" s="7"/>
      <c r="B705" s="7"/>
      <c r="C705" s="7"/>
    </row>
    <row r="706" spans="1:3" ht="15">
      <c r="A706" s="7"/>
      <c r="B706" s="7"/>
      <c r="C706" s="7"/>
    </row>
    <row r="707" spans="1:3" ht="15">
      <c r="A707" s="7"/>
      <c r="B707" s="7"/>
      <c r="C707" s="7"/>
    </row>
    <row r="708" spans="1:3" ht="15">
      <c r="A708" s="7"/>
      <c r="B708" s="7"/>
      <c r="C708" s="7"/>
    </row>
    <row r="709" spans="1:3" ht="15">
      <c r="A709" s="7"/>
      <c r="B709" s="7"/>
      <c r="C709" s="7"/>
    </row>
    <row r="710" spans="1:3" ht="15">
      <c r="A710" s="7"/>
      <c r="B710" s="7"/>
      <c r="C710" s="7"/>
    </row>
    <row r="711" spans="1:3" ht="15">
      <c r="A711" s="7"/>
      <c r="B711" s="7"/>
      <c r="C711" s="7"/>
    </row>
    <row r="712" spans="1:3" ht="15">
      <c r="A712" s="7"/>
      <c r="B712" s="7"/>
      <c r="C712" s="7"/>
    </row>
    <row r="713" spans="1:3" ht="15">
      <c r="A713" s="7"/>
      <c r="B713" s="7"/>
      <c r="C713" s="7"/>
    </row>
    <row r="714" spans="1:3" ht="15">
      <c r="A714" s="7"/>
      <c r="B714" s="7"/>
      <c r="C714" s="7"/>
    </row>
    <row r="715" spans="1:3" ht="15">
      <c r="A715" s="7"/>
      <c r="B715" s="7"/>
      <c r="C715" s="7"/>
    </row>
    <row r="716" spans="1:3" ht="15">
      <c r="A716" s="7"/>
      <c r="B716" s="7"/>
      <c r="C716" s="7"/>
    </row>
    <row r="717" spans="1:3" ht="15">
      <c r="A717" s="7"/>
      <c r="B717" s="7"/>
      <c r="C717" s="7"/>
    </row>
    <row r="718" spans="1:3" ht="15">
      <c r="A718" s="7"/>
      <c r="B718" s="7"/>
      <c r="C718" s="7"/>
    </row>
    <row r="719" spans="1:3" ht="15">
      <c r="A719" s="7"/>
      <c r="B719" s="7"/>
      <c r="C719" s="7"/>
    </row>
    <row r="720" spans="1:3" ht="15">
      <c r="A720" s="7"/>
      <c r="B720" s="7"/>
      <c r="C720" s="7"/>
    </row>
    <row r="721" spans="1:3" ht="15">
      <c r="A721" s="7"/>
      <c r="B721" s="7"/>
      <c r="C721" s="7"/>
    </row>
    <row r="722" spans="1:3" ht="15">
      <c r="A722" s="7"/>
      <c r="B722" s="7"/>
      <c r="C722" s="7"/>
    </row>
    <row r="723" spans="1:3" ht="15">
      <c r="A723" s="7"/>
      <c r="B723" s="7"/>
      <c r="C723" s="7"/>
    </row>
    <row r="724" spans="1:3" ht="15">
      <c r="A724" s="7"/>
      <c r="B724" s="7"/>
      <c r="C724" s="7"/>
    </row>
    <row r="725" spans="1:3" ht="15">
      <c r="A725" s="7"/>
      <c r="B725" s="7"/>
      <c r="C725" s="7"/>
    </row>
    <row r="726" spans="1:3" ht="15">
      <c r="A726" s="7"/>
      <c r="B726" s="7"/>
      <c r="C726" s="7"/>
    </row>
    <row r="727" spans="1:3" ht="15">
      <c r="A727" s="7"/>
      <c r="B727" s="7"/>
      <c r="C727" s="7"/>
    </row>
    <row r="728" spans="1:3" ht="15">
      <c r="A728" s="7"/>
      <c r="B728" s="7"/>
      <c r="C728" s="7"/>
    </row>
    <row r="729" spans="1:3" ht="15">
      <c r="A729" s="7"/>
      <c r="B729" s="7"/>
      <c r="C729" s="7"/>
    </row>
    <row r="730" spans="1:3" ht="15">
      <c r="A730" s="7"/>
      <c r="B730" s="7"/>
      <c r="C730" s="7"/>
    </row>
    <row r="731" spans="1:3" ht="15">
      <c r="A731" s="7"/>
      <c r="B731" s="7"/>
      <c r="C731" s="7"/>
    </row>
    <row r="732" spans="1:3" ht="15">
      <c r="A732" s="7"/>
      <c r="B732" s="7"/>
      <c r="C732" s="7"/>
    </row>
    <row r="733" spans="1:3" ht="15">
      <c r="A733" s="7"/>
      <c r="B733" s="7"/>
      <c r="C733" s="7"/>
    </row>
    <row r="734" spans="1:3" ht="15">
      <c r="A734" s="7"/>
      <c r="B734" s="7"/>
      <c r="C734" s="7"/>
    </row>
    <row r="735" spans="1:3" ht="15">
      <c r="A735" s="7"/>
      <c r="B735" s="7"/>
      <c r="C735" s="7"/>
    </row>
    <row r="736" spans="1:3" ht="15">
      <c r="A736" s="7"/>
      <c r="B736" s="7"/>
      <c r="C736" s="7"/>
    </row>
    <row r="737" spans="1:3" ht="15">
      <c r="A737" s="7"/>
      <c r="B737" s="7"/>
      <c r="C737" s="7"/>
    </row>
    <row r="738" spans="1:3" ht="15">
      <c r="A738" s="7"/>
      <c r="B738" s="7"/>
      <c r="C738" s="7"/>
    </row>
    <row r="739" spans="1:3" ht="15">
      <c r="A739" s="7"/>
      <c r="B739" s="7"/>
      <c r="C739" s="7"/>
    </row>
    <row r="740" spans="1:3" ht="15">
      <c r="A740" s="7"/>
      <c r="B740" s="7"/>
      <c r="C740" s="7"/>
    </row>
    <row r="741" spans="1:3" ht="15">
      <c r="A741" s="7"/>
      <c r="B741" s="7"/>
      <c r="C741" s="7"/>
    </row>
    <row r="742" spans="1:3" ht="15">
      <c r="A742" s="7"/>
      <c r="B742" s="7"/>
      <c r="C742" s="7"/>
    </row>
    <row r="743" spans="1:3" ht="15">
      <c r="A743" s="7"/>
      <c r="B743" s="7"/>
      <c r="C743" s="7"/>
    </row>
    <row r="744" spans="1:3" ht="15">
      <c r="A744" s="7"/>
      <c r="B744" s="7"/>
      <c r="C744" s="7"/>
    </row>
    <row r="745" spans="1:3" ht="15">
      <c r="A745" s="7"/>
      <c r="B745" s="7"/>
      <c r="C745" s="7"/>
    </row>
    <row r="746" spans="1:3" ht="15">
      <c r="A746" s="7"/>
      <c r="B746" s="7"/>
      <c r="C746" s="7"/>
    </row>
    <row r="747" spans="1:3" ht="15">
      <c r="A747" s="7"/>
      <c r="B747" s="7"/>
      <c r="C747" s="7"/>
    </row>
    <row r="748" spans="1:3" ht="15">
      <c r="A748" s="7"/>
      <c r="B748" s="7"/>
      <c r="C748" s="7"/>
    </row>
    <row r="749" spans="1:3" ht="15">
      <c r="A749" s="7"/>
      <c r="B749" s="7"/>
      <c r="C749" s="7"/>
    </row>
    <row r="750" spans="1:3" ht="15">
      <c r="A750" s="7"/>
      <c r="B750" s="7"/>
      <c r="C750" s="7"/>
    </row>
    <row r="751" spans="1:3" ht="15">
      <c r="A751" s="7"/>
      <c r="B751" s="7"/>
      <c r="C751" s="7"/>
    </row>
    <row r="752" spans="1:3" ht="15">
      <c r="A752" s="7"/>
      <c r="B752" s="7"/>
      <c r="C752" s="7"/>
    </row>
    <row r="753" spans="1:3" ht="15">
      <c r="A753" s="7"/>
      <c r="B753" s="7"/>
      <c r="C753" s="7"/>
    </row>
    <row r="754" spans="1:3" ht="15">
      <c r="A754" s="7"/>
      <c r="B754" s="7"/>
      <c r="C754" s="7"/>
    </row>
    <row r="755" spans="1:3" ht="15">
      <c r="A755" s="7"/>
      <c r="B755" s="7"/>
      <c r="C755" s="7"/>
    </row>
    <row r="756" spans="1:3" ht="15">
      <c r="A756" s="7"/>
      <c r="B756" s="7"/>
      <c r="C756" s="7"/>
    </row>
    <row r="757" spans="1:3" ht="15">
      <c r="A757" s="7"/>
      <c r="B757" s="7"/>
      <c r="C757" s="7"/>
    </row>
    <row r="758" spans="1:3" ht="15">
      <c r="A758" s="7"/>
      <c r="B758" s="7"/>
      <c r="C758" s="7"/>
    </row>
    <row r="759" spans="1:3" ht="15">
      <c r="A759" s="7"/>
      <c r="B759" s="7"/>
      <c r="C759" s="7"/>
    </row>
    <row r="760" spans="1:3" ht="15">
      <c r="A760" s="7"/>
      <c r="B760" s="7"/>
      <c r="C760" s="7"/>
    </row>
    <row r="761" spans="1:3" ht="15">
      <c r="A761" s="7"/>
      <c r="B761" s="7"/>
      <c r="C761" s="7"/>
    </row>
    <row r="762" spans="1:3" ht="15">
      <c r="A762" s="7"/>
      <c r="B762" s="7"/>
      <c r="C762" s="7"/>
    </row>
    <row r="763" spans="1:3" ht="15">
      <c r="A763" s="7"/>
      <c r="B763" s="7"/>
      <c r="C763" s="7"/>
    </row>
    <row r="764" spans="1:3" ht="15">
      <c r="A764" s="7"/>
      <c r="B764" s="7"/>
      <c r="C764" s="7"/>
    </row>
    <row r="765" spans="1:3" ht="15">
      <c r="A765" s="7"/>
      <c r="B765" s="7"/>
      <c r="C765" s="7"/>
    </row>
    <row r="766" spans="1:3" ht="15">
      <c r="A766" s="7"/>
      <c r="B766" s="7"/>
      <c r="C766" s="7"/>
    </row>
    <row r="767" spans="1:3" ht="15">
      <c r="A767" s="7"/>
      <c r="B767" s="7"/>
      <c r="C767" s="7"/>
    </row>
    <row r="768" spans="1:3" ht="15">
      <c r="A768" s="7"/>
      <c r="B768" s="7"/>
      <c r="C768" s="7"/>
    </row>
    <row r="769" spans="1:3" ht="15">
      <c r="A769" s="7"/>
      <c r="B769" s="7"/>
      <c r="C769" s="7"/>
    </row>
    <row r="770" spans="1:3" ht="15">
      <c r="A770" s="7"/>
      <c r="B770" s="7"/>
      <c r="C770" s="7"/>
    </row>
    <row r="771" spans="1:3" ht="15">
      <c r="A771" s="7"/>
      <c r="B771" s="7"/>
      <c r="C771" s="7"/>
    </row>
    <row r="772" spans="1:3" ht="15">
      <c r="A772" s="7"/>
      <c r="B772" s="7"/>
      <c r="C772" s="7"/>
    </row>
    <row r="773" spans="1:3" ht="15">
      <c r="A773" s="7"/>
      <c r="B773" s="7"/>
      <c r="C773" s="7"/>
    </row>
    <row r="774" spans="1:3" ht="15">
      <c r="A774" s="7"/>
      <c r="B774" s="7"/>
      <c r="C774" s="7"/>
    </row>
    <row r="775" spans="1:3" ht="15">
      <c r="A775" s="7"/>
      <c r="B775" s="7"/>
      <c r="C775" s="7"/>
    </row>
    <row r="776" spans="1:3" ht="15">
      <c r="A776" s="7"/>
      <c r="B776" s="7"/>
      <c r="C776" s="7"/>
    </row>
    <row r="777" spans="1:3" ht="15">
      <c r="A777" s="7"/>
      <c r="B777" s="7"/>
      <c r="C777" s="7"/>
    </row>
    <row r="778" spans="1:3" ht="15">
      <c r="A778" s="7"/>
      <c r="B778" s="7"/>
      <c r="C778" s="7"/>
    </row>
    <row r="779" spans="1:3" ht="15">
      <c r="A779" s="7"/>
      <c r="B779" s="7"/>
      <c r="C779" s="7"/>
    </row>
    <row r="780" spans="1:3" ht="15">
      <c r="A780" s="7"/>
      <c r="B780" s="7"/>
      <c r="C780" s="7"/>
    </row>
    <row r="781" spans="1:3" ht="15">
      <c r="A781" s="7"/>
      <c r="B781" s="7"/>
      <c r="C781" s="7"/>
    </row>
    <row r="782" spans="1:3" ht="15">
      <c r="A782" s="7"/>
      <c r="B782" s="7"/>
      <c r="C782" s="7"/>
    </row>
    <row r="783" spans="1:3" ht="15">
      <c r="A783" s="7"/>
      <c r="B783" s="7"/>
      <c r="C783" s="7"/>
    </row>
    <row r="784" spans="1:3" ht="15">
      <c r="A784" s="7"/>
      <c r="B784" s="7"/>
      <c r="C784" s="7"/>
    </row>
    <row r="785" spans="1:3" ht="15">
      <c r="A785" s="7"/>
      <c r="B785" s="7"/>
      <c r="C785" s="7"/>
    </row>
    <row r="786" spans="1:3" ht="15">
      <c r="A786" s="7"/>
      <c r="B786" s="7"/>
      <c r="C786" s="7"/>
    </row>
    <row r="787" spans="1:3" ht="15">
      <c r="A787" s="7"/>
      <c r="B787" s="7"/>
      <c r="C787" s="7"/>
    </row>
    <row r="788" spans="1:3" ht="15">
      <c r="A788" s="7"/>
      <c r="B788" s="7"/>
      <c r="C788" s="7"/>
    </row>
    <row r="789" spans="1:3" ht="15">
      <c r="A789" s="7"/>
      <c r="B789" s="7"/>
      <c r="C789" s="7"/>
    </row>
    <row r="790" spans="1:3" ht="15">
      <c r="A790" s="7"/>
      <c r="B790" s="7"/>
      <c r="C790" s="7"/>
    </row>
    <row r="791" spans="1:3" ht="15">
      <c r="A791" s="7"/>
      <c r="B791" s="7"/>
      <c r="C791" s="7"/>
    </row>
    <row r="792" spans="1:3" ht="15">
      <c r="A792" s="7"/>
      <c r="B792" s="7"/>
      <c r="C792" s="7"/>
    </row>
    <row r="793" spans="1:3" ht="15">
      <c r="A793" s="7"/>
      <c r="B793" s="7"/>
      <c r="C793" s="7"/>
    </row>
    <row r="794" spans="1:3" ht="15">
      <c r="A794" s="7"/>
      <c r="B794" s="7"/>
      <c r="C794" s="7"/>
    </row>
    <row r="795" spans="1:3" ht="15">
      <c r="A795" s="7"/>
      <c r="B795" s="7"/>
      <c r="C795" s="7"/>
    </row>
    <row r="796" spans="1:3" ht="15">
      <c r="A796" s="7"/>
      <c r="B796" s="7"/>
      <c r="C796" s="7"/>
    </row>
    <row r="797" spans="1:3" ht="15">
      <c r="A797" s="7"/>
      <c r="B797" s="7"/>
      <c r="C797" s="7"/>
    </row>
    <row r="798" spans="1:3" ht="15">
      <c r="A798" s="7"/>
      <c r="B798" s="7"/>
      <c r="C798" s="7"/>
    </row>
    <row r="799" spans="1:3" ht="15">
      <c r="A799" s="7"/>
      <c r="B799" s="7"/>
      <c r="C799" s="7"/>
    </row>
    <row r="800" spans="1:3" ht="15">
      <c r="A800" s="7"/>
      <c r="B800" s="7"/>
      <c r="C800" s="7"/>
    </row>
    <row r="801" spans="1:3" ht="15">
      <c r="A801" s="7"/>
      <c r="B801" s="7"/>
      <c r="C801" s="7"/>
    </row>
    <row r="802" spans="1:3" ht="15">
      <c r="A802" s="7"/>
      <c r="B802" s="7"/>
      <c r="C802" s="7"/>
    </row>
    <row r="803" spans="1:3" ht="15">
      <c r="A803" s="7"/>
      <c r="B803" s="7"/>
      <c r="C803" s="7"/>
    </row>
    <row r="804" spans="1:3" ht="15">
      <c r="A804" s="7"/>
      <c r="B804" s="7"/>
      <c r="C804" s="7"/>
    </row>
    <row r="805" spans="1:3" ht="15">
      <c r="A805" s="7"/>
      <c r="B805" s="7"/>
      <c r="C805" s="7"/>
    </row>
    <row r="806" spans="1:3" ht="15">
      <c r="A806" s="7"/>
      <c r="B806" s="7"/>
      <c r="C806" s="7"/>
    </row>
    <row r="807" spans="1:3" ht="15">
      <c r="A807" s="7"/>
      <c r="B807" s="7"/>
      <c r="C807" s="7"/>
    </row>
    <row r="808" spans="1:3" ht="15">
      <c r="A808" s="7"/>
      <c r="B808" s="7"/>
      <c r="C808" s="7"/>
    </row>
    <row r="809" spans="1:3" ht="15">
      <c r="A809" s="7"/>
      <c r="B809" s="7"/>
      <c r="C809" s="7"/>
    </row>
    <row r="810" spans="1:3" ht="15">
      <c r="A810" s="7"/>
      <c r="B810" s="7"/>
      <c r="C810" s="7"/>
    </row>
    <row r="811" spans="1:3" ht="15">
      <c r="A811" s="7"/>
      <c r="B811" s="7"/>
      <c r="C811" s="7"/>
    </row>
    <row r="812" spans="1:3" ht="15">
      <c r="A812" s="7"/>
      <c r="B812" s="7"/>
      <c r="C812" s="7"/>
    </row>
    <row r="813" spans="1:3" ht="15">
      <c r="A813" s="7"/>
      <c r="B813" s="7"/>
      <c r="C813" s="7"/>
    </row>
    <row r="814" spans="1:3" ht="15">
      <c r="A814" s="7"/>
      <c r="B814" s="7"/>
      <c r="C814" s="7"/>
    </row>
    <row r="815" spans="1:3" ht="15">
      <c r="A815" s="7"/>
      <c r="B815" s="7"/>
      <c r="C815" s="7"/>
    </row>
    <row r="816" spans="1:3" ht="15">
      <c r="A816" s="7"/>
      <c r="B816" s="7"/>
      <c r="C816" s="7"/>
    </row>
    <row r="817" spans="1:3" ht="15">
      <c r="A817" s="7"/>
      <c r="B817" s="7"/>
      <c r="C817" s="7"/>
    </row>
    <row r="818" spans="1:3" ht="15">
      <c r="A818" s="7"/>
      <c r="B818" s="7"/>
      <c r="C818" s="7"/>
    </row>
    <row r="819" spans="1:3" ht="15">
      <c r="A819" s="7"/>
      <c r="B819" s="7"/>
      <c r="C819" s="7"/>
    </row>
    <row r="820" spans="1:3" ht="15">
      <c r="A820" s="7"/>
      <c r="B820" s="7"/>
      <c r="C820" s="7"/>
    </row>
    <row r="821" spans="1:3" ht="15">
      <c r="A821" s="7"/>
      <c r="B821" s="7"/>
      <c r="C821" s="7"/>
    </row>
    <row r="822" spans="1:3" ht="15">
      <c r="A822" s="7"/>
      <c r="B822" s="7"/>
      <c r="C822" s="7"/>
    </row>
    <row r="823" spans="1:3" ht="15">
      <c r="A823" s="7"/>
      <c r="B823" s="7"/>
      <c r="C823" s="7"/>
    </row>
    <row r="824" spans="1:3" ht="15">
      <c r="A824" s="7"/>
      <c r="B824" s="7"/>
      <c r="C824" s="7"/>
    </row>
    <row r="825" spans="1:3" ht="15">
      <c r="A825" s="7"/>
      <c r="B825" s="7"/>
      <c r="C825" s="7"/>
    </row>
    <row r="826" spans="1:3" ht="15">
      <c r="A826" s="7"/>
      <c r="B826" s="7"/>
      <c r="C826" s="7"/>
    </row>
    <row r="827" spans="1:3" ht="15">
      <c r="A827" s="7"/>
      <c r="B827" s="7"/>
      <c r="C827" s="7"/>
    </row>
    <row r="828" spans="1:3" ht="15">
      <c r="A828" s="7"/>
      <c r="B828" s="7"/>
      <c r="C828" s="7"/>
    </row>
    <row r="829" spans="1:3" ht="15">
      <c r="A829" s="7"/>
      <c r="B829" s="7"/>
      <c r="C829" s="7"/>
    </row>
    <row r="830" spans="1:3" ht="15">
      <c r="A830" s="7"/>
      <c r="B830" s="7"/>
      <c r="C830" s="7"/>
    </row>
    <row r="831" spans="1:3" ht="15">
      <c r="A831" s="7"/>
      <c r="B831" s="7"/>
      <c r="C831" s="7"/>
    </row>
    <row r="832" spans="1:3" ht="15">
      <c r="A832" s="7"/>
      <c r="B832" s="7"/>
      <c r="C832" s="7"/>
    </row>
    <row r="833" spans="1:3" ht="15">
      <c r="A833" s="7"/>
      <c r="B833" s="7"/>
      <c r="C833" s="7"/>
    </row>
    <row r="834" spans="1:3" ht="15">
      <c r="A834" s="7"/>
      <c r="B834" s="7"/>
      <c r="C834" s="7"/>
    </row>
    <row r="835" spans="1:3" ht="15">
      <c r="A835" s="7"/>
      <c r="B835" s="7"/>
      <c r="C835" s="7"/>
    </row>
    <row r="836" spans="1:3" ht="15">
      <c r="A836" s="7"/>
      <c r="B836" s="7"/>
      <c r="C836" s="7"/>
    </row>
    <row r="837" spans="1:3" ht="15">
      <c r="A837" s="7"/>
      <c r="B837" s="7"/>
      <c r="C837" s="7"/>
    </row>
    <row r="838" spans="1:3" ht="15">
      <c r="A838" s="7"/>
      <c r="B838" s="7"/>
      <c r="C838" s="7"/>
    </row>
    <row r="839" spans="1:3" ht="15">
      <c r="A839" s="7"/>
      <c r="B839" s="7"/>
      <c r="C839" s="7"/>
    </row>
    <row r="840" spans="1:3" ht="15">
      <c r="A840" s="7"/>
      <c r="B840" s="7"/>
      <c r="C840" s="7"/>
    </row>
    <row r="841" spans="1:3" ht="15">
      <c r="A841" s="7"/>
      <c r="B841" s="7"/>
      <c r="C841" s="7"/>
    </row>
    <row r="842" spans="1:3" ht="15">
      <c r="A842" s="7"/>
      <c r="B842" s="7"/>
      <c r="C842" s="7"/>
    </row>
    <row r="843" spans="1:3" ht="15">
      <c r="A843" s="7"/>
      <c r="B843" s="7"/>
      <c r="C843" s="7"/>
    </row>
    <row r="844" spans="1:3" ht="15">
      <c r="A844" s="7"/>
      <c r="B844" s="7"/>
      <c r="C844" s="7"/>
    </row>
    <row r="845" spans="1:3" ht="15">
      <c r="A845" s="7"/>
      <c r="B845" s="7"/>
      <c r="C845" s="7"/>
    </row>
    <row r="846" spans="1:3" ht="15">
      <c r="A846" s="7"/>
      <c r="B846" s="7"/>
      <c r="C846" s="7"/>
    </row>
    <row r="847" spans="1:3" ht="15">
      <c r="A847" s="7"/>
      <c r="B847" s="7"/>
      <c r="C847" s="7"/>
    </row>
    <row r="848" spans="1:3" ht="15">
      <c r="A848" s="7"/>
      <c r="B848" s="7"/>
      <c r="C848" s="7"/>
    </row>
    <row r="849" spans="1:3" ht="15">
      <c r="A849" s="7"/>
      <c r="B849" s="7"/>
      <c r="C849" s="7"/>
    </row>
    <row r="850" spans="1:3" ht="15">
      <c r="A850" s="7"/>
      <c r="B850" s="7"/>
      <c r="C850" s="7"/>
    </row>
    <row r="851" spans="1:3" ht="15">
      <c r="A851" s="7"/>
      <c r="B851" s="7"/>
      <c r="C851" s="7"/>
    </row>
    <row r="852" spans="1:3" ht="15">
      <c r="A852" s="7"/>
      <c r="B852" s="7"/>
      <c r="C852" s="7"/>
    </row>
    <row r="853" spans="1:3" ht="15">
      <c r="A853" s="7"/>
      <c r="B853" s="7"/>
      <c r="C853" s="7"/>
    </row>
    <row r="854" spans="1:3" ht="15">
      <c r="A854" s="7"/>
      <c r="B854" s="7"/>
      <c r="C854" s="7"/>
    </row>
    <row r="855" spans="1:3" ht="15">
      <c r="A855" s="7"/>
      <c r="B855" s="7"/>
      <c r="C855" s="7"/>
    </row>
    <row r="856" spans="1:3" ht="15">
      <c r="A856" s="7"/>
      <c r="B856" s="7"/>
      <c r="C856" s="7"/>
    </row>
    <row r="857" spans="1:3" ht="15">
      <c r="A857" s="7"/>
      <c r="B857" s="7"/>
      <c r="C857" s="7"/>
    </row>
    <row r="858" spans="1:3" ht="15">
      <c r="A858" s="7"/>
      <c r="B858" s="7"/>
      <c r="C858" s="7"/>
    </row>
    <row r="859" spans="1:3" ht="15">
      <c r="A859" s="7"/>
      <c r="B859" s="7"/>
      <c r="C859" s="7"/>
    </row>
    <row r="860" spans="1:3" ht="15">
      <c r="A860" s="7"/>
      <c r="B860" s="7"/>
      <c r="C860" s="7"/>
    </row>
    <row r="861" spans="1:3" ht="15">
      <c r="A861" s="7"/>
      <c r="B861" s="7"/>
      <c r="C861" s="7"/>
    </row>
    <row r="862" spans="1:3" ht="15">
      <c r="A862" s="7"/>
      <c r="B862" s="7"/>
      <c r="C862" s="7"/>
    </row>
    <row r="863" spans="1:3" ht="15">
      <c r="A863" s="7"/>
      <c r="B863" s="7"/>
      <c r="C863" s="7"/>
    </row>
    <row r="864" spans="1:3" ht="15">
      <c r="A864" s="7"/>
      <c r="B864" s="7"/>
      <c r="C864" s="7"/>
    </row>
    <row r="865" spans="1:3" ht="15">
      <c r="A865" s="7"/>
      <c r="B865" s="7"/>
      <c r="C865" s="7"/>
    </row>
    <row r="866" spans="1:3" ht="15">
      <c r="A866" s="7"/>
      <c r="B866" s="7"/>
      <c r="C866" s="7"/>
    </row>
    <row r="867" spans="1:3" ht="15">
      <c r="A867" s="7"/>
      <c r="B867" s="7"/>
      <c r="C867" s="7"/>
    </row>
    <row r="868" spans="1:3" ht="15">
      <c r="A868" s="7"/>
      <c r="B868" s="7"/>
      <c r="C868" s="7"/>
    </row>
    <row r="869" spans="1:3" ht="15">
      <c r="A869" s="7"/>
      <c r="B869" s="7"/>
      <c r="C869" s="7"/>
    </row>
    <row r="870" spans="1:3" ht="15">
      <c r="A870" s="7"/>
      <c r="B870" s="7"/>
      <c r="C870" s="7"/>
    </row>
    <row r="871" spans="1:3" ht="15">
      <c r="A871" s="7"/>
      <c r="B871" s="7"/>
      <c r="C871" s="7"/>
    </row>
    <row r="872" spans="1:3" ht="15">
      <c r="A872" s="7"/>
      <c r="B872" s="7"/>
      <c r="C872" s="7"/>
    </row>
    <row r="873" spans="1:3" ht="15">
      <c r="A873" s="7"/>
      <c r="B873" s="7"/>
      <c r="C873" s="7"/>
    </row>
    <row r="874" spans="1:3" ht="15">
      <c r="A874" s="7"/>
      <c r="B874" s="7"/>
      <c r="C874" s="7"/>
    </row>
    <row r="875" spans="1:3" ht="15">
      <c r="A875" s="7"/>
      <c r="B875" s="7"/>
      <c r="C875" s="7"/>
    </row>
    <row r="876" spans="1:3" ht="15">
      <c r="A876" s="7"/>
      <c r="B876" s="7"/>
      <c r="C876" s="7"/>
    </row>
    <row r="877" spans="1:3" ht="15">
      <c r="A877" s="7"/>
      <c r="B877" s="7"/>
      <c r="C877" s="7"/>
    </row>
    <row r="878" spans="1:3" ht="15">
      <c r="A878" s="7"/>
      <c r="B878" s="7"/>
      <c r="C878" s="7"/>
    </row>
    <row r="879" spans="1:3" ht="15">
      <c r="A879" s="7"/>
      <c r="B879" s="7"/>
      <c r="C879" s="7"/>
    </row>
    <row r="880" spans="1:3" ht="15">
      <c r="A880" s="7"/>
      <c r="B880" s="7"/>
      <c r="C880" s="7"/>
    </row>
    <row r="881" spans="1:3" ht="15">
      <c r="A881" s="7"/>
      <c r="B881" s="7"/>
      <c r="C881" s="7"/>
    </row>
    <row r="882" spans="1:3" ht="15">
      <c r="A882" s="7"/>
      <c r="B882" s="7"/>
      <c r="C882" s="7"/>
    </row>
    <row r="883" spans="1:3" ht="15">
      <c r="A883" s="7"/>
      <c r="B883" s="7"/>
      <c r="C883" s="7"/>
    </row>
    <row r="884" spans="1:3" ht="15">
      <c r="A884" s="7"/>
      <c r="B884" s="7"/>
      <c r="C884" s="7"/>
    </row>
    <row r="885" spans="1:3" ht="15">
      <c r="A885" s="7"/>
      <c r="B885" s="7"/>
      <c r="C885" s="7"/>
    </row>
    <row r="886" spans="1:3" ht="15">
      <c r="A886" s="7"/>
      <c r="B886" s="7"/>
      <c r="C886" s="7"/>
    </row>
    <row r="887" spans="1:3" ht="15">
      <c r="A887" s="7"/>
      <c r="B887" s="7"/>
      <c r="C887" s="7"/>
    </row>
    <row r="888" spans="1:3" ht="15">
      <c r="A888" s="7"/>
      <c r="B888" s="7"/>
      <c r="C888" s="7"/>
    </row>
    <row r="889" spans="1:3" ht="15">
      <c r="A889" s="7"/>
      <c r="B889" s="7"/>
      <c r="C889" s="7"/>
    </row>
    <row r="890" spans="1:3" ht="15">
      <c r="A890" s="7"/>
      <c r="B890" s="7"/>
      <c r="C890" s="7"/>
    </row>
    <row r="891" spans="1:3" ht="15">
      <c r="A891" s="7"/>
      <c r="B891" s="7"/>
      <c r="C891" s="7"/>
    </row>
    <row r="892" spans="1:3" ht="15">
      <c r="A892" s="7"/>
      <c r="B892" s="7"/>
      <c r="C892" s="7"/>
    </row>
    <row r="893" spans="1:3" ht="15">
      <c r="A893" s="7"/>
      <c r="B893" s="7"/>
      <c r="C893" s="7"/>
    </row>
    <row r="894" spans="1:3" ht="15">
      <c r="A894" s="7"/>
      <c r="B894" s="7"/>
      <c r="C894" s="7"/>
    </row>
    <row r="895" spans="1:3" ht="15">
      <c r="A895" s="7"/>
      <c r="B895" s="7"/>
      <c r="C895" s="7"/>
    </row>
    <row r="896" spans="1:3" ht="15">
      <c r="A896" s="7"/>
      <c r="B896" s="7"/>
      <c r="C896" s="7"/>
    </row>
    <row r="897" spans="1:3" ht="15">
      <c r="A897" s="7"/>
      <c r="B897" s="7"/>
      <c r="C897" s="7"/>
    </row>
    <row r="898" spans="1:3" ht="15">
      <c r="A898" s="7"/>
      <c r="B898" s="7"/>
      <c r="C898" s="7"/>
    </row>
    <row r="899" spans="1:3" ht="15">
      <c r="A899" s="7"/>
      <c r="B899" s="7"/>
      <c r="C899" s="7"/>
    </row>
    <row r="900" spans="1:3" ht="15">
      <c r="A900" s="7"/>
      <c r="B900" s="7"/>
      <c r="C900" s="7"/>
    </row>
    <row r="901" spans="1:3" ht="15">
      <c r="A901" s="7"/>
      <c r="B901" s="7"/>
      <c r="C901" s="7"/>
    </row>
    <row r="902" spans="1:3" ht="15">
      <c r="A902" s="7"/>
      <c r="B902" s="7"/>
      <c r="C902" s="7"/>
    </row>
    <row r="903" spans="1:3" ht="15">
      <c r="A903" s="7"/>
      <c r="B903" s="7"/>
      <c r="C903" s="7"/>
    </row>
    <row r="904" spans="1:3" ht="15">
      <c r="A904" s="7"/>
      <c r="B904" s="7"/>
      <c r="C904" s="7"/>
    </row>
    <row r="905" spans="1:3" ht="15">
      <c r="A905" s="7"/>
      <c r="B905" s="7"/>
      <c r="C905" s="7"/>
    </row>
    <row r="906" spans="1:3" ht="15">
      <c r="A906" s="7"/>
      <c r="B906" s="7"/>
      <c r="C906" s="7"/>
    </row>
    <row r="907" spans="1:3" ht="15">
      <c r="A907" s="7"/>
      <c r="B907" s="7"/>
      <c r="C907" s="7"/>
    </row>
    <row r="908" spans="1:3" ht="15">
      <c r="A908" s="7"/>
      <c r="B908" s="7"/>
      <c r="C908" s="7"/>
    </row>
    <row r="909" spans="1:3" ht="15">
      <c r="A909" s="7"/>
      <c r="B909" s="7"/>
      <c r="C909" s="7"/>
    </row>
    <row r="910" spans="1:3" ht="15">
      <c r="A910" s="7"/>
      <c r="B910" s="7"/>
      <c r="C910" s="7"/>
    </row>
    <row r="911" spans="1:3" ht="15">
      <c r="A911" s="7"/>
      <c r="B911" s="7"/>
      <c r="C911" s="7"/>
    </row>
    <row r="912" spans="1:3" ht="15">
      <c r="A912" s="7"/>
      <c r="B912" s="7"/>
      <c r="C912" s="7"/>
    </row>
    <row r="913" spans="1:3" ht="15">
      <c r="A913" s="7"/>
      <c r="B913" s="7"/>
      <c r="C913" s="7"/>
    </row>
    <row r="914" spans="1:3" ht="15">
      <c r="A914" s="7"/>
      <c r="B914" s="7"/>
      <c r="C914" s="7"/>
    </row>
    <row r="915" spans="1:3" ht="15">
      <c r="A915" s="7"/>
      <c r="B915" s="7"/>
      <c r="C915" s="7"/>
    </row>
    <row r="916" spans="1:3" ht="15">
      <c r="A916" s="7"/>
      <c r="B916" s="7"/>
      <c r="C916" s="7"/>
    </row>
    <row r="917" spans="1:3" ht="15">
      <c r="A917" s="7"/>
      <c r="B917" s="7"/>
      <c r="C917" s="7"/>
    </row>
    <row r="918" spans="1:3" ht="15">
      <c r="A918" s="7"/>
      <c r="B918" s="7"/>
      <c r="C918" s="7"/>
    </row>
    <row r="919" spans="1:3" ht="15">
      <c r="A919" s="7"/>
      <c r="B919" s="7"/>
      <c r="C919" s="7"/>
    </row>
    <row r="920" spans="1:3" ht="15">
      <c r="A920" s="7"/>
      <c r="B920" s="7"/>
      <c r="C920" s="7"/>
    </row>
    <row r="921" spans="1:3" ht="15">
      <c r="A921" s="7"/>
      <c r="B921" s="7"/>
      <c r="C921" s="7"/>
    </row>
    <row r="922" spans="1:3" ht="15">
      <c r="A922" s="7"/>
      <c r="B922" s="7"/>
      <c r="C922" s="7"/>
    </row>
    <row r="923" spans="1:3" ht="15">
      <c r="A923" s="7"/>
      <c r="B923" s="7"/>
      <c r="C923" s="7"/>
    </row>
    <row r="924" spans="1:3" ht="15">
      <c r="A924" s="7"/>
      <c r="B924" s="7"/>
      <c r="C924" s="7"/>
    </row>
    <row r="925" spans="1:3" ht="15">
      <c r="A925" s="7"/>
      <c r="B925" s="7"/>
      <c r="C925" s="7"/>
    </row>
    <row r="926" spans="1:3" ht="15">
      <c r="A926" s="7"/>
      <c r="B926" s="7"/>
      <c r="C926" s="7"/>
    </row>
    <row r="927" spans="1:3" ht="15">
      <c r="A927" s="7"/>
      <c r="B927" s="7"/>
      <c r="C927" s="7"/>
    </row>
    <row r="928" spans="1:3" ht="15">
      <c r="A928" s="7"/>
      <c r="B928" s="7"/>
      <c r="C928" s="7"/>
    </row>
    <row r="929" spans="1:3" ht="15">
      <c r="A929" s="7"/>
      <c r="B929" s="7"/>
      <c r="C929" s="7"/>
    </row>
    <row r="930" spans="1:3" ht="15">
      <c r="A930" s="7"/>
      <c r="B930" s="7"/>
      <c r="C930" s="7"/>
    </row>
    <row r="931" spans="1:3" ht="15">
      <c r="A931" s="7"/>
      <c r="B931" s="7"/>
      <c r="C931" s="7"/>
    </row>
    <row r="932" spans="1:3" ht="15">
      <c r="A932" s="7"/>
      <c r="B932" s="7"/>
      <c r="C932" s="7"/>
    </row>
    <row r="933" spans="1:3" ht="15">
      <c r="A933" s="7"/>
      <c r="B933" s="7"/>
      <c r="C933" s="7"/>
    </row>
    <row r="934" spans="1:3" ht="15">
      <c r="A934" s="7"/>
      <c r="B934" s="7"/>
      <c r="C934" s="7"/>
    </row>
    <row r="935" spans="1:3" ht="15">
      <c r="A935" s="7"/>
      <c r="B935" s="7"/>
      <c r="C935" s="7"/>
    </row>
    <row r="936" spans="1:3" ht="15">
      <c r="A936" s="7"/>
      <c r="B936" s="7"/>
      <c r="C936" s="7"/>
    </row>
    <row r="937" spans="1:3" ht="15">
      <c r="A937" s="7"/>
      <c r="B937" s="7"/>
      <c r="C937" s="7"/>
    </row>
    <row r="938" spans="1:3" ht="15">
      <c r="A938" s="7"/>
      <c r="B938" s="7"/>
      <c r="C938" s="7"/>
    </row>
    <row r="939" spans="1:3" ht="15">
      <c r="A939" s="7"/>
      <c r="B939" s="7"/>
      <c r="C939" s="7"/>
    </row>
    <row r="940" spans="1:3" ht="15">
      <c r="A940" s="7"/>
      <c r="B940" s="7"/>
      <c r="C940" s="7"/>
    </row>
    <row r="941" spans="1:3" ht="15">
      <c r="A941" s="7"/>
      <c r="B941" s="7"/>
      <c r="C941" s="7"/>
    </row>
    <row r="942" spans="1:3" ht="15">
      <c r="A942" s="7"/>
      <c r="B942" s="7"/>
      <c r="C942" s="7"/>
    </row>
    <row r="943" spans="1:3" ht="15">
      <c r="A943" s="7"/>
      <c r="B943" s="7"/>
      <c r="C943" s="7"/>
    </row>
    <row r="944" spans="1:3" ht="15">
      <c r="A944" s="7"/>
      <c r="B944" s="7"/>
      <c r="C944" s="7"/>
    </row>
    <row r="945" spans="1:3" ht="15">
      <c r="A945" s="7"/>
      <c r="B945" s="7"/>
      <c r="C945" s="7"/>
    </row>
    <row r="946" spans="1:3" ht="15">
      <c r="A946" s="7"/>
      <c r="B946" s="7"/>
      <c r="C946" s="7"/>
    </row>
    <row r="947" spans="1:3" ht="15">
      <c r="A947" s="7"/>
      <c r="B947" s="7"/>
      <c r="C947" s="7"/>
    </row>
    <row r="948" spans="1:3" ht="15">
      <c r="A948" s="7"/>
      <c r="B948" s="7"/>
      <c r="C948" s="7"/>
    </row>
    <row r="949" spans="1:3" ht="15">
      <c r="A949" s="7"/>
      <c r="B949" s="7"/>
      <c r="C949" s="7"/>
    </row>
    <row r="950" spans="1:3" ht="15">
      <c r="A950" s="7"/>
      <c r="B950" s="7"/>
      <c r="C950" s="7"/>
    </row>
    <row r="951" spans="1:3" ht="15">
      <c r="A951" s="7"/>
      <c r="B951" s="7"/>
      <c r="C951" s="7"/>
    </row>
    <row r="952" spans="1:3" ht="15">
      <c r="A952" s="7"/>
      <c r="B952" s="7"/>
      <c r="C952" s="7"/>
    </row>
    <row r="953" spans="1:3" ht="15">
      <c r="A953" s="7"/>
      <c r="B953" s="7"/>
      <c r="C953" s="7"/>
    </row>
    <row r="954" spans="1:3" ht="15">
      <c r="A954" s="7"/>
      <c r="B954" s="7"/>
      <c r="C954" s="7"/>
    </row>
    <row r="955" spans="1:3" ht="15">
      <c r="A955" s="7"/>
      <c r="B955" s="7"/>
      <c r="C955" s="7"/>
    </row>
    <row r="956" spans="1:3" ht="15">
      <c r="A956" s="7"/>
      <c r="B956" s="7"/>
      <c r="C956" s="7"/>
    </row>
  </sheetData>
  <autoFilter ref="A3:AN77" xr:uid="{F4109E57-6B88-8547-8C3A-05F7D3865759}"/>
  <mergeCells count="46">
    <mergeCell ref="A80:C80"/>
    <mergeCell ref="AM2:AM3"/>
    <mergeCell ref="AJ1:AM1"/>
    <mergeCell ref="AJ2:AJ3"/>
    <mergeCell ref="AK2:AK3"/>
    <mergeCell ref="AL2:AL3"/>
    <mergeCell ref="AH2:AH3"/>
    <mergeCell ref="S2:S3"/>
    <mergeCell ref="V2:W2"/>
    <mergeCell ref="X2:X3"/>
    <mergeCell ref="Y2:Y3"/>
    <mergeCell ref="Z2:Z3"/>
    <mergeCell ref="AA2:AA3"/>
    <mergeCell ref="AD2:AE2"/>
    <mergeCell ref="AF2:AF3"/>
    <mergeCell ref="AG2:AG3"/>
    <mergeCell ref="X1:Z1"/>
    <mergeCell ref="AA1:AE1"/>
    <mergeCell ref="R2:R3"/>
    <mergeCell ref="G2:G3"/>
    <mergeCell ref="H2:H3"/>
    <mergeCell ref="I2:I3"/>
    <mergeCell ref="J2:J3"/>
    <mergeCell ref="K2:K3"/>
    <mergeCell ref="L2:L3"/>
    <mergeCell ref="M2:M3"/>
    <mergeCell ref="N2:N3"/>
    <mergeCell ref="O2:O3"/>
    <mergeCell ref="P2:P3"/>
    <mergeCell ref="Q2:Q3"/>
    <mergeCell ref="AF1:AH1"/>
    <mergeCell ref="A2:A3"/>
    <mergeCell ref="B2:B3"/>
    <mergeCell ref="C2:C3"/>
    <mergeCell ref="D2:D3"/>
    <mergeCell ref="E2:E3"/>
    <mergeCell ref="F2:F3"/>
    <mergeCell ref="A1:C1"/>
    <mergeCell ref="D1:F1"/>
    <mergeCell ref="G1:I1"/>
    <mergeCell ref="J1:L1"/>
    <mergeCell ref="M1:O1"/>
    <mergeCell ref="P1:R1"/>
    <mergeCell ref="T2:U2"/>
    <mergeCell ref="AB2:AC2"/>
    <mergeCell ref="S1:W1"/>
  </mergeCells>
  <conditionalFormatting sqref="C37">
    <cfRule type="colorScale" priority="1">
      <colorScale>
        <cfvo type="min"/>
        <cfvo type="max"/>
        <color rgb="FF57BB8A"/>
        <color rgb="FFFFFFFF"/>
      </colorScale>
    </cfRule>
  </conditionalFormatting>
  <pageMargins left="0.7" right="0.7" top="0.75" bottom="0.75" header="0.3" footer="0.3"/>
  <pageSetup orientation="portrait" horizontalDpi="0" verticalDpi="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I1004"/>
  <sheetViews>
    <sheetView zoomScaleNormal="150" workbookViewId="0">
      <pane xSplit="2" ySplit="3" topLeftCell="C4" activePane="bottomRight" state="frozen"/>
      <selection pane="topRight" activeCell="D1" sqref="D1"/>
      <selection pane="bottomLeft" activeCell="A3" sqref="A3"/>
      <selection pane="bottomRight" activeCell="A3" sqref="A3"/>
    </sheetView>
  </sheetViews>
  <sheetFormatPr baseColWidth="10" defaultColWidth="14.3984375" defaultRowHeight="15" customHeight="1"/>
  <cols>
    <col min="1" max="1" width="14.3984375" customWidth="1"/>
    <col min="2" max="2" width="26.59765625" customWidth="1"/>
    <col min="3" max="4" width="13.796875" customWidth="1"/>
    <col min="5" max="5" width="15.3984375" bestFit="1" customWidth="1"/>
    <col min="6" max="6" width="18.796875" customWidth="1"/>
    <col min="7" max="7" width="57.3984375" customWidth="1"/>
    <col min="8" max="8" width="24" customWidth="1"/>
    <col min="9" max="10" width="14.3984375" customWidth="1"/>
    <col min="11" max="14" width="25" customWidth="1"/>
    <col min="15" max="15" width="22.796875" customWidth="1"/>
    <col min="16" max="24" width="11.59765625" customWidth="1"/>
    <col min="25" max="25" width="14.3984375" customWidth="1"/>
    <col min="26" max="26" width="33.59765625" customWidth="1"/>
    <col min="27" max="34" width="14.3984375" customWidth="1"/>
    <col min="35" max="35" width="18.19921875" customWidth="1"/>
    <col min="36" max="43" width="14.3984375" customWidth="1"/>
    <col min="44" max="44" width="19.796875" customWidth="1"/>
    <col min="45" max="49" width="14.3984375" customWidth="1"/>
    <col min="50" max="50" width="17.59765625" customWidth="1"/>
    <col min="51" max="79" width="14.3984375" customWidth="1"/>
    <col min="80" max="80" width="22.59765625" customWidth="1"/>
    <col min="81" max="86" width="14.3984375" customWidth="1"/>
    <col min="87" max="88" width="16.3984375" customWidth="1"/>
    <col min="89" max="108" width="14.3984375" customWidth="1"/>
    <col min="109" max="110" width="13.59765625" customWidth="1"/>
    <col min="111" max="113" width="14" customWidth="1"/>
  </cols>
  <sheetData>
    <row r="1" spans="1:113" ht="15" hidden="1" customHeight="1">
      <c r="A1" s="159" t="s">
        <v>61</v>
      </c>
      <c r="B1" s="159"/>
      <c r="C1" s="204" t="s">
        <v>474</v>
      </c>
      <c r="D1" s="204"/>
      <c r="E1" s="204"/>
      <c r="F1" s="204"/>
      <c r="G1" s="204"/>
      <c r="H1" s="204"/>
      <c r="I1" s="204"/>
      <c r="J1" s="204"/>
      <c r="K1" s="204"/>
      <c r="L1" s="204"/>
      <c r="M1" s="204"/>
      <c r="N1" s="204"/>
      <c r="O1" s="204"/>
      <c r="P1" s="204"/>
      <c r="Q1" s="204"/>
      <c r="R1" s="204"/>
      <c r="S1" s="204"/>
      <c r="T1" s="204"/>
      <c r="U1" s="204"/>
      <c r="V1" s="204"/>
      <c r="W1" s="204"/>
      <c r="X1" s="204"/>
      <c r="Y1" s="204"/>
      <c r="Z1" s="204"/>
      <c r="AA1" s="204"/>
      <c r="AB1" s="204"/>
      <c r="AC1" s="204"/>
      <c r="AD1" s="204"/>
      <c r="AE1" s="204"/>
      <c r="AF1" s="204"/>
      <c r="AG1" s="204"/>
      <c r="AH1" s="204"/>
      <c r="AI1" s="205"/>
      <c r="AJ1" s="206" t="s">
        <v>475</v>
      </c>
      <c r="AK1" s="204"/>
      <c r="AL1" s="204"/>
      <c r="AM1" s="204"/>
      <c r="AN1" s="204"/>
      <c r="AO1" s="204"/>
      <c r="AP1" s="204"/>
      <c r="AQ1" s="204"/>
      <c r="AR1" s="204"/>
      <c r="AS1" s="204"/>
      <c r="AT1" s="204"/>
      <c r="AU1" s="204"/>
      <c r="AV1" s="204"/>
      <c r="AW1" s="204"/>
      <c r="AX1" s="204"/>
      <c r="AY1" s="204"/>
      <c r="AZ1" s="204"/>
      <c r="BA1" s="204"/>
      <c r="BB1" s="204"/>
      <c r="BC1" s="204"/>
      <c r="BD1" s="204"/>
      <c r="BE1" s="204"/>
      <c r="BF1" s="204"/>
      <c r="BG1" s="204"/>
      <c r="BH1" s="204"/>
      <c r="BI1" s="204"/>
      <c r="BJ1" s="204"/>
      <c r="BK1" s="204"/>
      <c r="BL1" s="204"/>
      <c r="BM1" s="204"/>
      <c r="BN1" s="204"/>
      <c r="BO1" s="204"/>
      <c r="BP1" s="204"/>
      <c r="BQ1" s="204"/>
      <c r="BR1" s="204"/>
      <c r="BS1" s="204"/>
      <c r="BT1" s="204"/>
      <c r="BU1" s="204"/>
      <c r="BV1" s="204"/>
      <c r="BW1" s="204"/>
      <c r="BX1" s="205"/>
      <c r="BY1" s="206" t="s">
        <v>476</v>
      </c>
      <c r="BZ1" s="204"/>
      <c r="CA1" s="204"/>
      <c r="CB1" s="204"/>
      <c r="CC1" s="204"/>
      <c r="CD1" s="204"/>
      <c r="CE1" s="204"/>
      <c r="CF1" s="204"/>
      <c r="CG1" s="204"/>
      <c r="CH1" s="204"/>
      <c r="CI1" s="204"/>
      <c r="CJ1" s="205"/>
      <c r="CK1" s="206" t="s">
        <v>477</v>
      </c>
      <c r="CL1" s="204"/>
      <c r="CM1" s="204"/>
      <c r="CN1" s="204"/>
      <c r="CO1" s="204"/>
      <c r="CP1" s="204"/>
      <c r="CQ1" s="204"/>
      <c r="CR1" s="204"/>
      <c r="CS1" s="204"/>
      <c r="CT1" s="204"/>
      <c r="CU1" s="204"/>
      <c r="CV1" s="204"/>
      <c r="CW1" s="204"/>
      <c r="CX1" s="204"/>
      <c r="CY1" s="204"/>
      <c r="CZ1" s="204"/>
      <c r="DA1" s="204"/>
      <c r="DB1" s="204"/>
      <c r="DC1" s="204"/>
      <c r="DD1" s="205"/>
      <c r="DE1" s="202" t="s">
        <v>701</v>
      </c>
      <c r="DF1" s="203"/>
      <c r="DG1" s="200" t="s">
        <v>694</v>
      </c>
      <c r="DH1" s="201"/>
      <c r="DI1" s="167"/>
    </row>
    <row r="2" spans="1:113" s="74" customFormat="1" hidden="1">
      <c r="A2" s="159"/>
      <c r="B2" s="159"/>
      <c r="C2" s="215" t="s">
        <v>74</v>
      </c>
      <c r="D2" s="216"/>
      <c r="E2" s="216"/>
      <c r="F2" s="216"/>
      <c r="G2" s="216"/>
      <c r="H2" s="216"/>
      <c r="I2" s="216"/>
      <c r="J2" s="217"/>
      <c r="K2" s="218" t="s">
        <v>276</v>
      </c>
      <c r="L2" s="211"/>
      <c r="M2" s="211"/>
      <c r="N2" s="211"/>
      <c r="O2" s="212"/>
      <c r="P2" s="206" t="s">
        <v>241</v>
      </c>
      <c r="Q2" s="204"/>
      <c r="R2" s="204"/>
      <c r="S2" s="204"/>
      <c r="T2" s="204"/>
      <c r="U2" s="204"/>
      <c r="V2" s="204"/>
      <c r="W2" s="204"/>
      <c r="X2" s="204"/>
      <c r="Y2" s="204"/>
      <c r="Z2" s="204"/>
      <c r="AA2" s="204"/>
      <c r="AB2" s="204"/>
      <c r="AC2" s="204"/>
      <c r="AD2" s="204"/>
      <c r="AE2" s="204"/>
      <c r="AF2" s="204"/>
      <c r="AG2" s="204"/>
      <c r="AH2" s="204"/>
      <c r="AI2" s="219"/>
      <c r="AJ2" s="194" t="s">
        <v>113</v>
      </c>
      <c r="AK2" s="195"/>
      <c r="AL2" s="195"/>
      <c r="AM2" s="195"/>
      <c r="AN2" s="195"/>
      <c r="AO2" s="195"/>
      <c r="AP2" s="195"/>
      <c r="AQ2" s="195"/>
      <c r="AR2" s="195"/>
      <c r="AS2" s="195"/>
      <c r="AT2" s="195"/>
      <c r="AU2" s="195"/>
      <c r="AV2" s="195"/>
      <c r="AW2" s="195"/>
      <c r="AX2" s="197"/>
      <c r="AY2" s="209" t="s">
        <v>259</v>
      </c>
      <c r="AZ2" s="209"/>
      <c r="BA2" s="209"/>
      <c r="BB2" s="209"/>
      <c r="BC2" s="210"/>
      <c r="BD2" s="213" t="s">
        <v>261</v>
      </c>
      <c r="BE2" s="209"/>
      <c r="BF2" s="209"/>
      <c r="BG2" s="209"/>
      <c r="BH2" s="209"/>
      <c r="BI2" s="209"/>
      <c r="BJ2" s="209"/>
      <c r="BK2" s="210"/>
      <c r="BL2" s="211" t="s">
        <v>260</v>
      </c>
      <c r="BM2" s="211"/>
      <c r="BN2" s="211"/>
      <c r="BO2" s="211"/>
      <c r="BP2" s="212"/>
      <c r="BQ2" s="214" t="s">
        <v>264</v>
      </c>
      <c r="BR2" s="211"/>
      <c r="BS2" s="211"/>
      <c r="BT2" s="211"/>
      <c r="BU2" s="211"/>
      <c r="BV2" s="211"/>
      <c r="BW2" s="211"/>
      <c r="BX2" s="138"/>
      <c r="BY2" s="198" t="s">
        <v>167</v>
      </c>
      <c r="BZ2" s="198"/>
      <c r="CA2" s="198"/>
      <c r="CB2" s="198"/>
      <c r="CC2" s="198"/>
      <c r="CD2" s="199"/>
      <c r="CE2" s="198" t="s">
        <v>168</v>
      </c>
      <c r="CF2" s="198"/>
      <c r="CG2" s="198"/>
      <c r="CH2" s="199"/>
      <c r="CI2" s="207" t="s">
        <v>169</v>
      </c>
      <c r="CJ2" s="199"/>
      <c r="CK2" s="195" t="s">
        <v>200</v>
      </c>
      <c r="CL2" s="195"/>
      <c r="CM2" s="195"/>
      <c r="CN2" s="195"/>
      <c r="CO2" s="195"/>
      <c r="CP2" s="195"/>
      <c r="CQ2" s="195"/>
      <c r="CR2" s="197"/>
      <c r="CS2" s="208" t="s">
        <v>201</v>
      </c>
      <c r="CT2" s="197"/>
      <c r="CU2" s="208" t="s">
        <v>202</v>
      </c>
      <c r="CV2" s="195"/>
      <c r="CW2" s="196"/>
      <c r="CX2" s="194" t="s">
        <v>301</v>
      </c>
      <c r="CY2" s="195"/>
      <c r="CZ2" s="195"/>
      <c r="DA2" s="195"/>
      <c r="DB2" s="195"/>
      <c r="DC2" s="195"/>
      <c r="DD2" s="196"/>
      <c r="DE2" s="202"/>
      <c r="DF2" s="203"/>
      <c r="DG2" s="200"/>
      <c r="DH2" s="201"/>
      <c r="DI2" s="167"/>
    </row>
    <row r="3" spans="1:113" s="54" customFormat="1" ht="39" customHeight="1" thickBot="1">
      <c r="A3" s="109" t="s">
        <v>2</v>
      </c>
      <c r="B3" s="110" t="s">
        <v>3</v>
      </c>
      <c r="C3" s="111" t="s">
        <v>75</v>
      </c>
      <c r="D3" s="111" t="s">
        <v>76</v>
      </c>
      <c r="E3" s="111" t="s">
        <v>77</v>
      </c>
      <c r="F3" s="111" t="s">
        <v>78</v>
      </c>
      <c r="G3" s="111" t="s">
        <v>462</v>
      </c>
      <c r="H3" s="109" t="s">
        <v>79</v>
      </c>
      <c r="I3" s="112" t="s">
        <v>956</v>
      </c>
      <c r="J3" s="113" t="s">
        <v>80</v>
      </c>
      <c r="K3" s="114" t="s">
        <v>265</v>
      </c>
      <c r="L3" s="114" t="s">
        <v>248</v>
      </c>
      <c r="M3" s="114" t="s">
        <v>249</v>
      </c>
      <c r="N3" s="114" t="s">
        <v>286</v>
      </c>
      <c r="O3" s="115" t="s">
        <v>245</v>
      </c>
      <c r="P3" s="116" t="s">
        <v>81</v>
      </c>
      <c r="Q3" s="109" t="s">
        <v>82</v>
      </c>
      <c r="R3" s="109" t="s">
        <v>83</v>
      </c>
      <c r="S3" s="109" t="s">
        <v>84</v>
      </c>
      <c r="T3" s="109" t="s">
        <v>85</v>
      </c>
      <c r="U3" s="109" t="s">
        <v>247</v>
      </c>
      <c r="V3" s="109" t="s">
        <v>246</v>
      </c>
      <c r="W3" s="109" t="s">
        <v>86</v>
      </c>
      <c r="X3" s="109" t="s">
        <v>87</v>
      </c>
      <c r="Y3" s="109" t="s">
        <v>250</v>
      </c>
      <c r="Z3" s="109" t="s">
        <v>705</v>
      </c>
      <c r="AA3" s="109" t="s">
        <v>466</v>
      </c>
      <c r="AB3" s="109" t="s">
        <v>467</v>
      </c>
      <c r="AC3" s="109" t="s">
        <v>313</v>
      </c>
      <c r="AD3" s="109" t="s">
        <v>463</v>
      </c>
      <c r="AE3" s="109" t="s">
        <v>88</v>
      </c>
      <c r="AF3" s="109" t="s">
        <v>89</v>
      </c>
      <c r="AG3" s="109" t="s">
        <v>464</v>
      </c>
      <c r="AH3" s="109" t="s">
        <v>90</v>
      </c>
      <c r="AI3" s="117" t="s">
        <v>91</v>
      </c>
      <c r="AJ3" s="132" t="s">
        <v>238</v>
      </c>
      <c r="AK3" s="127" t="s">
        <v>118</v>
      </c>
      <c r="AL3" s="127" t="s">
        <v>114</v>
      </c>
      <c r="AM3" s="127" t="s">
        <v>115</v>
      </c>
      <c r="AN3" s="127" t="s">
        <v>563</v>
      </c>
      <c r="AO3" s="127" t="s">
        <v>170</v>
      </c>
      <c r="AP3" s="127" t="s">
        <v>171</v>
      </c>
      <c r="AQ3" s="127" t="s">
        <v>262</v>
      </c>
      <c r="AR3" s="127" t="s">
        <v>263</v>
      </c>
      <c r="AS3" s="118" t="s">
        <v>239</v>
      </c>
      <c r="AT3" s="118" t="s">
        <v>240</v>
      </c>
      <c r="AU3" s="127" t="s">
        <v>116</v>
      </c>
      <c r="AV3" s="127" t="s">
        <v>117</v>
      </c>
      <c r="AW3" s="127" t="s">
        <v>119</v>
      </c>
      <c r="AX3" s="135" t="s">
        <v>306</v>
      </c>
      <c r="AY3" s="131" t="s">
        <v>536</v>
      </c>
      <c r="AZ3" s="131" t="s">
        <v>537</v>
      </c>
      <c r="BA3" s="131" t="s">
        <v>538</v>
      </c>
      <c r="BB3" s="131" t="s">
        <v>539</v>
      </c>
      <c r="BC3" s="136" t="s">
        <v>540</v>
      </c>
      <c r="BD3" s="137" t="s">
        <v>541</v>
      </c>
      <c r="BE3" s="131" t="s">
        <v>542</v>
      </c>
      <c r="BF3" s="131" t="s">
        <v>543</v>
      </c>
      <c r="BG3" s="131" t="s">
        <v>544</v>
      </c>
      <c r="BH3" s="131" t="s">
        <v>545</v>
      </c>
      <c r="BI3" s="131" t="s">
        <v>546</v>
      </c>
      <c r="BJ3" s="131" t="s">
        <v>547</v>
      </c>
      <c r="BK3" s="128" t="s">
        <v>698</v>
      </c>
      <c r="BL3" s="129" t="s">
        <v>548</v>
      </c>
      <c r="BM3" s="129" t="s">
        <v>549</v>
      </c>
      <c r="BN3" s="129" t="s">
        <v>550</v>
      </c>
      <c r="BO3" s="129" t="s">
        <v>551</v>
      </c>
      <c r="BP3" s="130" t="s">
        <v>552</v>
      </c>
      <c r="BQ3" s="134" t="s">
        <v>553</v>
      </c>
      <c r="BR3" s="129" t="s">
        <v>554</v>
      </c>
      <c r="BS3" s="129" t="s">
        <v>555</v>
      </c>
      <c r="BT3" s="129" t="s">
        <v>556</v>
      </c>
      <c r="BU3" s="129" t="s">
        <v>557</v>
      </c>
      <c r="BV3" s="129" t="s">
        <v>558</v>
      </c>
      <c r="BW3" s="129" t="s">
        <v>559</v>
      </c>
      <c r="BX3" s="130" t="s">
        <v>566</v>
      </c>
      <c r="BY3" s="127" t="s">
        <v>172</v>
      </c>
      <c r="BZ3" s="127" t="s">
        <v>173</v>
      </c>
      <c r="CA3" s="127" t="s">
        <v>174</v>
      </c>
      <c r="CB3" s="146" t="s">
        <v>175</v>
      </c>
      <c r="CC3" s="146" t="s">
        <v>176</v>
      </c>
      <c r="CD3" s="147" t="s">
        <v>177</v>
      </c>
      <c r="CE3" s="127" t="s">
        <v>178</v>
      </c>
      <c r="CF3" s="127" t="s">
        <v>179</v>
      </c>
      <c r="CG3" s="127" t="s">
        <v>180</v>
      </c>
      <c r="CH3" s="133" t="s">
        <v>181</v>
      </c>
      <c r="CI3" s="127" t="s">
        <v>182</v>
      </c>
      <c r="CJ3" s="133" t="s">
        <v>183</v>
      </c>
      <c r="CK3" s="109" t="s">
        <v>203</v>
      </c>
      <c r="CL3" s="109" t="s">
        <v>204</v>
      </c>
      <c r="CM3" s="109" t="s">
        <v>205</v>
      </c>
      <c r="CN3" s="109" t="s">
        <v>739</v>
      </c>
      <c r="CO3" s="109" t="s">
        <v>740</v>
      </c>
      <c r="CP3" s="109" t="s">
        <v>741</v>
      </c>
      <c r="CQ3" s="109" t="s">
        <v>742</v>
      </c>
      <c r="CR3" s="110" t="s">
        <v>743</v>
      </c>
      <c r="CS3" s="109" t="s">
        <v>206</v>
      </c>
      <c r="CT3" s="110" t="s">
        <v>207</v>
      </c>
      <c r="CU3" s="109" t="s">
        <v>182</v>
      </c>
      <c r="CV3" s="109" t="s">
        <v>208</v>
      </c>
      <c r="CW3" s="117" t="s">
        <v>209</v>
      </c>
      <c r="CX3" s="109" t="s">
        <v>210</v>
      </c>
      <c r="CY3" s="109" t="s">
        <v>211</v>
      </c>
      <c r="CZ3" s="109" t="s">
        <v>212</v>
      </c>
      <c r="DA3" s="109" t="s">
        <v>213</v>
      </c>
      <c r="DB3" s="109" t="s">
        <v>214</v>
      </c>
      <c r="DC3" s="109" t="s">
        <v>215</v>
      </c>
      <c r="DD3" s="117" t="s">
        <v>216</v>
      </c>
      <c r="DE3" s="109" t="s">
        <v>699</v>
      </c>
      <c r="DF3" s="110" t="s">
        <v>700</v>
      </c>
      <c r="DG3" s="116" t="s">
        <v>689</v>
      </c>
      <c r="DH3" s="110" t="s">
        <v>693</v>
      </c>
      <c r="DI3" s="178" t="s">
        <v>885</v>
      </c>
    </row>
    <row r="4" spans="1:113" s="13" customFormat="1" ht="16">
      <c r="A4" s="13" t="s">
        <v>906</v>
      </c>
      <c r="B4" s="11" t="s">
        <v>744</v>
      </c>
      <c r="C4" s="13" t="s">
        <v>92</v>
      </c>
      <c r="D4" s="82">
        <v>44545</v>
      </c>
      <c r="E4" s="82">
        <v>44607</v>
      </c>
      <c r="F4" s="44" t="s">
        <v>99</v>
      </c>
      <c r="G4" s="44" t="s">
        <v>625</v>
      </c>
      <c r="H4" s="13" t="s">
        <v>597</v>
      </c>
      <c r="I4" s="55">
        <v>38039.875999999997</v>
      </c>
      <c r="J4" s="35" t="s">
        <v>1</v>
      </c>
      <c r="K4" s="9">
        <v>1400</v>
      </c>
      <c r="L4" s="9">
        <v>195</v>
      </c>
      <c r="M4" s="9">
        <v>111</v>
      </c>
      <c r="N4" s="9">
        <f t="shared" ref="N4:N18" si="0">MAX(K4:M4)</f>
        <v>1400</v>
      </c>
      <c r="O4" s="11" t="s">
        <v>249</v>
      </c>
      <c r="P4" s="14" t="s">
        <v>0</v>
      </c>
      <c r="Q4" s="13" t="s">
        <v>0</v>
      </c>
      <c r="R4" s="13">
        <v>42.8</v>
      </c>
      <c r="S4" s="13">
        <v>32.4</v>
      </c>
      <c r="T4" s="13">
        <v>53.2</v>
      </c>
      <c r="U4" s="13" t="s">
        <v>0</v>
      </c>
      <c r="V4" s="13" t="s">
        <v>0</v>
      </c>
      <c r="W4" s="13">
        <v>91</v>
      </c>
      <c r="X4" s="13">
        <v>20</v>
      </c>
      <c r="Y4" s="9">
        <v>0</v>
      </c>
      <c r="Z4" s="14" t="s">
        <v>571</v>
      </c>
      <c r="AA4" s="78">
        <v>21</v>
      </c>
      <c r="AB4" s="61">
        <v>89</v>
      </c>
      <c r="AC4" s="61">
        <v>1</v>
      </c>
      <c r="AD4" s="61">
        <f t="shared" ref="AD4:AD35" si="1">IF(AND(AA4=0,AC4=0),1,0)</f>
        <v>0</v>
      </c>
      <c r="AE4" s="14" t="s">
        <v>0</v>
      </c>
      <c r="AF4" s="13" t="s">
        <v>0</v>
      </c>
      <c r="AG4" s="13" t="s">
        <v>465</v>
      </c>
      <c r="AH4" s="14" t="s">
        <v>100</v>
      </c>
      <c r="AI4" s="21" t="s">
        <v>0</v>
      </c>
      <c r="AJ4" s="50" t="s">
        <v>147</v>
      </c>
      <c r="AK4" s="7" t="s">
        <v>73</v>
      </c>
      <c r="AL4" s="6" t="s">
        <v>122</v>
      </c>
      <c r="AM4" s="7" t="s">
        <v>1</v>
      </c>
      <c r="AN4" s="7" t="s">
        <v>124</v>
      </c>
      <c r="AO4" s="5" t="s">
        <v>564</v>
      </c>
      <c r="AP4" s="9" t="s">
        <v>0</v>
      </c>
      <c r="AQ4" s="143" t="s">
        <v>0</v>
      </c>
      <c r="AR4" s="9">
        <v>195</v>
      </c>
      <c r="AS4" s="9" t="s">
        <v>0</v>
      </c>
      <c r="AT4" s="9">
        <v>111</v>
      </c>
      <c r="AU4" s="7" t="s">
        <v>73</v>
      </c>
      <c r="AV4" s="7" t="s">
        <v>73</v>
      </c>
      <c r="AW4" s="5" t="s">
        <v>1</v>
      </c>
      <c r="AX4" s="119" t="s">
        <v>0</v>
      </c>
      <c r="AY4" s="9">
        <f>SUM(AZ4:BC4)</f>
        <v>111</v>
      </c>
      <c r="AZ4" s="9">
        <v>4</v>
      </c>
      <c r="BA4" s="9">
        <f>111-AZ4</f>
        <v>107</v>
      </c>
      <c r="BB4" s="9">
        <v>0</v>
      </c>
      <c r="BC4" s="20" t="s">
        <v>0</v>
      </c>
      <c r="BD4" s="50" t="s">
        <v>0</v>
      </c>
      <c r="BE4" s="5" t="s">
        <v>0</v>
      </c>
      <c r="BF4" s="9">
        <f t="shared" ref="BF4:BF42" si="2">SUM(BG4:BJ4)</f>
        <v>0</v>
      </c>
      <c r="BG4" s="9" t="s">
        <v>0</v>
      </c>
      <c r="BH4" s="9" t="s">
        <v>0</v>
      </c>
      <c r="BI4" s="9" t="s">
        <v>0</v>
      </c>
      <c r="BJ4" s="9" t="s">
        <v>0</v>
      </c>
      <c r="BK4" s="56" t="str">
        <f t="shared" ref="BK4:BK35" si="3">IFERROR(IF(BJ4&lt;&gt;"#",BJ4+BI4,"#"),"#")</f>
        <v>#</v>
      </c>
      <c r="BL4" s="9">
        <f>SUM(BM4:BP4)</f>
        <v>111</v>
      </c>
      <c r="BM4" s="9">
        <v>4</v>
      </c>
      <c r="BN4" s="9">
        <f>111-BM4</f>
        <v>107</v>
      </c>
      <c r="BO4" s="9">
        <v>0</v>
      </c>
      <c r="BP4" s="20" t="s">
        <v>0</v>
      </c>
      <c r="BQ4" s="71" t="s">
        <v>0</v>
      </c>
      <c r="BR4" s="5" t="s">
        <v>0</v>
      </c>
      <c r="BS4" s="9">
        <f t="shared" ref="BS4:BS9" si="4">SUM(BT4:BW4)</f>
        <v>0</v>
      </c>
      <c r="BT4" s="9" t="s">
        <v>0</v>
      </c>
      <c r="BU4" s="9" t="s">
        <v>0</v>
      </c>
      <c r="BV4" s="9" t="s">
        <v>0</v>
      </c>
      <c r="BW4" s="9" t="s">
        <v>0</v>
      </c>
      <c r="BX4" s="20" t="str">
        <f t="shared" ref="BX4:BX35" si="5">IFERROR(IF(BU4&lt;&gt;"#",BU4+BT4,"#"),"#")</f>
        <v>#</v>
      </c>
      <c r="BY4" s="6" t="s">
        <v>0</v>
      </c>
      <c r="BZ4" s="5" t="s">
        <v>0</v>
      </c>
      <c r="CA4" s="6" t="s">
        <v>686</v>
      </c>
      <c r="CB4" s="6" t="s">
        <v>196</v>
      </c>
      <c r="CC4" s="6" t="s">
        <v>0</v>
      </c>
      <c r="CD4" s="11" t="s">
        <v>0</v>
      </c>
      <c r="CE4" s="149" t="s">
        <v>0</v>
      </c>
      <c r="CF4" s="149" t="s">
        <v>0</v>
      </c>
      <c r="CG4" s="149" t="s">
        <v>0</v>
      </c>
      <c r="CH4" s="63" t="s">
        <v>0</v>
      </c>
      <c r="CI4" s="64" t="s">
        <v>0</v>
      </c>
      <c r="CJ4" s="63" t="s">
        <v>0</v>
      </c>
      <c r="CK4" s="14" t="s">
        <v>0</v>
      </c>
      <c r="CL4" s="14" t="s">
        <v>0</v>
      </c>
      <c r="CM4" s="14" t="s">
        <v>0</v>
      </c>
      <c r="CN4" s="14" t="s">
        <v>0</v>
      </c>
      <c r="CO4" s="6" t="s">
        <v>0</v>
      </c>
      <c r="CP4" s="6" t="s">
        <v>0</v>
      </c>
      <c r="CQ4" s="6" t="s">
        <v>0</v>
      </c>
      <c r="CR4" s="21" t="s">
        <v>0</v>
      </c>
      <c r="CS4" s="14" t="s">
        <v>0</v>
      </c>
      <c r="CT4" s="21" t="s">
        <v>0</v>
      </c>
      <c r="CU4" s="14" t="s">
        <v>0</v>
      </c>
      <c r="CV4" s="14" t="s">
        <v>0</v>
      </c>
      <c r="CW4" s="21" t="s">
        <v>0</v>
      </c>
      <c r="CX4" s="27" t="s">
        <v>0</v>
      </c>
      <c r="CY4" s="27" t="s">
        <v>0</v>
      </c>
      <c r="CZ4" s="27" t="s">
        <v>226</v>
      </c>
      <c r="DA4" s="27" t="s">
        <v>0</v>
      </c>
      <c r="DB4" s="27" t="s">
        <v>0</v>
      </c>
      <c r="DC4" s="27" t="s">
        <v>227</v>
      </c>
      <c r="DD4" s="148" t="s">
        <v>0</v>
      </c>
      <c r="DE4" s="13" t="s">
        <v>0</v>
      </c>
      <c r="DF4" s="168" t="s">
        <v>0</v>
      </c>
      <c r="DG4" s="27" t="s">
        <v>0</v>
      </c>
      <c r="DH4" s="36" t="s">
        <v>0</v>
      </c>
      <c r="DI4" s="177" t="s">
        <v>0</v>
      </c>
    </row>
    <row r="5" spans="1:113" s="13" customFormat="1" ht="16">
      <c r="A5" s="13" t="s">
        <v>907</v>
      </c>
      <c r="B5" s="11" t="s">
        <v>744</v>
      </c>
      <c r="C5" s="13" t="s">
        <v>92</v>
      </c>
      <c r="D5" s="82">
        <v>44545</v>
      </c>
      <c r="E5" s="82">
        <v>44607</v>
      </c>
      <c r="F5" s="44" t="s">
        <v>99</v>
      </c>
      <c r="G5" s="44" t="s">
        <v>626</v>
      </c>
      <c r="H5" s="13" t="s">
        <v>597</v>
      </c>
      <c r="I5" s="55">
        <v>38039.875999999997</v>
      </c>
      <c r="J5" s="35" t="s">
        <v>1</v>
      </c>
      <c r="K5" s="9">
        <v>700</v>
      </c>
      <c r="L5" s="9">
        <v>297</v>
      </c>
      <c r="M5" s="9">
        <v>192</v>
      </c>
      <c r="N5" s="9">
        <f t="shared" si="0"/>
        <v>700</v>
      </c>
      <c r="O5" s="11" t="s">
        <v>249</v>
      </c>
      <c r="P5" s="14" t="s">
        <v>0</v>
      </c>
      <c r="Q5" s="13" t="s">
        <v>0</v>
      </c>
      <c r="R5" s="13">
        <v>42.1</v>
      </c>
      <c r="S5" s="13">
        <v>31.8</v>
      </c>
      <c r="T5" s="13">
        <v>52.4</v>
      </c>
      <c r="U5" s="13" t="s">
        <v>0</v>
      </c>
      <c r="V5" s="13" t="s">
        <v>0</v>
      </c>
      <c r="W5" s="13">
        <v>155</v>
      </c>
      <c r="X5" s="13">
        <v>39</v>
      </c>
      <c r="Y5" s="9">
        <v>2</v>
      </c>
      <c r="Z5" s="14" t="s">
        <v>573</v>
      </c>
      <c r="AA5" s="78">
        <v>42</v>
      </c>
      <c r="AB5" s="61">
        <v>152</v>
      </c>
      <c r="AC5" s="61">
        <v>2</v>
      </c>
      <c r="AD5" s="61">
        <f t="shared" si="1"/>
        <v>0</v>
      </c>
      <c r="AE5" s="14" t="s">
        <v>0</v>
      </c>
      <c r="AF5" s="13" t="s">
        <v>0</v>
      </c>
      <c r="AG5" s="13" t="s">
        <v>465</v>
      </c>
      <c r="AH5" s="14" t="s">
        <v>101</v>
      </c>
      <c r="AI5" s="21" t="s">
        <v>0</v>
      </c>
      <c r="AJ5" s="50" t="s">
        <v>147</v>
      </c>
      <c r="AK5" s="7" t="s">
        <v>73</v>
      </c>
      <c r="AL5" s="6" t="s">
        <v>122</v>
      </c>
      <c r="AM5" s="7" t="s">
        <v>1</v>
      </c>
      <c r="AN5" s="7" t="s">
        <v>124</v>
      </c>
      <c r="AO5" s="5" t="s">
        <v>564</v>
      </c>
      <c r="AP5" s="9" t="s">
        <v>0</v>
      </c>
      <c r="AQ5" s="143" t="s">
        <v>0</v>
      </c>
      <c r="AR5" s="9">
        <v>297</v>
      </c>
      <c r="AS5" s="9" t="s">
        <v>0</v>
      </c>
      <c r="AT5" s="9">
        <v>192</v>
      </c>
      <c r="AU5" s="7" t="s">
        <v>73</v>
      </c>
      <c r="AV5" s="7" t="s">
        <v>73</v>
      </c>
      <c r="AW5" s="5" t="s">
        <v>1</v>
      </c>
      <c r="AX5" s="119" t="s">
        <v>0</v>
      </c>
      <c r="AY5" s="9">
        <f>SUM(AZ5:BC5)</f>
        <v>192</v>
      </c>
      <c r="AZ5" s="9">
        <v>14</v>
      </c>
      <c r="BA5" s="9">
        <f>192-AZ5</f>
        <v>178</v>
      </c>
      <c r="BB5" s="9">
        <v>0</v>
      </c>
      <c r="BC5" s="20" t="s">
        <v>0</v>
      </c>
      <c r="BD5" s="50" t="s">
        <v>0</v>
      </c>
      <c r="BE5" s="5" t="s">
        <v>0</v>
      </c>
      <c r="BF5" s="9">
        <f t="shared" si="2"/>
        <v>0</v>
      </c>
      <c r="BG5" s="9" t="s">
        <v>0</v>
      </c>
      <c r="BH5" s="9" t="s">
        <v>0</v>
      </c>
      <c r="BI5" s="9" t="s">
        <v>0</v>
      </c>
      <c r="BJ5" s="9" t="s">
        <v>0</v>
      </c>
      <c r="BK5" s="56" t="str">
        <f t="shared" si="3"/>
        <v>#</v>
      </c>
      <c r="BL5" s="9">
        <f>SUM(BM5:BP5)</f>
        <v>192</v>
      </c>
      <c r="BM5" s="9">
        <v>14</v>
      </c>
      <c r="BN5" s="9">
        <f>192-BM5</f>
        <v>178</v>
      </c>
      <c r="BO5" s="9">
        <v>0</v>
      </c>
      <c r="BP5" s="20" t="s">
        <v>0</v>
      </c>
      <c r="BQ5" s="71" t="s">
        <v>0</v>
      </c>
      <c r="BR5" s="5" t="s">
        <v>0</v>
      </c>
      <c r="BS5" s="9">
        <f t="shared" si="4"/>
        <v>0</v>
      </c>
      <c r="BT5" s="9" t="s">
        <v>0</v>
      </c>
      <c r="BU5" s="9" t="s">
        <v>0</v>
      </c>
      <c r="BV5" s="9" t="s">
        <v>0</v>
      </c>
      <c r="BW5" s="9" t="s">
        <v>0</v>
      </c>
      <c r="BX5" s="20" t="str">
        <f t="shared" si="5"/>
        <v>#</v>
      </c>
      <c r="BY5" s="6" t="s">
        <v>0</v>
      </c>
      <c r="BZ5" s="5" t="s">
        <v>0</v>
      </c>
      <c r="CA5" s="6" t="s">
        <v>686</v>
      </c>
      <c r="CB5" s="6" t="s">
        <v>196</v>
      </c>
      <c r="CC5" s="6" t="s">
        <v>0</v>
      </c>
      <c r="CD5" s="11" t="s">
        <v>0</v>
      </c>
      <c r="CE5" s="149" t="s">
        <v>0</v>
      </c>
      <c r="CF5" s="149" t="s">
        <v>0</v>
      </c>
      <c r="CG5" s="149" t="s">
        <v>0</v>
      </c>
      <c r="CH5" s="63" t="s">
        <v>0</v>
      </c>
      <c r="CI5" s="64" t="s">
        <v>0</v>
      </c>
      <c r="CJ5" s="63" t="s">
        <v>0</v>
      </c>
      <c r="CK5" s="14" t="s">
        <v>0</v>
      </c>
      <c r="CL5" s="14" t="s">
        <v>0</v>
      </c>
      <c r="CM5" s="14" t="s">
        <v>0</v>
      </c>
      <c r="CN5" s="14" t="s">
        <v>0</v>
      </c>
      <c r="CO5" s="6" t="s">
        <v>0</v>
      </c>
      <c r="CP5" s="6" t="s">
        <v>0</v>
      </c>
      <c r="CQ5" s="6" t="s">
        <v>0</v>
      </c>
      <c r="CR5" s="21" t="s">
        <v>0</v>
      </c>
      <c r="CS5" s="14" t="s">
        <v>0</v>
      </c>
      <c r="CT5" s="21" t="s">
        <v>0</v>
      </c>
      <c r="CU5" s="14" t="s">
        <v>0</v>
      </c>
      <c r="CV5" s="14" t="s">
        <v>0</v>
      </c>
      <c r="CW5" s="21" t="s">
        <v>0</v>
      </c>
      <c r="CX5" s="27" t="s">
        <v>0</v>
      </c>
      <c r="CY5" s="27" t="s">
        <v>0</v>
      </c>
      <c r="CZ5" s="27" t="s">
        <v>228</v>
      </c>
      <c r="DA5" s="27" t="s">
        <v>0</v>
      </c>
      <c r="DB5" s="27" t="s">
        <v>0</v>
      </c>
      <c r="DC5" s="27" t="s">
        <v>229</v>
      </c>
      <c r="DD5" s="148" t="s">
        <v>0</v>
      </c>
      <c r="DE5" s="13" t="s">
        <v>0</v>
      </c>
      <c r="DF5" s="168" t="s">
        <v>0</v>
      </c>
      <c r="DG5" s="27" t="s">
        <v>0</v>
      </c>
      <c r="DH5" s="36" t="s">
        <v>0</v>
      </c>
      <c r="DI5" s="177" t="s">
        <v>0</v>
      </c>
    </row>
    <row r="6" spans="1:113" ht="16">
      <c r="A6" s="13" t="s">
        <v>908</v>
      </c>
      <c r="B6" s="47" t="s">
        <v>745</v>
      </c>
      <c r="C6" s="13" t="s">
        <v>92</v>
      </c>
      <c r="D6" s="82">
        <v>44607</v>
      </c>
      <c r="E6" s="82">
        <v>44666</v>
      </c>
      <c r="F6" s="7" t="s">
        <v>105</v>
      </c>
      <c r="G6" s="7" t="s">
        <v>628</v>
      </c>
      <c r="H6" s="7" t="s">
        <v>596</v>
      </c>
      <c r="I6" s="42">
        <v>1352.989</v>
      </c>
      <c r="J6" s="18" t="s">
        <v>1</v>
      </c>
      <c r="K6" s="62" t="s">
        <v>0</v>
      </c>
      <c r="L6" s="9" t="s">
        <v>0</v>
      </c>
      <c r="M6" s="9">
        <v>1123</v>
      </c>
      <c r="N6" s="9">
        <f t="shared" si="0"/>
        <v>1123</v>
      </c>
      <c r="O6" s="11" t="s">
        <v>297</v>
      </c>
      <c r="P6" s="6" t="s">
        <v>0</v>
      </c>
      <c r="Q6" s="13" t="s">
        <v>0</v>
      </c>
      <c r="R6" s="6">
        <v>27</v>
      </c>
      <c r="S6" s="6">
        <v>21</v>
      </c>
      <c r="T6" s="6">
        <v>37</v>
      </c>
      <c r="U6" s="6" t="s">
        <v>0</v>
      </c>
      <c r="V6" s="6" t="s">
        <v>0</v>
      </c>
      <c r="W6" s="6">
        <v>432</v>
      </c>
      <c r="X6" s="6" t="s">
        <v>0</v>
      </c>
      <c r="Y6" s="9" t="s">
        <v>0</v>
      </c>
      <c r="Z6" s="6" t="s">
        <v>96</v>
      </c>
      <c r="AA6" s="79">
        <v>199</v>
      </c>
      <c r="AB6" s="68">
        <v>937</v>
      </c>
      <c r="AC6" s="68">
        <v>0</v>
      </c>
      <c r="AD6" s="61">
        <f t="shared" si="1"/>
        <v>0</v>
      </c>
      <c r="AE6" s="10" t="s">
        <v>106</v>
      </c>
      <c r="AF6" s="7" t="s">
        <v>0</v>
      </c>
      <c r="AG6" s="7" t="s">
        <v>465</v>
      </c>
      <c r="AH6" s="10" t="s">
        <v>0</v>
      </c>
      <c r="AI6" s="26" t="s">
        <v>0</v>
      </c>
      <c r="AJ6" s="50" t="s">
        <v>143</v>
      </c>
      <c r="AK6" s="7" t="s">
        <v>73</v>
      </c>
      <c r="AL6" s="6" t="s">
        <v>122</v>
      </c>
      <c r="AM6" s="5" t="s">
        <v>136</v>
      </c>
      <c r="AN6" s="5" t="s">
        <v>961</v>
      </c>
      <c r="AO6" s="5" t="s">
        <v>564</v>
      </c>
      <c r="AP6" s="68" t="s">
        <v>0</v>
      </c>
      <c r="AQ6" s="68" t="s">
        <v>0</v>
      </c>
      <c r="AR6" s="9" t="s">
        <v>0</v>
      </c>
      <c r="AS6" s="9" t="s">
        <v>0</v>
      </c>
      <c r="AT6" s="9">
        <v>1121</v>
      </c>
      <c r="AU6" s="7" t="s">
        <v>73</v>
      </c>
      <c r="AV6" s="7" t="s">
        <v>72</v>
      </c>
      <c r="AW6" s="5" t="s">
        <v>0</v>
      </c>
      <c r="AX6" s="119" t="s">
        <v>0</v>
      </c>
      <c r="AY6" s="9">
        <f>SUM(AZ6:BC6)</f>
        <v>1123</v>
      </c>
      <c r="AZ6" s="67">
        <v>9</v>
      </c>
      <c r="BA6" s="9">
        <v>1109</v>
      </c>
      <c r="BB6" s="9">
        <v>5</v>
      </c>
      <c r="BC6" s="20" t="s">
        <v>0</v>
      </c>
      <c r="BD6" s="50" t="s">
        <v>252</v>
      </c>
      <c r="BE6" s="5" t="s">
        <v>0</v>
      </c>
      <c r="BF6" s="9">
        <f t="shared" si="2"/>
        <v>1118</v>
      </c>
      <c r="BG6" s="9">
        <v>9</v>
      </c>
      <c r="BH6" s="9">
        <v>2</v>
      </c>
      <c r="BI6" s="9">
        <v>1107</v>
      </c>
      <c r="BJ6" s="9">
        <v>0</v>
      </c>
      <c r="BK6" s="56">
        <f t="shared" si="3"/>
        <v>1107</v>
      </c>
      <c r="BL6" s="9">
        <f>SUM(BM6:BP6)</f>
        <v>1123</v>
      </c>
      <c r="BM6" s="67">
        <v>9</v>
      </c>
      <c r="BN6" s="9">
        <v>1109</v>
      </c>
      <c r="BO6" s="9">
        <v>5</v>
      </c>
      <c r="BP6" s="20" t="s">
        <v>0</v>
      </c>
      <c r="BQ6" s="71" t="s">
        <v>252</v>
      </c>
      <c r="BR6" s="5" t="s">
        <v>0</v>
      </c>
      <c r="BS6" s="9">
        <f t="shared" si="4"/>
        <v>1118</v>
      </c>
      <c r="BT6" s="9">
        <v>9</v>
      </c>
      <c r="BU6" s="9">
        <v>2</v>
      </c>
      <c r="BV6" s="9">
        <v>1107</v>
      </c>
      <c r="BW6" s="9" t="s">
        <v>0</v>
      </c>
      <c r="BX6" s="20">
        <f t="shared" si="5"/>
        <v>11</v>
      </c>
      <c r="BY6" s="5" t="s">
        <v>688</v>
      </c>
      <c r="BZ6" s="5" t="s">
        <v>197</v>
      </c>
      <c r="CA6" s="5" t="s">
        <v>0</v>
      </c>
      <c r="CB6" s="6" t="s">
        <v>198</v>
      </c>
      <c r="CC6" s="5" t="s">
        <v>0</v>
      </c>
      <c r="CD6" s="11" t="s">
        <v>0</v>
      </c>
      <c r="CE6" s="149" t="s">
        <v>0</v>
      </c>
      <c r="CF6" s="149" t="s">
        <v>0</v>
      </c>
      <c r="CG6" s="149" t="s">
        <v>0</v>
      </c>
      <c r="CH6" s="63" t="s">
        <v>0</v>
      </c>
      <c r="CI6" s="64" t="s">
        <v>0</v>
      </c>
      <c r="CJ6" s="63" t="s">
        <v>0</v>
      </c>
      <c r="CK6" s="14" t="s">
        <v>0</v>
      </c>
      <c r="CL6" s="14" t="s">
        <v>0</v>
      </c>
      <c r="CM6" s="14" t="s">
        <v>0</v>
      </c>
      <c r="CN6" s="14" t="s">
        <v>0</v>
      </c>
      <c r="CO6" s="6" t="s">
        <v>0</v>
      </c>
      <c r="CP6" s="6" t="s">
        <v>0</v>
      </c>
      <c r="CQ6" s="6" t="s">
        <v>0</v>
      </c>
      <c r="CR6" s="21" t="s">
        <v>0</v>
      </c>
      <c r="CS6" s="14" t="s">
        <v>0</v>
      </c>
      <c r="CT6" s="21" t="s">
        <v>0</v>
      </c>
      <c r="CU6" s="14" t="s">
        <v>0</v>
      </c>
      <c r="CV6" s="14" t="s">
        <v>0</v>
      </c>
      <c r="CW6" s="21" t="s">
        <v>0</v>
      </c>
      <c r="CX6" s="27" t="s">
        <v>0</v>
      </c>
      <c r="CY6" s="27" t="s">
        <v>0</v>
      </c>
      <c r="CZ6" s="27" t="s">
        <v>0</v>
      </c>
      <c r="DA6" s="27" t="s">
        <v>0</v>
      </c>
      <c r="DB6" s="27" t="s">
        <v>0</v>
      </c>
      <c r="DC6" s="27" t="s">
        <v>0</v>
      </c>
      <c r="DD6" s="148" t="s">
        <v>0</v>
      </c>
      <c r="DE6" s="13" t="s">
        <v>0</v>
      </c>
      <c r="DF6" s="168" t="s">
        <v>0</v>
      </c>
      <c r="DG6" s="27" t="s">
        <v>0</v>
      </c>
      <c r="DH6" s="36" t="s">
        <v>0</v>
      </c>
      <c r="DI6" s="177" t="s">
        <v>0</v>
      </c>
    </row>
    <row r="7" spans="1:113" ht="15" customHeight="1">
      <c r="A7" s="13" t="s">
        <v>909</v>
      </c>
      <c r="B7" s="47" t="s">
        <v>746</v>
      </c>
      <c r="C7" s="7" t="s">
        <v>92</v>
      </c>
      <c r="D7" s="22">
        <v>44880</v>
      </c>
      <c r="E7" s="22">
        <v>44978</v>
      </c>
      <c r="F7" s="10" t="s">
        <v>352</v>
      </c>
      <c r="G7" s="10" t="s">
        <v>642</v>
      </c>
      <c r="H7" s="10" t="s">
        <v>1</v>
      </c>
      <c r="I7" s="42">
        <v>13900.839</v>
      </c>
      <c r="J7" s="18" t="s">
        <v>1</v>
      </c>
      <c r="K7" s="9">
        <v>2959</v>
      </c>
      <c r="L7" s="9">
        <v>1768</v>
      </c>
      <c r="M7" s="9">
        <v>396</v>
      </c>
      <c r="N7" s="9">
        <f t="shared" si="0"/>
        <v>2959</v>
      </c>
      <c r="O7" s="63" t="s">
        <v>297</v>
      </c>
      <c r="P7" s="52" t="s">
        <v>0</v>
      </c>
      <c r="Q7" s="52" t="s">
        <v>0</v>
      </c>
      <c r="R7" s="6" t="s">
        <v>0</v>
      </c>
      <c r="S7" s="6" t="s">
        <v>0</v>
      </c>
      <c r="T7" s="6" t="s">
        <v>0</v>
      </c>
      <c r="U7" s="6" t="s">
        <v>0</v>
      </c>
      <c r="V7" s="6" t="s">
        <v>0</v>
      </c>
      <c r="W7" s="6">
        <v>1017</v>
      </c>
      <c r="X7" s="6">
        <v>740</v>
      </c>
      <c r="Y7" s="9">
        <v>6</v>
      </c>
      <c r="Z7" s="6" t="s">
        <v>353</v>
      </c>
      <c r="AA7" s="79" t="s">
        <v>0</v>
      </c>
      <c r="AB7" s="79" t="s">
        <v>0</v>
      </c>
      <c r="AC7" s="68" t="s">
        <v>0</v>
      </c>
      <c r="AD7" s="61">
        <f t="shared" si="1"/>
        <v>0</v>
      </c>
      <c r="AE7" s="10" t="s">
        <v>0</v>
      </c>
      <c r="AF7" s="10" t="s">
        <v>0</v>
      </c>
      <c r="AG7" s="10" t="s">
        <v>465</v>
      </c>
      <c r="AH7" s="10" t="s">
        <v>0</v>
      </c>
      <c r="AI7" s="26" t="s">
        <v>0</v>
      </c>
      <c r="AJ7" s="6" t="s">
        <v>354</v>
      </c>
      <c r="AK7" s="7" t="s">
        <v>73</v>
      </c>
      <c r="AL7" s="6" t="s">
        <v>122</v>
      </c>
      <c r="AM7" s="7" t="s">
        <v>435</v>
      </c>
      <c r="AN7" s="7" t="s">
        <v>124</v>
      </c>
      <c r="AO7" s="10" t="s">
        <v>305</v>
      </c>
      <c r="AP7" s="68" t="s">
        <v>0</v>
      </c>
      <c r="AQ7" s="143">
        <f>ROUND(('Data extracted'!E7-'Data extracted'!D7)/7,0)</f>
        <v>14</v>
      </c>
      <c r="AR7" s="9" t="s">
        <v>0</v>
      </c>
      <c r="AS7" s="9" t="s">
        <v>0</v>
      </c>
      <c r="AT7" s="9" t="s">
        <v>0</v>
      </c>
      <c r="AU7" s="7" t="s">
        <v>73</v>
      </c>
      <c r="AV7" s="7" t="s">
        <v>73</v>
      </c>
      <c r="AW7" s="7" t="s">
        <v>436</v>
      </c>
      <c r="AX7" s="11" t="s">
        <v>0</v>
      </c>
      <c r="AY7" s="9" t="s">
        <v>0</v>
      </c>
      <c r="AZ7" s="9" t="s">
        <v>0</v>
      </c>
      <c r="BA7" s="9" t="s">
        <v>0</v>
      </c>
      <c r="BB7" s="9" t="s">
        <v>0</v>
      </c>
      <c r="BC7" s="20" t="s">
        <v>0</v>
      </c>
      <c r="BD7" s="6" t="s">
        <v>0</v>
      </c>
      <c r="BE7" s="6" t="s">
        <v>0</v>
      </c>
      <c r="BF7" s="9">
        <f t="shared" si="2"/>
        <v>0</v>
      </c>
      <c r="BG7" s="9" t="s">
        <v>0</v>
      </c>
      <c r="BH7" s="9" t="s">
        <v>0</v>
      </c>
      <c r="BI7" s="9" t="s">
        <v>0</v>
      </c>
      <c r="BJ7" s="9" t="s">
        <v>0</v>
      </c>
      <c r="BK7" s="56" t="str">
        <f t="shared" si="3"/>
        <v>#</v>
      </c>
      <c r="BL7" s="9">
        <f>SUM(BM7:BP7)</f>
        <v>396</v>
      </c>
      <c r="BM7" s="9">
        <v>40</v>
      </c>
      <c r="BN7" s="9">
        <v>329</v>
      </c>
      <c r="BO7" s="9">
        <v>27</v>
      </c>
      <c r="BP7" s="20" t="s">
        <v>0</v>
      </c>
      <c r="BQ7" s="50" t="s">
        <v>0</v>
      </c>
      <c r="BR7" s="6" t="s">
        <v>0</v>
      </c>
      <c r="BS7" s="9">
        <f t="shared" si="4"/>
        <v>0</v>
      </c>
      <c r="BT7" s="9" t="s">
        <v>0</v>
      </c>
      <c r="BU7" s="9" t="s">
        <v>0</v>
      </c>
      <c r="BV7" s="9" t="s">
        <v>0</v>
      </c>
      <c r="BW7" s="9" t="s">
        <v>0</v>
      </c>
      <c r="BX7" s="20" t="str">
        <f t="shared" si="5"/>
        <v>#</v>
      </c>
      <c r="BY7" s="6" t="s">
        <v>0</v>
      </c>
      <c r="BZ7" s="5" t="s">
        <v>0</v>
      </c>
      <c r="CA7" s="6" t="s">
        <v>0</v>
      </c>
      <c r="CB7" s="6" t="s">
        <v>437</v>
      </c>
      <c r="CC7" s="6" t="s">
        <v>0</v>
      </c>
      <c r="CD7" s="11" t="s">
        <v>0</v>
      </c>
      <c r="CE7" s="149" t="s">
        <v>0</v>
      </c>
      <c r="CF7" s="149" t="s">
        <v>0</v>
      </c>
      <c r="CG7" s="149" t="s">
        <v>0</v>
      </c>
      <c r="CH7" s="63" t="s">
        <v>0</v>
      </c>
      <c r="CI7" s="64" t="s">
        <v>0</v>
      </c>
      <c r="CJ7" s="63" t="s">
        <v>0</v>
      </c>
      <c r="CK7" s="6" t="s">
        <v>0</v>
      </c>
      <c r="CL7" s="6" t="s">
        <v>0</v>
      </c>
      <c r="CM7" s="6" t="s">
        <v>0</v>
      </c>
      <c r="CN7" s="6" t="s">
        <v>0</v>
      </c>
      <c r="CO7" s="6" t="s">
        <v>0</v>
      </c>
      <c r="CP7" s="6" t="s">
        <v>0</v>
      </c>
      <c r="CQ7" s="6" t="s">
        <v>0</v>
      </c>
      <c r="CR7" s="11" t="s">
        <v>0</v>
      </c>
      <c r="CS7" s="6" t="s">
        <v>0</v>
      </c>
      <c r="CT7" s="11" t="s">
        <v>0</v>
      </c>
      <c r="CU7" s="6" t="s">
        <v>0</v>
      </c>
      <c r="CV7" s="6" t="s">
        <v>0</v>
      </c>
      <c r="CW7" s="11" t="s">
        <v>0</v>
      </c>
      <c r="CX7" s="27" t="s">
        <v>0</v>
      </c>
      <c r="CY7" s="27" t="s">
        <v>439</v>
      </c>
      <c r="CZ7" s="27" t="s">
        <v>438</v>
      </c>
      <c r="DA7" s="27" t="s">
        <v>0</v>
      </c>
      <c r="DB7" s="27" t="s">
        <v>0</v>
      </c>
      <c r="DC7" s="27" t="s">
        <v>0</v>
      </c>
      <c r="DD7" s="148" t="s">
        <v>0</v>
      </c>
      <c r="DE7" s="13" t="s">
        <v>0</v>
      </c>
      <c r="DF7" s="168" t="s">
        <v>0</v>
      </c>
      <c r="DG7" s="27" t="s">
        <v>0</v>
      </c>
      <c r="DH7" s="36" t="s">
        <v>0</v>
      </c>
      <c r="DI7" s="177" t="s">
        <v>0</v>
      </c>
    </row>
    <row r="8" spans="1:113" ht="16">
      <c r="A8" s="13" t="s">
        <v>910</v>
      </c>
      <c r="B8" s="12" t="s">
        <v>35</v>
      </c>
      <c r="C8" s="7" t="s">
        <v>278</v>
      </c>
      <c r="D8" s="29">
        <v>44692</v>
      </c>
      <c r="E8" s="29">
        <v>44722</v>
      </c>
      <c r="F8" s="7" t="s">
        <v>107</v>
      </c>
      <c r="G8" s="7" t="s">
        <v>629</v>
      </c>
      <c r="H8" s="7" t="s">
        <v>104</v>
      </c>
      <c r="I8" s="42">
        <v>37826.616000000002</v>
      </c>
      <c r="J8" s="18" t="s">
        <v>108</v>
      </c>
      <c r="K8" s="9">
        <v>426</v>
      </c>
      <c r="L8" s="9" t="s">
        <v>0</v>
      </c>
      <c r="M8" s="9" t="s">
        <v>0</v>
      </c>
      <c r="N8" s="9">
        <f t="shared" si="0"/>
        <v>426</v>
      </c>
      <c r="O8" s="11" t="s">
        <v>242</v>
      </c>
      <c r="P8" s="6" t="s">
        <v>0</v>
      </c>
      <c r="Q8" s="6" t="s">
        <v>0</v>
      </c>
      <c r="R8" s="6">
        <v>5</v>
      </c>
      <c r="S8" s="6">
        <v>2</v>
      </c>
      <c r="T8" s="6">
        <v>8</v>
      </c>
      <c r="U8" s="6" t="s">
        <v>0</v>
      </c>
      <c r="V8" s="6" t="s">
        <v>0</v>
      </c>
      <c r="W8" s="6" t="s">
        <v>0</v>
      </c>
      <c r="X8" s="6">
        <v>227</v>
      </c>
      <c r="Y8" s="9" t="s">
        <v>0</v>
      </c>
      <c r="Z8" s="6" t="s">
        <v>96</v>
      </c>
      <c r="AA8" s="79">
        <v>389</v>
      </c>
      <c r="AB8" s="68">
        <v>37</v>
      </c>
      <c r="AC8" s="68">
        <v>0</v>
      </c>
      <c r="AD8" s="61">
        <f t="shared" si="1"/>
        <v>0</v>
      </c>
      <c r="AE8" s="10">
        <v>22</v>
      </c>
      <c r="AF8" s="7">
        <v>330</v>
      </c>
      <c r="AG8" s="7" t="s">
        <v>465</v>
      </c>
      <c r="AH8" s="10">
        <v>25</v>
      </c>
      <c r="AI8" s="26" t="s">
        <v>0</v>
      </c>
      <c r="AJ8" s="50" t="s">
        <v>305</v>
      </c>
      <c r="AK8" s="7" t="s">
        <v>0</v>
      </c>
      <c r="AL8" s="6" t="s">
        <v>1</v>
      </c>
      <c r="AM8" s="7" t="s">
        <v>149</v>
      </c>
      <c r="AN8" s="7" t="s">
        <v>124</v>
      </c>
      <c r="AO8" s="5" t="s">
        <v>564</v>
      </c>
      <c r="AP8" s="68" t="s">
        <v>0</v>
      </c>
      <c r="AQ8" s="143">
        <f>ROUND(('Data extracted'!E8-'Data extracted'!D8)/7,0)</f>
        <v>4</v>
      </c>
      <c r="AR8" s="68" t="s">
        <v>0</v>
      </c>
      <c r="AS8" s="9" t="s">
        <v>0</v>
      </c>
      <c r="AT8" s="9" t="s">
        <v>0</v>
      </c>
      <c r="AU8" s="7" t="s">
        <v>73</v>
      </c>
      <c r="AV8" s="7" t="s">
        <v>73</v>
      </c>
      <c r="AW8" s="5" t="s">
        <v>1</v>
      </c>
      <c r="AX8" s="11" t="s">
        <v>309</v>
      </c>
      <c r="AY8" s="9" t="s">
        <v>0</v>
      </c>
      <c r="AZ8" s="9" t="s">
        <v>0</v>
      </c>
      <c r="BA8" s="9" t="s">
        <v>0</v>
      </c>
      <c r="BB8" s="9" t="s">
        <v>0</v>
      </c>
      <c r="BC8" s="20" t="s">
        <v>0</v>
      </c>
      <c r="BD8" s="48" t="s">
        <v>158</v>
      </c>
      <c r="BE8" s="5" t="s">
        <v>150</v>
      </c>
      <c r="BF8" s="9">
        <f t="shared" si="2"/>
        <v>249</v>
      </c>
      <c r="BG8" s="9">
        <v>186</v>
      </c>
      <c r="BH8" s="9">
        <v>38</v>
      </c>
      <c r="BI8" s="9">
        <v>24</v>
      </c>
      <c r="BJ8" s="9">
        <v>1</v>
      </c>
      <c r="BK8" s="56">
        <f t="shared" si="3"/>
        <v>25</v>
      </c>
      <c r="BL8" s="9" t="s">
        <v>0</v>
      </c>
      <c r="BM8" s="9" t="s">
        <v>0</v>
      </c>
      <c r="BN8" s="9" t="s">
        <v>0</v>
      </c>
      <c r="BO8" s="9" t="s">
        <v>0</v>
      </c>
      <c r="BP8" s="20" t="s">
        <v>0</v>
      </c>
      <c r="BQ8" s="72" t="s">
        <v>158</v>
      </c>
      <c r="BR8" s="5" t="s">
        <v>150</v>
      </c>
      <c r="BS8" s="9">
        <f t="shared" si="4"/>
        <v>249</v>
      </c>
      <c r="BT8" s="9">
        <v>186</v>
      </c>
      <c r="BU8" s="9">
        <v>38</v>
      </c>
      <c r="BV8" s="9">
        <v>24</v>
      </c>
      <c r="BW8" s="9">
        <v>1</v>
      </c>
      <c r="BX8" s="20">
        <f t="shared" si="5"/>
        <v>224</v>
      </c>
      <c r="BY8" s="5" t="s">
        <v>687</v>
      </c>
      <c r="BZ8" s="5" t="s">
        <v>184</v>
      </c>
      <c r="CA8" s="5" t="s">
        <v>0</v>
      </c>
      <c r="CB8" s="5" t="s">
        <v>0</v>
      </c>
      <c r="CC8" s="5" t="s">
        <v>0</v>
      </c>
      <c r="CD8" s="11" t="s">
        <v>0</v>
      </c>
      <c r="CE8" s="149" t="s">
        <v>0</v>
      </c>
      <c r="CF8" s="149" t="s">
        <v>0</v>
      </c>
      <c r="CG8" s="149" t="s">
        <v>0</v>
      </c>
      <c r="CH8" s="63" t="s">
        <v>0</v>
      </c>
      <c r="CI8" s="64" t="s">
        <v>0</v>
      </c>
      <c r="CJ8" s="63" t="s">
        <v>0</v>
      </c>
      <c r="CK8" s="14" t="s">
        <v>0</v>
      </c>
      <c r="CL8" s="14" t="s">
        <v>0</v>
      </c>
      <c r="CM8" s="14" t="s">
        <v>0</v>
      </c>
      <c r="CN8" s="14" t="s">
        <v>0</v>
      </c>
      <c r="CO8" s="6" t="s">
        <v>0</v>
      </c>
      <c r="CP8" s="6" t="s">
        <v>0</v>
      </c>
      <c r="CQ8" s="6" t="s">
        <v>0</v>
      </c>
      <c r="CR8" s="21" t="s">
        <v>0</v>
      </c>
      <c r="CS8" s="14" t="s">
        <v>0</v>
      </c>
      <c r="CT8" s="21" t="s">
        <v>0</v>
      </c>
      <c r="CU8" s="14" t="s">
        <v>0</v>
      </c>
      <c r="CV8" s="14" t="s">
        <v>0</v>
      </c>
      <c r="CW8" s="16" t="s">
        <v>0</v>
      </c>
      <c r="CX8" s="27" t="s">
        <v>0</v>
      </c>
      <c r="CY8" s="27" t="s">
        <v>0</v>
      </c>
      <c r="CZ8" s="27" t="s">
        <v>0</v>
      </c>
      <c r="DA8" s="27" t="s">
        <v>0</v>
      </c>
      <c r="DB8" s="27" t="s">
        <v>0</v>
      </c>
      <c r="DC8" s="27" t="s">
        <v>0</v>
      </c>
      <c r="DD8" s="148" t="s">
        <v>0</v>
      </c>
      <c r="DE8" s="13" t="s">
        <v>0</v>
      </c>
      <c r="DF8" s="168" t="s">
        <v>0</v>
      </c>
      <c r="DG8" s="27" t="s">
        <v>0</v>
      </c>
      <c r="DH8" s="36" t="s">
        <v>0</v>
      </c>
      <c r="DI8" s="177" t="s">
        <v>0</v>
      </c>
    </row>
    <row r="9" spans="1:113" ht="16">
      <c r="A9" s="13" t="s">
        <v>911</v>
      </c>
      <c r="B9" s="12" t="s">
        <v>35</v>
      </c>
      <c r="C9" s="7" t="s">
        <v>278</v>
      </c>
      <c r="D9" s="29">
        <v>44692</v>
      </c>
      <c r="E9" s="29">
        <v>44722</v>
      </c>
      <c r="F9" s="7" t="s">
        <v>107</v>
      </c>
      <c r="G9" s="7" t="s">
        <v>629</v>
      </c>
      <c r="H9" s="7" t="s">
        <v>104</v>
      </c>
      <c r="I9" s="42">
        <v>37826.616000000002</v>
      </c>
      <c r="J9" s="18" t="s">
        <v>108</v>
      </c>
      <c r="K9" s="9">
        <v>201</v>
      </c>
      <c r="L9" s="9" t="s">
        <v>0</v>
      </c>
      <c r="M9" s="9" t="s">
        <v>0</v>
      </c>
      <c r="N9" s="9">
        <f t="shared" si="0"/>
        <v>201</v>
      </c>
      <c r="O9" s="11" t="s">
        <v>242</v>
      </c>
      <c r="P9" s="6" t="s">
        <v>0</v>
      </c>
      <c r="Q9" s="6" t="s">
        <v>0</v>
      </c>
      <c r="R9" s="6">
        <v>40</v>
      </c>
      <c r="S9" s="6">
        <v>36</v>
      </c>
      <c r="T9" s="6">
        <v>44</v>
      </c>
      <c r="U9" s="6" t="s">
        <v>0</v>
      </c>
      <c r="V9" s="6" t="s">
        <v>0</v>
      </c>
      <c r="W9" s="6" t="s">
        <v>0</v>
      </c>
      <c r="X9" s="6">
        <v>66</v>
      </c>
      <c r="Y9" s="9" t="s">
        <v>0</v>
      </c>
      <c r="Z9" s="6" t="s">
        <v>96</v>
      </c>
      <c r="AA9" s="79">
        <v>154</v>
      </c>
      <c r="AB9" s="68">
        <v>48</v>
      </c>
      <c r="AC9" s="68">
        <v>0</v>
      </c>
      <c r="AD9" s="61">
        <f t="shared" si="1"/>
        <v>0</v>
      </c>
      <c r="AE9" s="10">
        <v>13</v>
      </c>
      <c r="AF9" s="7">
        <v>154</v>
      </c>
      <c r="AG9" s="7" t="s">
        <v>465</v>
      </c>
      <c r="AH9" s="10">
        <v>198</v>
      </c>
      <c r="AI9" s="26" t="s">
        <v>0</v>
      </c>
      <c r="AJ9" s="50" t="s">
        <v>305</v>
      </c>
      <c r="AK9" s="7" t="s">
        <v>0</v>
      </c>
      <c r="AL9" s="6" t="s">
        <v>1</v>
      </c>
      <c r="AM9" s="7" t="s">
        <v>149</v>
      </c>
      <c r="AN9" s="7" t="s">
        <v>124</v>
      </c>
      <c r="AO9" s="5" t="s">
        <v>564</v>
      </c>
      <c r="AP9" s="68" t="s">
        <v>0</v>
      </c>
      <c r="AQ9" s="143">
        <f>ROUND(('Data extracted'!E9-'Data extracted'!D9)/7,0)</f>
        <v>4</v>
      </c>
      <c r="AR9" s="68" t="s">
        <v>0</v>
      </c>
      <c r="AS9" s="9" t="s">
        <v>0</v>
      </c>
      <c r="AT9" s="9" t="s">
        <v>0</v>
      </c>
      <c r="AU9" s="7" t="s">
        <v>73</v>
      </c>
      <c r="AV9" s="7" t="s">
        <v>73</v>
      </c>
      <c r="AW9" s="5" t="s">
        <v>1</v>
      </c>
      <c r="AX9" s="11" t="s">
        <v>309</v>
      </c>
      <c r="AY9" s="9" t="s">
        <v>0</v>
      </c>
      <c r="AZ9" s="9" t="s">
        <v>0</v>
      </c>
      <c r="BA9" s="9" t="s">
        <v>0</v>
      </c>
      <c r="BB9" s="9" t="s">
        <v>0</v>
      </c>
      <c r="BC9" s="20" t="s">
        <v>0</v>
      </c>
      <c r="BD9" s="48" t="s">
        <v>158</v>
      </c>
      <c r="BE9" s="5" t="s">
        <v>150</v>
      </c>
      <c r="BF9" s="9">
        <f t="shared" si="2"/>
        <v>148</v>
      </c>
      <c r="BG9" s="9">
        <v>78</v>
      </c>
      <c r="BH9" s="9">
        <v>29</v>
      </c>
      <c r="BI9" s="9">
        <v>36</v>
      </c>
      <c r="BJ9" s="9">
        <v>5</v>
      </c>
      <c r="BK9" s="56">
        <f t="shared" si="3"/>
        <v>41</v>
      </c>
      <c r="BL9" s="9" t="s">
        <v>0</v>
      </c>
      <c r="BM9" s="9" t="s">
        <v>0</v>
      </c>
      <c r="BN9" s="9" t="s">
        <v>0</v>
      </c>
      <c r="BO9" s="9" t="s">
        <v>0</v>
      </c>
      <c r="BP9" s="20" t="s">
        <v>0</v>
      </c>
      <c r="BQ9" s="72" t="s">
        <v>158</v>
      </c>
      <c r="BR9" s="5" t="s">
        <v>150</v>
      </c>
      <c r="BS9" s="9">
        <f t="shared" si="4"/>
        <v>148</v>
      </c>
      <c r="BT9" s="9">
        <v>78</v>
      </c>
      <c r="BU9" s="9">
        <v>29</v>
      </c>
      <c r="BV9" s="9">
        <v>36</v>
      </c>
      <c r="BW9" s="9">
        <v>5</v>
      </c>
      <c r="BX9" s="20">
        <f t="shared" si="5"/>
        <v>107</v>
      </c>
      <c r="BY9" s="5" t="s">
        <v>687</v>
      </c>
      <c r="BZ9" s="5" t="s">
        <v>184</v>
      </c>
      <c r="CA9" s="5" t="s">
        <v>0</v>
      </c>
      <c r="CB9" s="5" t="s">
        <v>0</v>
      </c>
      <c r="CC9" s="5" t="s">
        <v>0</v>
      </c>
      <c r="CD9" s="11" t="s">
        <v>0</v>
      </c>
      <c r="CE9" s="149" t="s">
        <v>0</v>
      </c>
      <c r="CF9" s="149" t="s">
        <v>0</v>
      </c>
      <c r="CG9" s="149" t="s">
        <v>0</v>
      </c>
      <c r="CH9" s="63" t="s">
        <v>0</v>
      </c>
      <c r="CI9" s="64" t="s">
        <v>0</v>
      </c>
      <c r="CJ9" s="63" t="s">
        <v>0</v>
      </c>
      <c r="CK9" s="14" t="s">
        <v>0</v>
      </c>
      <c r="CL9" s="14" t="s">
        <v>0</v>
      </c>
      <c r="CM9" s="14" t="s">
        <v>0</v>
      </c>
      <c r="CN9" s="14" t="s">
        <v>0</v>
      </c>
      <c r="CO9" s="6" t="s">
        <v>0</v>
      </c>
      <c r="CP9" s="6" t="s">
        <v>0</v>
      </c>
      <c r="CQ9" s="6" t="s">
        <v>0</v>
      </c>
      <c r="CR9" s="21" t="s">
        <v>0</v>
      </c>
      <c r="CS9" s="14" t="s">
        <v>0</v>
      </c>
      <c r="CT9" s="21" t="s">
        <v>0</v>
      </c>
      <c r="CU9" s="14" t="s">
        <v>0</v>
      </c>
      <c r="CV9" s="14" t="s">
        <v>0</v>
      </c>
      <c r="CW9" s="16" t="s">
        <v>0</v>
      </c>
      <c r="CX9" s="27" t="s">
        <v>0</v>
      </c>
      <c r="CY9" s="27" t="s">
        <v>0</v>
      </c>
      <c r="CZ9" s="27" t="s">
        <v>0</v>
      </c>
      <c r="DA9" s="27" t="s">
        <v>0</v>
      </c>
      <c r="DB9" s="27" t="s">
        <v>0</v>
      </c>
      <c r="DC9" s="27" t="s">
        <v>0</v>
      </c>
      <c r="DD9" s="148" t="s">
        <v>0</v>
      </c>
      <c r="DE9" s="13" t="s">
        <v>0</v>
      </c>
      <c r="DF9" s="168" t="s">
        <v>0</v>
      </c>
      <c r="DG9" s="27" t="s">
        <v>0</v>
      </c>
      <c r="DH9" s="36" t="s">
        <v>0</v>
      </c>
      <c r="DI9" s="177" t="s">
        <v>0</v>
      </c>
    </row>
    <row r="10" spans="1:113" ht="16">
      <c r="A10" s="13" t="s">
        <v>912</v>
      </c>
      <c r="B10" s="47" t="s">
        <v>747</v>
      </c>
      <c r="C10" s="7" t="s">
        <v>92</v>
      </c>
      <c r="D10" s="22">
        <v>44567</v>
      </c>
      <c r="E10" s="22">
        <v>44609</v>
      </c>
      <c r="F10" s="7" t="s">
        <v>111</v>
      </c>
      <c r="G10" s="7" t="s">
        <v>651</v>
      </c>
      <c r="H10" s="7" t="s">
        <v>104</v>
      </c>
      <c r="I10" s="43">
        <v>94480.797000000006</v>
      </c>
      <c r="J10" s="18" t="s">
        <v>1</v>
      </c>
      <c r="K10" s="9" t="s">
        <v>0</v>
      </c>
      <c r="L10" s="9" t="s">
        <v>0</v>
      </c>
      <c r="M10" s="9">
        <v>342302</v>
      </c>
      <c r="N10" s="9">
        <f t="shared" si="0"/>
        <v>342302</v>
      </c>
      <c r="O10" s="11" t="s">
        <v>249</v>
      </c>
      <c r="P10" s="6" t="s">
        <v>0</v>
      </c>
      <c r="Q10" s="6" t="s">
        <v>0</v>
      </c>
      <c r="R10" s="6" t="s">
        <v>0</v>
      </c>
      <c r="S10" s="6" t="s">
        <v>0</v>
      </c>
      <c r="T10" s="6" t="s">
        <v>0</v>
      </c>
      <c r="U10" s="6" t="s">
        <v>0</v>
      </c>
      <c r="V10" s="6" t="s">
        <v>0</v>
      </c>
      <c r="W10" s="6" t="s">
        <v>0</v>
      </c>
      <c r="X10" s="6" t="s">
        <v>0</v>
      </c>
      <c r="Y10" s="9" t="s">
        <v>0</v>
      </c>
      <c r="Z10" s="6" t="s">
        <v>96</v>
      </c>
      <c r="AA10" s="68" t="s">
        <v>0</v>
      </c>
      <c r="AB10" s="68" t="s">
        <v>0</v>
      </c>
      <c r="AC10" s="68" t="s">
        <v>0</v>
      </c>
      <c r="AD10" s="61">
        <f t="shared" si="1"/>
        <v>0</v>
      </c>
      <c r="AE10" s="10" t="s">
        <v>0</v>
      </c>
      <c r="AF10" s="6" t="s">
        <v>454</v>
      </c>
      <c r="AG10" s="10" t="s">
        <v>465</v>
      </c>
      <c r="AH10" s="10" t="s">
        <v>0</v>
      </c>
      <c r="AI10" s="26" t="s">
        <v>0</v>
      </c>
      <c r="AJ10" s="6" t="s">
        <v>305</v>
      </c>
      <c r="AK10" s="7" t="s">
        <v>0</v>
      </c>
      <c r="AL10" s="6" t="s">
        <v>0</v>
      </c>
      <c r="AM10" s="7" t="s">
        <v>455</v>
      </c>
      <c r="AN10" s="7" t="s">
        <v>124</v>
      </c>
      <c r="AO10" s="10" t="s">
        <v>565</v>
      </c>
      <c r="AP10" s="68">
        <v>7</v>
      </c>
      <c r="AQ10" s="143">
        <v>1</v>
      </c>
      <c r="AR10" s="9">
        <f>AQ10*AP10*M10</f>
        <v>2396114</v>
      </c>
      <c r="AS10" s="9" t="s">
        <v>0</v>
      </c>
      <c r="AT10" s="9" t="s">
        <v>0</v>
      </c>
      <c r="AU10" s="7" t="s">
        <v>73</v>
      </c>
      <c r="AV10" s="7" t="s">
        <v>73</v>
      </c>
      <c r="AW10" s="7" t="s">
        <v>0</v>
      </c>
      <c r="AX10" s="11" t="s">
        <v>0</v>
      </c>
      <c r="AY10" s="9" t="s">
        <v>0</v>
      </c>
      <c r="AZ10" s="9" t="s">
        <v>0</v>
      </c>
      <c r="BA10" s="9" t="s">
        <v>0</v>
      </c>
      <c r="BB10" s="9" t="s">
        <v>0</v>
      </c>
      <c r="BC10" s="20" t="s">
        <v>0</v>
      </c>
      <c r="BD10" s="6" t="s">
        <v>0</v>
      </c>
      <c r="BE10" s="6" t="s">
        <v>0</v>
      </c>
      <c r="BF10" s="9">
        <f t="shared" si="2"/>
        <v>0</v>
      </c>
      <c r="BG10" s="9" t="s">
        <v>0</v>
      </c>
      <c r="BH10" s="9" t="s">
        <v>0</v>
      </c>
      <c r="BI10" s="9" t="s">
        <v>0</v>
      </c>
      <c r="BJ10" s="9" t="s">
        <v>0</v>
      </c>
      <c r="BK10" s="56" t="str">
        <f t="shared" si="3"/>
        <v>#</v>
      </c>
      <c r="BL10" s="9">
        <f t="shared" ref="BL10:BL19" si="6">SUM(BM10:BP10)</f>
        <v>342302</v>
      </c>
      <c r="BM10" s="9">
        <v>37220</v>
      </c>
      <c r="BN10" s="9">
        <v>305082</v>
      </c>
      <c r="BO10" s="9" t="s">
        <v>0</v>
      </c>
      <c r="BP10" s="20" t="s">
        <v>0</v>
      </c>
      <c r="BQ10" s="50" t="s">
        <v>158</v>
      </c>
      <c r="BR10" s="6" t="s">
        <v>0</v>
      </c>
      <c r="BS10" s="9">
        <v>8767</v>
      </c>
      <c r="BT10" s="9" t="s">
        <v>0</v>
      </c>
      <c r="BU10" s="9" t="s">
        <v>0</v>
      </c>
      <c r="BV10" s="9" t="s">
        <v>0</v>
      </c>
      <c r="BW10" s="9" t="s">
        <v>0</v>
      </c>
      <c r="BX10" s="20" t="str">
        <f t="shared" si="5"/>
        <v>#</v>
      </c>
      <c r="BY10" s="6" t="s">
        <v>0</v>
      </c>
      <c r="BZ10" s="5" t="s">
        <v>0</v>
      </c>
      <c r="CA10" s="6" t="s">
        <v>0</v>
      </c>
      <c r="CB10" s="6" t="s">
        <v>456</v>
      </c>
      <c r="CC10" s="6" t="s">
        <v>0</v>
      </c>
      <c r="CD10" s="11" t="s">
        <v>457</v>
      </c>
      <c r="CE10" s="149" t="s">
        <v>0</v>
      </c>
      <c r="CF10" s="149" t="s">
        <v>0</v>
      </c>
      <c r="CG10" s="149" t="s">
        <v>0</v>
      </c>
      <c r="CH10" s="63" t="s">
        <v>0</v>
      </c>
      <c r="CI10" s="64" t="s">
        <v>0</v>
      </c>
      <c r="CJ10" s="63" t="s">
        <v>0</v>
      </c>
      <c r="CK10" s="6" t="s">
        <v>0</v>
      </c>
      <c r="CL10" s="6" t="s">
        <v>0</v>
      </c>
      <c r="CM10" s="6" t="s">
        <v>0</v>
      </c>
      <c r="CN10" s="6" t="s">
        <v>0</v>
      </c>
      <c r="CO10" s="6" t="s">
        <v>0</v>
      </c>
      <c r="CP10" s="6" t="s">
        <v>0</v>
      </c>
      <c r="CQ10" s="6" t="s">
        <v>0</v>
      </c>
      <c r="CR10" s="11" t="s">
        <v>0</v>
      </c>
      <c r="CS10" s="6" t="s">
        <v>0</v>
      </c>
      <c r="CT10" s="11" t="s">
        <v>0</v>
      </c>
      <c r="CU10" s="6" t="s">
        <v>0</v>
      </c>
      <c r="CV10" s="6" t="s">
        <v>0</v>
      </c>
      <c r="CW10" s="11" t="s">
        <v>0</v>
      </c>
      <c r="CX10" s="27" t="s">
        <v>0</v>
      </c>
      <c r="CY10" s="27" t="s">
        <v>0</v>
      </c>
      <c r="CZ10" s="27" t="s">
        <v>0</v>
      </c>
      <c r="DA10" s="27" t="s">
        <v>0</v>
      </c>
      <c r="DB10" s="27" t="s">
        <v>0</v>
      </c>
      <c r="DC10" s="27" t="s">
        <v>0</v>
      </c>
      <c r="DD10" s="148" t="s">
        <v>0</v>
      </c>
      <c r="DE10" s="13" t="s">
        <v>0</v>
      </c>
      <c r="DF10" s="168" t="s">
        <v>0</v>
      </c>
      <c r="DG10" s="27" t="s">
        <v>0</v>
      </c>
      <c r="DH10" s="36" t="s">
        <v>0</v>
      </c>
      <c r="DI10" s="177" t="s">
        <v>0</v>
      </c>
    </row>
    <row r="11" spans="1:113" ht="16">
      <c r="A11" s="13" t="s">
        <v>913</v>
      </c>
      <c r="B11" s="47" t="s">
        <v>747</v>
      </c>
      <c r="C11" s="7" t="s">
        <v>92</v>
      </c>
      <c r="D11" s="22">
        <v>44567</v>
      </c>
      <c r="E11" s="22">
        <v>44609</v>
      </c>
      <c r="F11" s="7" t="s">
        <v>111</v>
      </c>
      <c r="G11" s="7" t="s">
        <v>651</v>
      </c>
      <c r="H11" s="7" t="s">
        <v>104</v>
      </c>
      <c r="I11" s="43">
        <v>94480.797000000006</v>
      </c>
      <c r="J11" s="18" t="s">
        <v>1</v>
      </c>
      <c r="K11" s="9" t="s">
        <v>0</v>
      </c>
      <c r="L11" s="9" t="s">
        <v>0</v>
      </c>
      <c r="M11" s="9">
        <v>297340</v>
      </c>
      <c r="N11" s="9">
        <f t="shared" si="0"/>
        <v>297340</v>
      </c>
      <c r="O11" s="11" t="s">
        <v>249</v>
      </c>
      <c r="P11" s="6" t="s">
        <v>0</v>
      </c>
      <c r="Q11" s="6" t="s">
        <v>0</v>
      </c>
      <c r="R11" s="6" t="s">
        <v>0</v>
      </c>
      <c r="S11" s="6" t="s">
        <v>0</v>
      </c>
      <c r="T11" s="6" t="s">
        <v>0</v>
      </c>
      <c r="U11" s="6" t="s">
        <v>0</v>
      </c>
      <c r="V11" s="6" t="s">
        <v>0</v>
      </c>
      <c r="W11" s="6" t="s">
        <v>0</v>
      </c>
      <c r="X11" s="6" t="s">
        <v>0</v>
      </c>
      <c r="Y11" s="9" t="s">
        <v>0</v>
      </c>
      <c r="Z11" s="6" t="s">
        <v>96</v>
      </c>
      <c r="AA11" s="68" t="s">
        <v>0</v>
      </c>
      <c r="AB11" s="68" t="s">
        <v>0</v>
      </c>
      <c r="AC11" s="68" t="s">
        <v>0</v>
      </c>
      <c r="AD11" s="61">
        <f t="shared" si="1"/>
        <v>0</v>
      </c>
      <c r="AE11" s="10" t="s">
        <v>0</v>
      </c>
      <c r="AF11" s="6" t="s">
        <v>454</v>
      </c>
      <c r="AG11" s="10" t="s">
        <v>465</v>
      </c>
      <c r="AH11" s="10" t="s">
        <v>0</v>
      </c>
      <c r="AI11" s="26" t="s">
        <v>0</v>
      </c>
      <c r="AJ11" s="6" t="s">
        <v>305</v>
      </c>
      <c r="AK11" s="7" t="s">
        <v>0</v>
      </c>
      <c r="AL11" s="6" t="s">
        <v>0</v>
      </c>
      <c r="AM11" s="7" t="s">
        <v>455</v>
      </c>
      <c r="AN11" s="7" t="s">
        <v>124</v>
      </c>
      <c r="AO11" s="10" t="s">
        <v>565</v>
      </c>
      <c r="AP11" s="68">
        <v>6</v>
      </c>
      <c r="AQ11" s="143">
        <v>1</v>
      </c>
      <c r="AR11" s="9">
        <f>AQ11*AP11*M11</f>
        <v>1784040</v>
      </c>
      <c r="AS11" s="9" t="s">
        <v>0</v>
      </c>
      <c r="AT11" s="9" t="s">
        <v>0</v>
      </c>
      <c r="AU11" s="7" t="s">
        <v>73</v>
      </c>
      <c r="AV11" s="7" t="s">
        <v>73</v>
      </c>
      <c r="AW11" s="7" t="s">
        <v>0</v>
      </c>
      <c r="AX11" s="11" t="s">
        <v>0</v>
      </c>
      <c r="AY11" s="9" t="s">
        <v>0</v>
      </c>
      <c r="AZ11" s="9" t="s">
        <v>0</v>
      </c>
      <c r="BA11" s="9" t="s">
        <v>0</v>
      </c>
      <c r="BB11" s="9" t="s">
        <v>0</v>
      </c>
      <c r="BC11" s="20" t="s">
        <v>0</v>
      </c>
      <c r="BD11" s="6" t="s">
        <v>0</v>
      </c>
      <c r="BE11" s="6" t="s">
        <v>0</v>
      </c>
      <c r="BF11" s="9">
        <f t="shared" si="2"/>
        <v>0</v>
      </c>
      <c r="BG11" s="9" t="s">
        <v>0</v>
      </c>
      <c r="BH11" s="9" t="s">
        <v>0</v>
      </c>
      <c r="BI11" s="9" t="s">
        <v>0</v>
      </c>
      <c r="BJ11" s="9" t="s">
        <v>0</v>
      </c>
      <c r="BK11" s="56" t="str">
        <f t="shared" si="3"/>
        <v>#</v>
      </c>
      <c r="BL11" s="9">
        <f t="shared" si="6"/>
        <v>297340</v>
      </c>
      <c r="BM11" s="9">
        <v>11577</v>
      </c>
      <c r="BN11" s="9">
        <v>285763</v>
      </c>
      <c r="BO11" s="9" t="s">
        <v>0</v>
      </c>
      <c r="BP11" s="20" t="s">
        <v>0</v>
      </c>
      <c r="BQ11" s="50" t="s">
        <v>158</v>
      </c>
      <c r="BR11" s="6" t="s">
        <v>0</v>
      </c>
      <c r="BS11" s="9">
        <v>4925</v>
      </c>
      <c r="BT11" s="9" t="s">
        <v>0</v>
      </c>
      <c r="BU11" s="9" t="s">
        <v>0</v>
      </c>
      <c r="BV11" s="9" t="s">
        <v>0</v>
      </c>
      <c r="BW11" s="9" t="s">
        <v>0</v>
      </c>
      <c r="BX11" s="20" t="str">
        <f t="shared" si="5"/>
        <v>#</v>
      </c>
      <c r="BY11" s="6" t="s">
        <v>0</v>
      </c>
      <c r="BZ11" s="5" t="s">
        <v>0</v>
      </c>
      <c r="CA11" s="6" t="s">
        <v>0</v>
      </c>
      <c r="CB11" s="6" t="s">
        <v>456</v>
      </c>
      <c r="CC11" s="6" t="s">
        <v>0</v>
      </c>
      <c r="CD11" s="11" t="s">
        <v>457</v>
      </c>
      <c r="CE11" s="149" t="s">
        <v>0</v>
      </c>
      <c r="CF11" s="149" t="s">
        <v>0</v>
      </c>
      <c r="CG11" s="149" t="s">
        <v>0</v>
      </c>
      <c r="CH11" s="63" t="s">
        <v>0</v>
      </c>
      <c r="CI11" s="64" t="s">
        <v>0</v>
      </c>
      <c r="CJ11" s="63" t="s">
        <v>0</v>
      </c>
      <c r="CK11" s="6" t="s">
        <v>0</v>
      </c>
      <c r="CL11" s="6" t="s">
        <v>0</v>
      </c>
      <c r="CM11" s="6" t="s">
        <v>0</v>
      </c>
      <c r="CN11" s="6" t="s">
        <v>0</v>
      </c>
      <c r="CO11" s="6" t="s">
        <v>0</v>
      </c>
      <c r="CP11" s="6" t="s">
        <v>0</v>
      </c>
      <c r="CQ11" s="6" t="s">
        <v>0</v>
      </c>
      <c r="CR11" s="11" t="s">
        <v>0</v>
      </c>
      <c r="CS11" s="6" t="s">
        <v>0</v>
      </c>
      <c r="CT11" s="11" t="s">
        <v>0</v>
      </c>
      <c r="CU11" s="6" t="s">
        <v>0</v>
      </c>
      <c r="CV11" s="6" t="s">
        <v>0</v>
      </c>
      <c r="CW11" s="11" t="s">
        <v>0</v>
      </c>
      <c r="CX11" s="27" t="s">
        <v>0</v>
      </c>
      <c r="CY11" s="27" t="s">
        <v>0</v>
      </c>
      <c r="CZ11" s="27" t="s">
        <v>0</v>
      </c>
      <c r="DA11" s="27" t="s">
        <v>0</v>
      </c>
      <c r="DB11" s="27" t="s">
        <v>0</v>
      </c>
      <c r="DC11" s="27" t="s">
        <v>0</v>
      </c>
      <c r="DD11" s="148" t="s">
        <v>0</v>
      </c>
      <c r="DE11" s="13" t="s">
        <v>0</v>
      </c>
      <c r="DF11" s="168" t="s">
        <v>0</v>
      </c>
      <c r="DG11" s="27" t="s">
        <v>0</v>
      </c>
      <c r="DH11" s="36" t="s">
        <v>0</v>
      </c>
      <c r="DI11" s="177" t="s">
        <v>0</v>
      </c>
    </row>
    <row r="12" spans="1:113" ht="16">
      <c r="A12" s="13" t="s">
        <v>914</v>
      </c>
      <c r="B12" s="47" t="s">
        <v>747</v>
      </c>
      <c r="C12" s="7" t="s">
        <v>92</v>
      </c>
      <c r="D12" s="22">
        <v>44567</v>
      </c>
      <c r="E12" s="22">
        <v>44609</v>
      </c>
      <c r="F12" s="7" t="s">
        <v>111</v>
      </c>
      <c r="G12" s="7" t="s">
        <v>651</v>
      </c>
      <c r="H12" s="7" t="s">
        <v>104</v>
      </c>
      <c r="I12" s="43">
        <v>94480.797000000006</v>
      </c>
      <c r="J12" s="18" t="s">
        <v>1</v>
      </c>
      <c r="K12" s="9" t="s">
        <v>0</v>
      </c>
      <c r="L12" s="9" t="s">
        <v>0</v>
      </c>
      <c r="M12" s="9">
        <v>73259</v>
      </c>
      <c r="N12" s="9">
        <f t="shared" si="0"/>
        <v>73259</v>
      </c>
      <c r="O12" s="11" t="s">
        <v>249</v>
      </c>
      <c r="P12" s="6" t="s">
        <v>0</v>
      </c>
      <c r="Q12" s="6" t="s">
        <v>0</v>
      </c>
      <c r="R12" s="6" t="s">
        <v>0</v>
      </c>
      <c r="S12" s="6" t="s">
        <v>0</v>
      </c>
      <c r="T12" s="6" t="s">
        <v>0</v>
      </c>
      <c r="U12" s="6" t="s">
        <v>0</v>
      </c>
      <c r="V12" s="6" t="s">
        <v>0</v>
      </c>
      <c r="W12" s="6" t="s">
        <v>0</v>
      </c>
      <c r="X12" s="6" t="s">
        <v>0</v>
      </c>
      <c r="Y12" s="9" t="s">
        <v>0</v>
      </c>
      <c r="Z12" s="6" t="s">
        <v>96</v>
      </c>
      <c r="AA12" s="68" t="s">
        <v>0</v>
      </c>
      <c r="AB12" s="68" t="s">
        <v>0</v>
      </c>
      <c r="AC12" s="68" t="s">
        <v>0</v>
      </c>
      <c r="AD12" s="61">
        <f t="shared" si="1"/>
        <v>0</v>
      </c>
      <c r="AE12" s="10" t="s">
        <v>0</v>
      </c>
      <c r="AF12" s="6" t="s">
        <v>454</v>
      </c>
      <c r="AG12" s="10" t="s">
        <v>465</v>
      </c>
      <c r="AH12" s="10" t="s">
        <v>0</v>
      </c>
      <c r="AI12" s="26" t="s">
        <v>0</v>
      </c>
      <c r="AJ12" s="6" t="s">
        <v>305</v>
      </c>
      <c r="AK12" s="7" t="s">
        <v>0</v>
      </c>
      <c r="AL12" s="6" t="s">
        <v>0</v>
      </c>
      <c r="AM12" s="7" t="s">
        <v>455</v>
      </c>
      <c r="AN12" s="7" t="s">
        <v>124</v>
      </c>
      <c r="AO12" s="10" t="s">
        <v>565</v>
      </c>
      <c r="AP12" s="68">
        <v>6</v>
      </c>
      <c r="AQ12" s="143">
        <v>1</v>
      </c>
      <c r="AR12" s="9">
        <f>AQ12*AP12*M12</f>
        <v>439554</v>
      </c>
      <c r="AS12" s="9" t="s">
        <v>0</v>
      </c>
      <c r="AT12" s="9" t="s">
        <v>0</v>
      </c>
      <c r="AU12" s="7" t="s">
        <v>73</v>
      </c>
      <c r="AV12" s="7" t="s">
        <v>73</v>
      </c>
      <c r="AW12" s="7" t="s">
        <v>0</v>
      </c>
      <c r="AX12" s="11" t="s">
        <v>0</v>
      </c>
      <c r="AY12" s="9" t="s">
        <v>0</v>
      </c>
      <c r="AZ12" s="9" t="s">
        <v>0</v>
      </c>
      <c r="BA12" s="9" t="s">
        <v>0</v>
      </c>
      <c r="BB12" s="9" t="s">
        <v>0</v>
      </c>
      <c r="BC12" s="20" t="s">
        <v>0</v>
      </c>
      <c r="BD12" s="6" t="s">
        <v>0</v>
      </c>
      <c r="BE12" s="6" t="s">
        <v>0</v>
      </c>
      <c r="BF12" s="9">
        <f t="shared" si="2"/>
        <v>0</v>
      </c>
      <c r="BG12" s="9" t="s">
        <v>0</v>
      </c>
      <c r="BH12" s="9" t="s">
        <v>0</v>
      </c>
      <c r="BI12" s="9" t="s">
        <v>0</v>
      </c>
      <c r="BJ12" s="9" t="s">
        <v>0</v>
      </c>
      <c r="BK12" s="56" t="str">
        <f t="shared" si="3"/>
        <v>#</v>
      </c>
      <c r="BL12" s="9">
        <f t="shared" si="6"/>
        <v>73259</v>
      </c>
      <c r="BM12" s="9">
        <v>1369</v>
      </c>
      <c r="BN12" s="9">
        <v>71890</v>
      </c>
      <c r="BO12" s="9" t="s">
        <v>0</v>
      </c>
      <c r="BP12" s="20" t="s">
        <v>0</v>
      </c>
      <c r="BQ12" s="50" t="s">
        <v>158</v>
      </c>
      <c r="BR12" s="6" t="s">
        <v>0</v>
      </c>
      <c r="BS12" s="9">
        <v>649</v>
      </c>
      <c r="BT12" s="9" t="s">
        <v>0</v>
      </c>
      <c r="BU12" s="9" t="s">
        <v>0</v>
      </c>
      <c r="BV12" s="9" t="s">
        <v>0</v>
      </c>
      <c r="BW12" s="9" t="s">
        <v>0</v>
      </c>
      <c r="BX12" s="20" t="str">
        <f t="shared" si="5"/>
        <v>#</v>
      </c>
      <c r="BY12" s="6" t="s">
        <v>0</v>
      </c>
      <c r="BZ12" s="5" t="s">
        <v>0</v>
      </c>
      <c r="CA12" s="6" t="s">
        <v>0</v>
      </c>
      <c r="CB12" s="6" t="s">
        <v>456</v>
      </c>
      <c r="CC12" s="6" t="s">
        <v>0</v>
      </c>
      <c r="CD12" s="11" t="s">
        <v>457</v>
      </c>
      <c r="CE12" s="149" t="s">
        <v>0</v>
      </c>
      <c r="CF12" s="149" t="s">
        <v>0</v>
      </c>
      <c r="CG12" s="149" t="s">
        <v>0</v>
      </c>
      <c r="CH12" s="63" t="s">
        <v>0</v>
      </c>
      <c r="CI12" s="64" t="s">
        <v>0</v>
      </c>
      <c r="CJ12" s="63" t="s">
        <v>0</v>
      </c>
      <c r="CK12" s="6" t="s">
        <v>0</v>
      </c>
      <c r="CL12" s="6" t="s">
        <v>0</v>
      </c>
      <c r="CM12" s="6" t="s">
        <v>0</v>
      </c>
      <c r="CN12" s="6" t="s">
        <v>0</v>
      </c>
      <c r="CO12" s="6" t="s">
        <v>0</v>
      </c>
      <c r="CP12" s="6" t="s">
        <v>0</v>
      </c>
      <c r="CQ12" s="6" t="s">
        <v>0</v>
      </c>
      <c r="CR12" s="11" t="s">
        <v>0</v>
      </c>
      <c r="CS12" s="6" t="s">
        <v>0</v>
      </c>
      <c r="CT12" s="11" t="s">
        <v>0</v>
      </c>
      <c r="CU12" s="6" t="s">
        <v>0</v>
      </c>
      <c r="CV12" s="6" t="s">
        <v>0</v>
      </c>
      <c r="CW12" s="11" t="s">
        <v>0</v>
      </c>
      <c r="CX12" s="27" t="s">
        <v>0</v>
      </c>
      <c r="CY12" s="27" t="s">
        <v>0</v>
      </c>
      <c r="CZ12" s="27" t="s">
        <v>0</v>
      </c>
      <c r="DA12" s="27" t="s">
        <v>0</v>
      </c>
      <c r="DB12" s="27" t="s">
        <v>0</v>
      </c>
      <c r="DC12" s="27" t="s">
        <v>0</v>
      </c>
      <c r="DD12" s="148" t="s">
        <v>0</v>
      </c>
      <c r="DE12" s="13" t="s">
        <v>0</v>
      </c>
      <c r="DF12" s="168" t="s">
        <v>0</v>
      </c>
      <c r="DG12" s="27" t="s">
        <v>0</v>
      </c>
      <c r="DH12" s="36" t="s">
        <v>0</v>
      </c>
      <c r="DI12" s="177" t="s">
        <v>0</v>
      </c>
    </row>
    <row r="13" spans="1:113" ht="16">
      <c r="A13" s="13" t="s">
        <v>915</v>
      </c>
      <c r="B13" s="47" t="s">
        <v>747</v>
      </c>
      <c r="C13" s="7" t="s">
        <v>92</v>
      </c>
      <c r="D13" s="22">
        <v>44567</v>
      </c>
      <c r="E13" s="22">
        <v>44609</v>
      </c>
      <c r="F13" s="7" t="s">
        <v>111</v>
      </c>
      <c r="G13" s="7" t="s">
        <v>651</v>
      </c>
      <c r="H13" s="7" t="s">
        <v>104</v>
      </c>
      <c r="I13" s="43">
        <v>94480.797000000006</v>
      </c>
      <c r="J13" s="18" t="s">
        <v>1</v>
      </c>
      <c r="K13" s="9" t="s">
        <v>0</v>
      </c>
      <c r="L13" s="9" t="s">
        <v>0</v>
      </c>
      <c r="M13" s="9">
        <v>564</v>
      </c>
      <c r="N13" s="9">
        <f t="shared" si="0"/>
        <v>564</v>
      </c>
      <c r="O13" s="11" t="s">
        <v>249</v>
      </c>
      <c r="P13" s="6" t="s">
        <v>0</v>
      </c>
      <c r="Q13" s="6" t="s">
        <v>0</v>
      </c>
      <c r="R13" s="6" t="s">
        <v>0</v>
      </c>
      <c r="S13" s="6" t="s">
        <v>0</v>
      </c>
      <c r="T13" s="6" t="s">
        <v>0</v>
      </c>
      <c r="U13" s="6" t="s">
        <v>0</v>
      </c>
      <c r="V13" s="6" t="s">
        <v>0</v>
      </c>
      <c r="W13" s="6" t="s">
        <v>0</v>
      </c>
      <c r="X13" s="6" t="s">
        <v>0</v>
      </c>
      <c r="Y13" s="9" t="s">
        <v>0</v>
      </c>
      <c r="Z13" s="6" t="s">
        <v>96</v>
      </c>
      <c r="AA13" s="68" t="s">
        <v>0</v>
      </c>
      <c r="AB13" s="68" t="s">
        <v>0</v>
      </c>
      <c r="AC13" s="68" t="s">
        <v>0</v>
      </c>
      <c r="AD13" s="61">
        <f t="shared" si="1"/>
        <v>0</v>
      </c>
      <c r="AE13" s="10" t="s">
        <v>0</v>
      </c>
      <c r="AF13" s="6" t="s">
        <v>454</v>
      </c>
      <c r="AG13" s="10" t="s">
        <v>465</v>
      </c>
      <c r="AH13" s="10" t="s">
        <v>0</v>
      </c>
      <c r="AI13" s="26" t="s">
        <v>0</v>
      </c>
      <c r="AJ13" s="6" t="s">
        <v>305</v>
      </c>
      <c r="AK13" s="7" t="s">
        <v>0</v>
      </c>
      <c r="AL13" s="6" t="s">
        <v>0</v>
      </c>
      <c r="AM13" s="7" t="s">
        <v>455</v>
      </c>
      <c r="AN13" s="7" t="s">
        <v>124</v>
      </c>
      <c r="AO13" s="10" t="s">
        <v>565</v>
      </c>
      <c r="AP13" s="68">
        <v>6</v>
      </c>
      <c r="AQ13" s="143">
        <v>1</v>
      </c>
      <c r="AR13" s="9">
        <f>AQ13*AP13*M13</f>
        <v>3384</v>
      </c>
      <c r="AS13" s="9" t="s">
        <v>0</v>
      </c>
      <c r="AT13" s="9" t="s">
        <v>0</v>
      </c>
      <c r="AU13" s="7" t="s">
        <v>73</v>
      </c>
      <c r="AV13" s="7" t="s">
        <v>73</v>
      </c>
      <c r="AW13" s="7" t="s">
        <v>0</v>
      </c>
      <c r="AX13" s="11" t="s">
        <v>0</v>
      </c>
      <c r="AY13" s="9" t="s">
        <v>0</v>
      </c>
      <c r="AZ13" s="9" t="s">
        <v>0</v>
      </c>
      <c r="BA13" s="9" t="s">
        <v>0</v>
      </c>
      <c r="BB13" s="9" t="s">
        <v>0</v>
      </c>
      <c r="BC13" s="20" t="s">
        <v>0</v>
      </c>
      <c r="BD13" s="6" t="s">
        <v>0</v>
      </c>
      <c r="BE13" s="6" t="s">
        <v>0</v>
      </c>
      <c r="BF13" s="9">
        <f t="shared" si="2"/>
        <v>0</v>
      </c>
      <c r="BG13" s="9" t="s">
        <v>0</v>
      </c>
      <c r="BH13" s="9" t="s">
        <v>0</v>
      </c>
      <c r="BI13" s="9" t="s">
        <v>0</v>
      </c>
      <c r="BJ13" s="9" t="s">
        <v>0</v>
      </c>
      <c r="BK13" s="56" t="str">
        <f t="shared" si="3"/>
        <v>#</v>
      </c>
      <c r="BL13" s="9">
        <f t="shared" si="6"/>
        <v>564</v>
      </c>
      <c r="BM13" s="9">
        <v>15</v>
      </c>
      <c r="BN13" s="9">
        <v>549</v>
      </c>
      <c r="BO13" s="9" t="s">
        <v>0</v>
      </c>
      <c r="BP13" s="20" t="s">
        <v>0</v>
      </c>
      <c r="BQ13" s="50" t="s">
        <v>158</v>
      </c>
      <c r="BR13" s="6" t="s">
        <v>0</v>
      </c>
      <c r="BS13" s="9">
        <v>1561</v>
      </c>
      <c r="BT13" s="9" t="s">
        <v>0</v>
      </c>
      <c r="BU13" s="9" t="s">
        <v>0</v>
      </c>
      <c r="BV13" s="9" t="s">
        <v>0</v>
      </c>
      <c r="BW13" s="9" t="s">
        <v>0</v>
      </c>
      <c r="BX13" s="20" t="str">
        <f t="shared" si="5"/>
        <v>#</v>
      </c>
      <c r="BY13" s="6" t="s">
        <v>0</v>
      </c>
      <c r="BZ13" s="5" t="s">
        <v>0</v>
      </c>
      <c r="CA13" s="6" t="s">
        <v>0</v>
      </c>
      <c r="CB13" s="6" t="s">
        <v>456</v>
      </c>
      <c r="CC13" s="6" t="s">
        <v>0</v>
      </c>
      <c r="CD13" s="11" t="s">
        <v>457</v>
      </c>
      <c r="CE13" s="149" t="s">
        <v>0</v>
      </c>
      <c r="CF13" s="149" t="s">
        <v>0</v>
      </c>
      <c r="CG13" s="149" t="s">
        <v>0</v>
      </c>
      <c r="CH13" s="63" t="s">
        <v>0</v>
      </c>
      <c r="CI13" s="64" t="s">
        <v>0</v>
      </c>
      <c r="CJ13" s="63" t="s">
        <v>0</v>
      </c>
      <c r="CK13" s="6" t="s">
        <v>0</v>
      </c>
      <c r="CL13" s="6" t="s">
        <v>0</v>
      </c>
      <c r="CM13" s="6" t="s">
        <v>0</v>
      </c>
      <c r="CN13" s="6" t="s">
        <v>0</v>
      </c>
      <c r="CO13" s="6" t="s">
        <v>0</v>
      </c>
      <c r="CP13" s="6" t="s">
        <v>0</v>
      </c>
      <c r="CQ13" s="6" t="s">
        <v>0</v>
      </c>
      <c r="CR13" s="11" t="s">
        <v>0</v>
      </c>
      <c r="CS13" s="6" t="s">
        <v>0</v>
      </c>
      <c r="CT13" s="11" t="s">
        <v>0</v>
      </c>
      <c r="CU13" s="6" t="s">
        <v>0</v>
      </c>
      <c r="CV13" s="6" t="s">
        <v>0</v>
      </c>
      <c r="CW13" s="11" t="s">
        <v>0</v>
      </c>
      <c r="CX13" s="27" t="s">
        <v>0</v>
      </c>
      <c r="CY13" s="27" t="s">
        <v>0</v>
      </c>
      <c r="CZ13" s="27" t="s">
        <v>0</v>
      </c>
      <c r="DA13" s="27" t="s">
        <v>0</v>
      </c>
      <c r="DB13" s="27" t="s">
        <v>0</v>
      </c>
      <c r="DC13" s="27" t="s">
        <v>0</v>
      </c>
      <c r="DD13" s="148" t="s">
        <v>0</v>
      </c>
      <c r="DE13" s="13" t="s">
        <v>0</v>
      </c>
      <c r="DF13" s="168" t="s">
        <v>0</v>
      </c>
      <c r="DG13" s="27" t="s">
        <v>0</v>
      </c>
      <c r="DH13" s="36" t="s">
        <v>0</v>
      </c>
      <c r="DI13" s="177" t="s">
        <v>0</v>
      </c>
    </row>
    <row r="14" spans="1:113" ht="16">
      <c r="A14" s="13" t="s">
        <v>860</v>
      </c>
      <c r="B14" s="47" t="s">
        <v>37</v>
      </c>
      <c r="C14" s="7" t="s">
        <v>92</v>
      </c>
      <c r="D14" s="82">
        <v>44518</v>
      </c>
      <c r="E14" s="82">
        <v>44561</v>
      </c>
      <c r="F14" s="7" t="s">
        <v>109</v>
      </c>
      <c r="G14" s="7" t="s">
        <v>658</v>
      </c>
      <c r="H14" s="7" t="s">
        <v>597</v>
      </c>
      <c r="I14" s="41">
        <v>89598.86</v>
      </c>
      <c r="J14" s="18" t="s">
        <v>431</v>
      </c>
      <c r="K14" s="9" t="s">
        <v>0</v>
      </c>
      <c r="L14" s="9" t="s">
        <v>0</v>
      </c>
      <c r="M14" s="9">
        <v>2469</v>
      </c>
      <c r="N14" s="9">
        <f t="shared" si="0"/>
        <v>2469</v>
      </c>
      <c r="O14" s="11" t="s">
        <v>223</v>
      </c>
      <c r="P14" s="50" t="s">
        <v>0</v>
      </c>
      <c r="Q14" s="6" t="s">
        <v>0</v>
      </c>
      <c r="R14" s="6" t="s">
        <v>0</v>
      </c>
      <c r="S14" s="6" t="s">
        <v>0</v>
      </c>
      <c r="T14" s="6" t="s">
        <v>0</v>
      </c>
      <c r="U14" s="6" t="s">
        <v>0</v>
      </c>
      <c r="V14" s="6" t="s">
        <v>0</v>
      </c>
      <c r="W14" s="6" t="s">
        <v>0</v>
      </c>
      <c r="X14" s="6" t="s">
        <v>0</v>
      </c>
      <c r="Y14" s="9" t="s">
        <v>0</v>
      </c>
      <c r="Z14" s="6" t="s">
        <v>96</v>
      </c>
      <c r="AA14" s="79" t="s">
        <v>0</v>
      </c>
      <c r="AB14" s="68" t="s">
        <v>0</v>
      </c>
      <c r="AC14" s="67" t="s">
        <v>0</v>
      </c>
      <c r="AD14" s="61">
        <f t="shared" si="1"/>
        <v>0</v>
      </c>
      <c r="AE14" s="25" t="s">
        <v>0</v>
      </c>
      <c r="AF14">
        <v>319</v>
      </c>
      <c r="AG14" s="7" t="s">
        <v>465</v>
      </c>
      <c r="AH14" s="25">
        <v>2058</v>
      </c>
      <c r="AI14" s="119" t="s">
        <v>0</v>
      </c>
      <c r="AJ14" s="50" t="s">
        <v>151</v>
      </c>
      <c r="AK14" s="7" t="s">
        <v>73</v>
      </c>
      <c r="AL14" s="6" t="s">
        <v>122</v>
      </c>
      <c r="AM14" s="7" t="s">
        <v>152</v>
      </c>
      <c r="AN14" s="7" t="s">
        <v>124</v>
      </c>
      <c r="AO14" s="13" t="s">
        <v>305</v>
      </c>
      <c r="AP14" s="68" t="s">
        <v>0</v>
      </c>
      <c r="AQ14" s="68" t="s">
        <v>0</v>
      </c>
      <c r="AR14" s="68" t="s">
        <v>0</v>
      </c>
      <c r="AS14" s="9">
        <v>3262</v>
      </c>
      <c r="AT14" s="9">
        <v>2469</v>
      </c>
      <c r="AU14" s="7" t="s">
        <v>73</v>
      </c>
      <c r="AV14" s="7" t="s">
        <v>73</v>
      </c>
      <c r="AW14" s="5" t="s">
        <v>0</v>
      </c>
      <c r="AX14" s="119" t="s">
        <v>0</v>
      </c>
      <c r="AY14" s="9">
        <f>SUM(AZ14:BC14)</f>
        <v>2469</v>
      </c>
      <c r="AZ14" s="9">
        <v>235</v>
      </c>
      <c r="BA14" s="9">
        <v>2234</v>
      </c>
      <c r="BB14" s="9">
        <v>0</v>
      </c>
      <c r="BC14" s="20" t="s">
        <v>0</v>
      </c>
      <c r="BD14" s="50" t="s">
        <v>0</v>
      </c>
      <c r="BE14" s="5" t="s">
        <v>0</v>
      </c>
      <c r="BF14" s="9">
        <f t="shared" si="2"/>
        <v>0</v>
      </c>
      <c r="BG14" s="9" t="s">
        <v>0</v>
      </c>
      <c r="BH14" s="9" t="s">
        <v>0</v>
      </c>
      <c r="BI14" s="9" t="s">
        <v>0</v>
      </c>
      <c r="BJ14" s="9" t="s">
        <v>0</v>
      </c>
      <c r="BK14" s="56" t="str">
        <f t="shared" si="3"/>
        <v>#</v>
      </c>
      <c r="BL14" s="9">
        <f t="shared" si="6"/>
        <v>0</v>
      </c>
      <c r="BM14" s="9" t="s">
        <v>0</v>
      </c>
      <c r="BN14" s="9" t="s">
        <v>0</v>
      </c>
      <c r="BO14" s="9" t="s">
        <v>0</v>
      </c>
      <c r="BP14" s="20" t="s">
        <v>0</v>
      </c>
      <c r="BQ14" s="71" t="s">
        <v>0</v>
      </c>
      <c r="BR14" s="5" t="s">
        <v>0</v>
      </c>
      <c r="BS14" s="9">
        <f t="shared" ref="BS14:BS49" si="7">SUM(BT14:BW14)</f>
        <v>0</v>
      </c>
      <c r="BT14" s="9" t="s">
        <v>0</v>
      </c>
      <c r="BU14" s="9" t="s">
        <v>0</v>
      </c>
      <c r="BV14" s="9" t="s">
        <v>0</v>
      </c>
      <c r="BW14" s="9" t="s">
        <v>0</v>
      </c>
      <c r="BX14" s="20" t="str">
        <f t="shared" si="5"/>
        <v>#</v>
      </c>
      <c r="BY14" s="5" t="s">
        <v>0</v>
      </c>
      <c r="BZ14" s="5" t="s">
        <v>0</v>
      </c>
      <c r="CA14" s="5" t="s">
        <v>0</v>
      </c>
      <c r="CB14" s="6" t="s">
        <v>0</v>
      </c>
      <c r="CC14" s="5" t="s">
        <v>0</v>
      </c>
      <c r="CD14" s="23" t="s">
        <v>0</v>
      </c>
      <c r="CE14" s="149" t="s">
        <v>0</v>
      </c>
      <c r="CF14" s="149" t="s">
        <v>0</v>
      </c>
      <c r="CG14" s="149" t="s">
        <v>0</v>
      </c>
      <c r="CH14" s="63" t="s">
        <v>0</v>
      </c>
      <c r="CI14" s="64" t="s">
        <v>0</v>
      </c>
      <c r="CJ14" s="63" t="s">
        <v>0</v>
      </c>
      <c r="CK14" s="14" t="s">
        <v>0</v>
      </c>
      <c r="CL14" s="14" t="s">
        <v>0</v>
      </c>
      <c r="CM14" s="14" t="s">
        <v>0</v>
      </c>
      <c r="CN14" s="14" t="s">
        <v>0</v>
      </c>
      <c r="CO14" s="6" t="s">
        <v>0</v>
      </c>
      <c r="CP14" s="6" t="s">
        <v>0</v>
      </c>
      <c r="CQ14" s="6" t="s">
        <v>0</v>
      </c>
      <c r="CR14" s="21" t="s">
        <v>0</v>
      </c>
      <c r="CS14" s="14" t="s">
        <v>0</v>
      </c>
      <c r="CT14" s="21" t="s">
        <v>0</v>
      </c>
      <c r="CU14" s="14" t="s">
        <v>0</v>
      </c>
      <c r="CV14" s="14" t="s">
        <v>0</v>
      </c>
      <c r="CW14" s="16" t="s">
        <v>0</v>
      </c>
      <c r="CX14" s="27" t="s">
        <v>0</v>
      </c>
      <c r="CY14" s="27" t="s">
        <v>0</v>
      </c>
      <c r="CZ14" s="27" t="s">
        <v>0</v>
      </c>
      <c r="DA14" s="27" t="s">
        <v>0</v>
      </c>
      <c r="DB14" s="27" t="s">
        <v>0</v>
      </c>
      <c r="DC14" s="27" t="s">
        <v>0</v>
      </c>
      <c r="DD14" s="148" t="s">
        <v>0</v>
      </c>
      <c r="DE14" s="13" t="s">
        <v>0</v>
      </c>
      <c r="DF14" s="168" t="s">
        <v>0</v>
      </c>
      <c r="DG14" s="27" t="s">
        <v>0</v>
      </c>
      <c r="DH14" s="36" t="s">
        <v>0</v>
      </c>
      <c r="DI14" s="177" t="s">
        <v>0</v>
      </c>
    </row>
    <row r="15" spans="1:113" s="13" customFormat="1" ht="16">
      <c r="A15" s="13" t="s">
        <v>916</v>
      </c>
      <c r="B15" s="21" t="s">
        <v>770</v>
      </c>
      <c r="C15" s="13" t="s">
        <v>92</v>
      </c>
      <c r="D15" s="83">
        <v>44158</v>
      </c>
      <c r="E15" s="83">
        <v>44205</v>
      </c>
      <c r="F15" s="13" t="s">
        <v>93</v>
      </c>
      <c r="G15" s="13" t="s">
        <v>610</v>
      </c>
      <c r="H15" s="14" t="s">
        <v>104</v>
      </c>
      <c r="I15" s="45">
        <v>56660.868000000002</v>
      </c>
      <c r="J15" s="46" t="s">
        <v>1</v>
      </c>
      <c r="K15" s="9" t="s">
        <v>0</v>
      </c>
      <c r="L15" s="9">
        <v>8657</v>
      </c>
      <c r="M15" s="9">
        <v>7567</v>
      </c>
      <c r="N15" s="9">
        <f t="shared" si="0"/>
        <v>8657</v>
      </c>
      <c r="O15" s="180" t="s">
        <v>244</v>
      </c>
      <c r="P15" s="48" t="s">
        <v>0</v>
      </c>
      <c r="Q15" s="13" t="s">
        <v>0</v>
      </c>
      <c r="R15" s="13" t="s">
        <v>0</v>
      </c>
      <c r="S15" s="13" t="s">
        <v>0</v>
      </c>
      <c r="T15" s="13" t="s">
        <v>0</v>
      </c>
      <c r="U15" s="13" t="s">
        <v>0</v>
      </c>
      <c r="V15" s="13" t="s">
        <v>0</v>
      </c>
      <c r="W15" s="13" t="s">
        <v>0</v>
      </c>
      <c r="X15" s="13" t="s">
        <v>0</v>
      </c>
      <c r="Y15" s="9" t="s">
        <v>0</v>
      </c>
      <c r="Z15" s="14" t="s">
        <v>571</v>
      </c>
      <c r="AA15" s="78">
        <v>0</v>
      </c>
      <c r="AB15" s="61">
        <v>7567</v>
      </c>
      <c r="AC15" s="61">
        <v>0</v>
      </c>
      <c r="AD15" s="61">
        <f t="shared" si="1"/>
        <v>1</v>
      </c>
      <c r="AE15" s="14" t="s">
        <v>0</v>
      </c>
      <c r="AF15" s="13" t="s">
        <v>1</v>
      </c>
      <c r="AG15" s="13" t="s">
        <v>465</v>
      </c>
      <c r="AH15" s="14" t="s">
        <v>0</v>
      </c>
      <c r="AI15" s="16" t="s">
        <v>0</v>
      </c>
      <c r="AJ15" s="50" t="s">
        <v>121</v>
      </c>
      <c r="AK15" s="5" t="s">
        <v>73</v>
      </c>
      <c r="AL15" s="6" t="s">
        <v>122</v>
      </c>
      <c r="AM15" s="5" t="s">
        <v>123</v>
      </c>
      <c r="AN15" s="5" t="s">
        <v>124</v>
      </c>
      <c r="AO15" s="14" t="s">
        <v>565</v>
      </c>
      <c r="AP15" s="9">
        <v>2</v>
      </c>
      <c r="AQ15" s="143">
        <f>ROUND(('Data extracted'!E15-'Data extracted'!D15)/7,0)</f>
        <v>7</v>
      </c>
      <c r="AR15" s="9">
        <f>AQ15*AP15*M15</f>
        <v>105938</v>
      </c>
      <c r="AS15" s="9" t="s">
        <v>0</v>
      </c>
      <c r="AT15" s="9">
        <v>46503</v>
      </c>
      <c r="AU15" s="5" t="s">
        <v>73</v>
      </c>
      <c r="AV15" s="5" t="s">
        <v>73</v>
      </c>
      <c r="AW15" s="5" t="s">
        <v>125</v>
      </c>
      <c r="AX15" s="119" t="s">
        <v>0</v>
      </c>
      <c r="AY15" s="9">
        <f>SUM(AZ15:BC15)</f>
        <v>46503</v>
      </c>
      <c r="AZ15" s="9">
        <v>328</v>
      </c>
      <c r="BA15" s="9">
        <v>45710</v>
      </c>
      <c r="BB15" s="9">
        <v>465</v>
      </c>
      <c r="BC15" s="56" t="s">
        <v>0</v>
      </c>
      <c r="BD15" s="50" t="s">
        <v>158</v>
      </c>
      <c r="BE15" s="6" t="s">
        <v>126</v>
      </c>
      <c r="BF15" s="9">
        <f t="shared" si="2"/>
        <v>169</v>
      </c>
      <c r="BG15" s="9">
        <v>161</v>
      </c>
      <c r="BH15" s="9" t="s">
        <v>0</v>
      </c>
      <c r="BI15" s="9" t="s">
        <v>0</v>
      </c>
      <c r="BJ15" s="9">
        <v>8</v>
      </c>
      <c r="BK15" s="56" t="str">
        <f t="shared" si="3"/>
        <v>#</v>
      </c>
      <c r="BL15" s="9">
        <f t="shared" si="6"/>
        <v>295</v>
      </c>
      <c r="BM15" s="9">
        <v>295</v>
      </c>
      <c r="BN15" s="9" t="s">
        <v>0</v>
      </c>
      <c r="BO15" s="9" t="s">
        <v>0</v>
      </c>
      <c r="BP15" s="20" t="s">
        <v>0</v>
      </c>
      <c r="BQ15" s="71" t="s">
        <v>0</v>
      </c>
      <c r="BR15" s="5" t="s">
        <v>0</v>
      </c>
      <c r="BS15" s="9">
        <f t="shared" si="7"/>
        <v>0</v>
      </c>
      <c r="BT15" s="9" t="s">
        <v>0</v>
      </c>
      <c r="BU15" s="9" t="s">
        <v>0</v>
      </c>
      <c r="BV15" s="9" t="s">
        <v>0</v>
      </c>
      <c r="BW15" s="9" t="s">
        <v>0</v>
      </c>
      <c r="BX15" s="20" t="str">
        <f t="shared" si="5"/>
        <v>#</v>
      </c>
      <c r="BY15" s="6" t="s">
        <v>0</v>
      </c>
      <c r="BZ15" s="5" t="s">
        <v>0</v>
      </c>
      <c r="CA15" s="6" t="s">
        <v>0</v>
      </c>
      <c r="CB15" s="6" t="s">
        <v>290</v>
      </c>
      <c r="CC15" s="6" t="s">
        <v>678</v>
      </c>
      <c r="CD15" s="11" t="s">
        <v>0</v>
      </c>
      <c r="CE15" s="149" t="s">
        <v>0</v>
      </c>
      <c r="CF15" s="149" t="s">
        <v>0</v>
      </c>
      <c r="CG15" s="149" t="s">
        <v>0</v>
      </c>
      <c r="CH15" s="63" t="s">
        <v>0</v>
      </c>
      <c r="CI15" s="121" t="s">
        <v>0</v>
      </c>
      <c r="CJ15" s="122" t="s">
        <v>0</v>
      </c>
      <c r="CK15" s="6" t="s">
        <v>0</v>
      </c>
      <c r="CL15" s="123" t="s">
        <v>0</v>
      </c>
      <c r="CM15" s="123" t="s">
        <v>0</v>
      </c>
      <c r="CN15" s="123" t="s">
        <v>0</v>
      </c>
      <c r="CO15" s="123" t="s">
        <v>0</v>
      </c>
      <c r="CP15" s="123" t="s">
        <v>0</v>
      </c>
      <c r="CQ15" s="123" t="s">
        <v>0</v>
      </c>
      <c r="CR15" s="124" t="s">
        <v>0</v>
      </c>
      <c r="CS15" s="123" t="s">
        <v>0</v>
      </c>
      <c r="CT15" s="124" t="s">
        <v>0</v>
      </c>
      <c r="CU15" s="123" t="s">
        <v>0</v>
      </c>
      <c r="CV15" s="123" t="s">
        <v>0</v>
      </c>
      <c r="CW15" s="125" t="s">
        <v>0</v>
      </c>
      <c r="CX15" s="27" t="s">
        <v>0</v>
      </c>
      <c r="CY15" s="27" t="s">
        <v>0</v>
      </c>
      <c r="CZ15" s="27" t="s">
        <v>0</v>
      </c>
      <c r="DA15" s="27" t="s">
        <v>0</v>
      </c>
      <c r="DB15" s="27" t="s">
        <v>0</v>
      </c>
      <c r="DC15" s="27" t="s">
        <v>0</v>
      </c>
      <c r="DD15" s="148" t="s">
        <v>0</v>
      </c>
      <c r="DE15" s="13" t="s">
        <v>0</v>
      </c>
      <c r="DF15" s="168" t="s">
        <v>0</v>
      </c>
      <c r="DG15" s="27" t="s">
        <v>0</v>
      </c>
      <c r="DH15" s="36" t="s">
        <v>0</v>
      </c>
      <c r="DI15" s="177" t="s">
        <v>0</v>
      </c>
    </row>
    <row r="16" spans="1:113" ht="16">
      <c r="A16" s="13" t="s">
        <v>511</v>
      </c>
      <c r="B16" s="21" t="s">
        <v>31</v>
      </c>
      <c r="C16" s="13" t="s">
        <v>102</v>
      </c>
      <c r="D16" s="82">
        <v>44618</v>
      </c>
      <c r="E16" s="82">
        <v>44646</v>
      </c>
      <c r="F16" s="7" t="s">
        <v>103</v>
      </c>
      <c r="G16" s="44" t="s">
        <v>627</v>
      </c>
      <c r="H16" s="7" t="s">
        <v>104</v>
      </c>
      <c r="I16" s="42">
        <v>56843.908000000003</v>
      </c>
      <c r="J16" s="18" t="s">
        <v>1</v>
      </c>
      <c r="K16" s="9" t="s">
        <v>0</v>
      </c>
      <c r="L16" s="9" t="s">
        <v>0</v>
      </c>
      <c r="M16" s="9" t="s">
        <v>0</v>
      </c>
      <c r="N16" s="9" t="s">
        <v>0</v>
      </c>
      <c r="O16" s="11" t="s">
        <v>223</v>
      </c>
      <c r="P16" s="6" t="s">
        <v>0</v>
      </c>
      <c r="Q16" s="6" t="s">
        <v>0</v>
      </c>
      <c r="R16" s="6" t="s">
        <v>0</v>
      </c>
      <c r="S16" s="6" t="s">
        <v>0</v>
      </c>
      <c r="T16" s="6" t="s">
        <v>0</v>
      </c>
      <c r="U16" s="6" t="s">
        <v>0</v>
      </c>
      <c r="V16" s="6" t="s">
        <v>0</v>
      </c>
      <c r="W16" s="6" t="s">
        <v>0</v>
      </c>
      <c r="X16" s="6" t="s">
        <v>0</v>
      </c>
      <c r="Y16" s="9" t="s">
        <v>0</v>
      </c>
      <c r="Z16" s="6" t="s">
        <v>96</v>
      </c>
      <c r="AA16" s="79" t="s">
        <v>0</v>
      </c>
      <c r="AB16" s="68" t="s">
        <v>0</v>
      </c>
      <c r="AC16" s="68" t="s">
        <v>0</v>
      </c>
      <c r="AD16" s="61">
        <f t="shared" si="1"/>
        <v>0</v>
      </c>
      <c r="AE16" s="10" t="s">
        <v>0</v>
      </c>
      <c r="AF16" s="7" t="s">
        <v>0</v>
      </c>
      <c r="AG16" s="7" t="s">
        <v>465</v>
      </c>
      <c r="AH16" s="10" t="s">
        <v>0</v>
      </c>
      <c r="AI16" s="26" t="s">
        <v>0</v>
      </c>
      <c r="AJ16" s="50" t="s">
        <v>305</v>
      </c>
      <c r="AK16" s="7" t="s">
        <v>0</v>
      </c>
      <c r="AL16" s="6" t="s">
        <v>0</v>
      </c>
      <c r="AM16" s="7" t="s">
        <v>0</v>
      </c>
      <c r="AN16" s="7" t="s">
        <v>305</v>
      </c>
      <c r="AO16" s="5" t="s">
        <v>305</v>
      </c>
      <c r="AP16" s="9" t="s">
        <v>0</v>
      </c>
      <c r="AQ16" s="9" t="s">
        <v>0</v>
      </c>
      <c r="AR16" s="9" t="s">
        <v>0</v>
      </c>
      <c r="AS16" s="9" t="s">
        <v>0</v>
      </c>
      <c r="AT16" s="9" t="s">
        <v>0</v>
      </c>
      <c r="AU16" s="7" t="s">
        <v>0</v>
      </c>
      <c r="AV16" s="7" t="s">
        <v>0</v>
      </c>
      <c r="AW16" s="5" t="s">
        <v>148</v>
      </c>
      <c r="AX16" s="119" t="s">
        <v>0</v>
      </c>
      <c r="AY16" s="9" t="s">
        <v>0</v>
      </c>
      <c r="AZ16" s="62" t="s">
        <v>0</v>
      </c>
      <c r="BA16" s="9" t="s">
        <v>0</v>
      </c>
      <c r="BB16" s="9" t="s">
        <v>0</v>
      </c>
      <c r="BC16" s="20" t="s">
        <v>0</v>
      </c>
      <c r="BD16" s="50" t="s">
        <v>0</v>
      </c>
      <c r="BE16" s="5" t="s">
        <v>0</v>
      </c>
      <c r="BF16" s="9">
        <f t="shared" si="2"/>
        <v>0</v>
      </c>
      <c r="BG16" s="9" t="s">
        <v>0</v>
      </c>
      <c r="BH16" s="9" t="s">
        <v>0</v>
      </c>
      <c r="BI16" s="9" t="s">
        <v>0</v>
      </c>
      <c r="BJ16" s="9" t="s">
        <v>0</v>
      </c>
      <c r="BK16" s="56" t="str">
        <f t="shared" si="3"/>
        <v>#</v>
      </c>
      <c r="BL16" s="9">
        <f t="shared" si="6"/>
        <v>0</v>
      </c>
      <c r="BM16" s="9" t="s">
        <v>0</v>
      </c>
      <c r="BN16" s="9" t="s">
        <v>0</v>
      </c>
      <c r="BO16" s="9" t="s">
        <v>0</v>
      </c>
      <c r="BP16" s="20" t="s">
        <v>0</v>
      </c>
      <c r="BQ16" s="71" t="s">
        <v>0</v>
      </c>
      <c r="BR16" s="5" t="s">
        <v>0</v>
      </c>
      <c r="BS16" s="9">
        <f t="shared" si="7"/>
        <v>0</v>
      </c>
      <c r="BT16" s="9" t="s">
        <v>0</v>
      </c>
      <c r="BU16" s="9" t="s">
        <v>0</v>
      </c>
      <c r="BV16" s="9" t="s">
        <v>0</v>
      </c>
      <c r="BW16" s="9" t="s">
        <v>0</v>
      </c>
      <c r="BX16" s="20" t="str">
        <f t="shared" si="5"/>
        <v>#</v>
      </c>
      <c r="BY16" s="6" t="s">
        <v>685</v>
      </c>
      <c r="BZ16" s="5" t="s">
        <v>184</v>
      </c>
      <c r="CA16" s="6" t="s">
        <v>0</v>
      </c>
      <c r="CB16" s="6" t="s">
        <v>0</v>
      </c>
      <c r="CC16" s="6" t="s">
        <v>0</v>
      </c>
      <c r="CD16" s="11" t="s">
        <v>0</v>
      </c>
      <c r="CE16" s="149" t="s">
        <v>0</v>
      </c>
      <c r="CF16" s="149" t="s">
        <v>0</v>
      </c>
      <c r="CG16" s="149" t="s">
        <v>0</v>
      </c>
      <c r="CH16" s="63" t="s">
        <v>0</v>
      </c>
      <c r="CI16" s="64" t="s">
        <v>0</v>
      </c>
      <c r="CJ16" s="63" t="s">
        <v>0</v>
      </c>
      <c r="CK16" s="14" t="s">
        <v>0</v>
      </c>
      <c r="CL16" s="14" t="s">
        <v>0</v>
      </c>
      <c r="CM16" s="14" t="s">
        <v>0</v>
      </c>
      <c r="CN16" s="14" t="s">
        <v>0</v>
      </c>
      <c r="CO16" s="6" t="s">
        <v>0</v>
      </c>
      <c r="CP16" s="6" t="s">
        <v>0</v>
      </c>
      <c r="CQ16" s="6" t="s">
        <v>0</v>
      </c>
      <c r="CR16" s="21" t="s">
        <v>0</v>
      </c>
      <c r="CS16" s="14" t="str">
        <f>"lower case fatality ratio (CFR), which declined substantially from 0.005 on 25 February to 0.003 on 26 February 2022, when the programme of RAT testing was initiated in Hong Kong on 26 February 2022"</f>
        <v>lower case fatality ratio (CFR), which declined substantially from 0.005 on 25 February to 0.003 on 26 February 2022, when the programme of RAT testing was initiated in Hong Kong on 26 February 2022</v>
      </c>
      <c r="CT16" s="21" t="s">
        <v>0</v>
      </c>
      <c r="CU16" s="14" t="s">
        <v>0</v>
      </c>
      <c r="CV16" s="14" t="s">
        <v>0</v>
      </c>
      <c r="CW16" s="21" t="s">
        <v>0</v>
      </c>
      <c r="CX16" s="27" t="s">
        <v>0</v>
      </c>
      <c r="CY16" s="27" t="s">
        <v>0</v>
      </c>
      <c r="CZ16" s="27" t="s">
        <v>0</v>
      </c>
      <c r="DA16" s="27" t="s">
        <v>0</v>
      </c>
      <c r="DB16" s="27" t="s">
        <v>0</v>
      </c>
      <c r="DC16" s="27" t="s">
        <v>0</v>
      </c>
      <c r="DD16" s="148" t="s">
        <v>0</v>
      </c>
      <c r="DE16" s="13" t="s">
        <v>0</v>
      </c>
      <c r="DF16" s="168" t="s">
        <v>0</v>
      </c>
      <c r="DG16" s="27" t="s">
        <v>0</v>
      </c>
      <c r="DH16" s="36" t="s">
        <v>0</v>
      </c>
      <c r="DI16" s="177" t="s">
        <v>0</v>
      </c>
    </row>
    <row r="17" spans="1:113" ht="16">
      <c r="A17" s="13" t="s">
        <v>917</v>
      </c>
      <c r="B17" s="47" t="s">
        <v>39</v>
      </c>
      <c r="C17" s="7" t="s">
        <v>92</v>
      </c>
      <c r="D17" s="82">
        <v>44319</v>
      </c>
      <c r="E17" s="82">
        <v>44400</v>
      </c>
      <c r="F17" s="7" t="s">
        <v>94</v>
      </c>
      <c r="G17" s="7" t="s">
        <v>630</v>
      </c>
      <c r="H17" s="7" t="s">
        <v>104</v>
      </c>
      <c r="I17" s="41">
        <v>59925.317000000003</v>
      </c>
      <c r="J17" s="18" t="s">
        <v>1</v>
      </c>
      <c r="K17" s="9">
        <v>836</v>
      </c>
      <c r="L17" s="9">
        <v>280</v>
      </c>
      <c r="M17" s="9">
        <v>280</v>
      </c>
      <c r="N17" s="9">
        <f t="shared" si="0"/>
        <v>836</v>
      </c>
      <c r="O17" s="11" t="s">
        <v>249</v>
      </c>
      <c r="P17" s="50" t="s">
        <v>0</v>
      </c>
      <c r="Q17" s="6" t="s">
        <v>0</v>
      </c>
      <c r="R17" s="6" t="s">
        <v>0</v>
      </c>
      <c r="S17" s="6" t="s">
        <v>0</v>
      </c>
      <c r="T17" s="6" t="s">
        <v>0</v>
      </c>
      <c r="U17" s="6" t="s">
        <v>0</v>
      </c>
      <c r="V17" s="6" t="s">
        <v>0</v>
      </c>
      <c r="W17" s="6">
        <f>94+31</f>
        <v>125</v>
      </c>
      <c r="X17" s="6">
        <f>121+34</f>
        <v>155</v>
      </c>
      <c r="Y17" s="9" t="s">
        <v>0</v>
      </c>
      <c r="Z17" s="6" t="s">
        <v>573</v>
      </c>
      <c r="AA17" s="79">
        <v>0</v>
      </c>
      <c r="AB17" s="68">
        <v>280</v>
      </c>
      <c r="AC17" s="68">
        <v>0</v>
      </c>
      <c r="AD17" s="61">
        <f t="shared" si="1"/>
        <v>1</v>
      </c>
      <c r="AE17" s="10">
        <v>37</v>
      </c>
      <c r="AF17" s="7" t="s">
        <v>0</v>
      </c>
      <c r="AG17" s="7" t="s">
        <v>465</v>
      </c>
      <c r="AH17" s="10" t="s">
        <v>0</v>
      </c>
      <c r="AI17" s="26">
        <v>5</v>
      </c>
      <c r="AJ17" s="50" t="s">
        <v>153</v>
      </c>
      <c r="AK17" s="7" t="s">
        <v>73</v>
      </c>
      <c r="AL17" s="6" t="s">
        <v>122</v>
      </c>
      <c r="AM17" s="7" t="s">
        <v>1</v>
      </c>
      <c r="AN17" s="7" t="s">
        <v>124</v>
      </c>
      <c r="AO17" s="10" t="s">
        <v>565</v>
      </c>
      <c r="AP17" s="68">
        <v>2</v>
      </c>
      <c r="AQ17" s="143">
        <f>ROUND(('Data extracted'!E17-'Data extracted'!D17)/7,0)</f>
        <v>12</v>
      </c>
      <c r="AR17" s="9">
        <f>AQ17*AP17*M17</f>
        <v>6720</v>
      </c>
      <c r="AS17" s="9" t="s">
        <v>0</v>
      </c>
      <c r="AT17" s="9">
        <v>2896</v>
      </c>
      <c r="AU17" s="7" t="s">
        <v>72</v>
      </c>
      <c r="AV17" s="7" t="s">
        <v>73</v>
      </c>
      <c r="AW17" s="5" t="s">
        <v>154</v>
      </c>
      <c r="AX17" s="26" t="s">
        <v>310</v>
      </c>
      <c r="AY17" s="9">
        <f>SUM(AZ17:BC17)</f>
        <v>2896</v>
      </c>
      <c r="AZ17" s="9">
        <v>0</v>
      </c>
      <c r="BA17" s="9">
        <v>2896</v>
      </c>
      <c r="BB17" s="9">
        <v>0</v>
      </c>
      <c r="BC17" s="20">
        <v>0</v>
      </c>
      <c r="BD17" s="50" t="s">
        <v>158</v>
      </c>
      <c r="BE17" s="5" t="s">
        <v>0</v>
      </c>
      <c r="BF17" s="9">
        <f t="shared" si="2"/>
        <v>0</v>
      </c>
      <c r="BG17" s="9" t="s">
        <v>0</v>
      </c>
      <c r="BH17" s="9" t="s">
        <v>0</v>
      </c>
      <c r="BI17" s="9" t="s">
        <v>0</v>
      </c>
      <c r="BJ17" s="9" t="s">
        <v>0</v>
      </c>
      <c r="BK17" s="56" t="str">
        <f t="shared" si="3"/>
        <v>#</v>
      </c>
      <c r="BL17" s="9">
        <f t="shared" si="6"/>
        <v>280</v>
      </c>
      <c r="BM17" s="9">
        <v>0</v>
      </c>
      <c r="BN17" s="5">
        <v>280</v>
      </c>
      <c r="BO17" s="9" t="s">
        <v>0</v>
      </c>
      <c r="BP17" s="20" t="s">
        <v>0</v>
      </c>
      <c r="BQ17" s="71" t="s">
        <v>279</v>
      </c>
      <c r="BR17" s="5" t="s">
        <v>0</v>
      </c>
      <c r="BS17" s="9">
        <f t="shared" si="7"/>
        <v>0</v>
      </c>
      <c r="BT17" s="9" t="s">
        <v>0</v>
      </c>
      <c r="BU17" s="9">
        <v>0</v>
      </c>
      <c r="BV17" s="9" t="s">
        <v>0</v>
      </c>
      <c r="BW17" s="9" t="s">
        <v>0</v>
      </c>
      <c r="BX17" s="20" t="str">
        <f t="shared" si="5"/>
        <v>#</v>
      </c>
      <c r="BY17" s="5" t="s">
        <v>0</v>
      </c>
      <c r="BZ17" s="5" t="s">
        <v>0</v>
      </c>
      <c r="CA17" s="5" t="s">
        <v>0</v>
      </c>
      <c r="CB17" s="5" t="s">
        <v>0</v>
      </c>
      <c r="CC17" s="5" t="s">
        <v>0</v>
      </c>
      <c r="CD17" s="11" t="s">
        <v>0</v>
      </c>
      <c r="CE17" s="149" t="s">
        <v>0</v>
      </c>
      <c r="CF17" s="149" t="s">
        <v>0</v>
      </c>
      <c r="CG17" s="149" t="s">
        <v>0</v>
      </c>
      <c r="CH17" s="11" t="s">
        <v>833</v>
      </c>
      <c r="CI17" s="64" t="s">
        <v>0</v>
      </c>
      <c r="CJ17" s="63" t="s">
        <v>0</v>
      </c>
      <c r="CK17" s="14" t="s">
        <v>0</v>
      </c>
      <c r="CL17" s="6" t="s">
        <v>0</v>
      </c>
      <c r="CM17" s="6" t="s">
        <v>0</v>
      </c>
      <c r="CN17" s="6" t="s">
        <v>0</v>
      </c>
      <c r="CO17" s="6" t="s">
        <v>0</v>
      </c>
      <c r="CP17" s="6" t="s">
        <v>0</v>
      </c>
      <c r="CQ17" s="6" t="s">
        <v>0</v>
      </c>
      <c r="CR17" s="11" t="s">
        <v>0</v>
      </c>
      <c r="CS17" s="6" t="s">
        <v>0</v>
      </c>
      <c r="CT17" s="11" t="s">
        <v>0</v>
      </c>
      <c r="CU17" s="14" t="s">
        <v>0</v>
      </c>
      <c r="CV17" s="14" t="s">
        <v>0</v>
      </c>
      <c r="CW17" s="126" t="s">
        <v>0</v>
      </c>
      <c r="CX17" s="27" t="s">
        <v>0</v>
      </c>
      <c r="CY17" s="27" t="s">
        <v>0</v>
      </c>
      <c r="CZ17" s="27" t="s">
        <v>834</v>
      </c>
      <c r="DA17" s="27" t="s">
        <v>0</v>
      </c>
      <c r="DB17" s="27" t="s">
        <v>0</v>
      </c>
      <c r="DC17" s="27" t="s">
        <v>0</v>
      </c>
      <c r="DD17" s="148" t="s">
        <v>815</v>
      </c>
      <c r="DE17" s="13" t="s">
        <v>0</v>
      </c>
      <c r="DF17" s="168" t="s">
        <v>0</v>
      </c>
      <c r="DG17" s="27" t="s">
        <v>0</v>
      </c>
      <c r="DH17" s="36" t="s">
        <v>0</v>
      </c>
      <c r="DI17" s="177" t="s">
        <v>0</v>
      </c>
    </row>
    <row r="18" spans="1:113" ht="16">
      <c r="A18" s="13" t="s">
        <v>918</v>
      </c>
      <c r="B18" s="47" t="s">
        <v>39</v>
      </c>
      <c r="C18" s="7" t="s">
        <v>92</v>
      </c>
      <c r="D18" s="82">
        <v>44319</v>
      </c>
      <c r="E18" s="82">
        <v>44400</v>
      </c>
      <c r="F18" s="7" t="s">
        <v>94</v>
      </c>
      <c r="G18" s="7" t="s">
        <v>630</v>
      </c>
      <c r="H18" s="7" t="s">
        <v>104</v>
      </c>
      <c r="I18" s="41">
        <v>59925.317000000003</v>
      </c>
      <c r="J18" s="18" t="s">
        <v>1</v>
      </c>
      <c r="K18" s="9">
        <v>190</v>
      </c>
      <c r="L18" s="9">
        <v>110</v>
      </c>
      <c r="M18" s="9">
        <v>110</v>
      </c>
      <c r="N18" s="9">
        <f t="shared" si="0"/>
        <v>190</v>
      </c>
      <c r="O18" s="11" t="s">
        <v>249</v>
      </c>
      <c r="P18" s="50" t="s">
        <v>0</v>
      </c>
      <c r="Q18" s="6" t="s">
        <v>0</v>
      </c>
      <c r="R18" s="6" t="s">
        <v>0</v>
      </c>
      <c r="S18" s="6" t="s">
        <v>0</v>
      </c>
      <c r="T18" s="6" t="s">
        <v>0</v>
      </c>
      <c r="U18" s="6" t="s">
        <v>0</v>
      </c>
      <c r="V18" s="6" t="s">
        <v>0</v>
      </c>
      <c r="W18" s="6">
        <f>74+10</f>
        <v>84</v>
      </c>
      <c r="X18" s="6">
        <f>4+2</f>
        <v>6</v>
      </c>
      <c r="Y18" s="9" t="s">
        <v>0</v>
      </c>
      <c r="Z18" s="6" t="s">
        <v>573</v>
      </c>
      <c r="AA18" s="79">
        <v>0</v>
      </c>
      <c r="AB18" s="68">
        <v>110</v>
      </c>
      <c r="AC18" s="68">
        <v>0</v>
      </c>
      <c r="AD18" s="61">
        <f t="shared" si="1"/>
        <v>1</v>
      </c>
      <c r="AE18" s="10">
        <v>20</v>
      </c>
      <c r="AF18" s="7" t="s">
        <v>0</v>
      </c>
      <c r="AG18" s="7" t="s">
        <v>465</v>
      </c>
      <c r="AH18" s="10" t="s">
        <v>0</v>
      </c>
      <c r="AI18" s="26">
        <v>3</v>
      </c>
      <c r="AJ18" s="50" t="s">
        <v>153</v>
      </c>
      <c r="AK18" s="7" t="s">
        <v>73</v>
      </c>
      <c r="AL18" s="6" t="s">
        <v>122</v>
      </c>
      <c r="AM18" s="7" t="s">
        <v>1</v>
      </c>
      <c r="AN18" s="7" t="s">
        <v>124</v>
      </c>
      <c r="AO18" s="10" t="s">
        <v>565</v>
      </c>
      <c r="AP18" s="68">
        <v>2</v>
      </c>
      <c r="AQ18" s="143">
        <f>ROUND(('Data extracted'!E18-'Data extracted'!D18)/7,0)</f>
        <v>12</v>
      </c>
      <c r="AR18" s="9">
        <f>AQ18*AP18*M18</f>
        <v>2640</v>
      </c>
      <c r="AS18" s="9" t="s">
        <v>0</v>
      </c>
      <c r="AT18" s="9">
        <v>1022</v>
      </c>
      <c r="AU18" s="7" t="s">
        <v>73</v>
      </c>
      <c r="AV18" s="7" t="s">
        <v>73</v>
      </c>
      <c r="AW18" s="5" t="s">
        <v>154</v>
      </c>
      <c r="AX18" s="119" t="s">
        <v>0</v>
      </c>
      <c r="AY18" s="9">
        <f>SUM(AZ18:BC18)</f>
        <v>1022</v>
      </c>
      <c r="AZ18" s="9">
        <v>0</v>
      </c>
      <c r="BA18" s="9">
        <v>1022</v>
      </c>
      <c r="BB18" s="9">
        <v>0</v>
      </c>
      <c r="BC18" s="20">
        <v>0</v>
      </c>
      <c r="BD18" s="50" t="s">
        <v>158</v>
      </c>
      <c r="BE18" s="5" t="s">
        <v>0</v>
      </c>
      <c r="BF18" s="9">
        <f t="shared" si="2"/>
        <v>0</v>
      </c>
      <c r="BG18" s="9" t="s">
        <v>0</v>
      </c>
      <c r="BH18" s="9" t="s">
        <v>0</v>
      </c>
      <c r="BI18" s="9" t="s">
        <v>0</v>
      </c>
      <c r="BJ18" s="9" t="s">
        <v>0</v>
      </c>
      <c r="BK18" s="56" t="str">
        <f t="shared" si="3"/>
        <v>#</v>
      </c>
      <c r="BL18" s="9">
        <f t="shared" si="6"/>
        <v>110</v>
      </c>
      <c r="BM18" s="9">
        <v>0</v>
      </c>
      <c r="BN18" s="5">
        <v>110</v>
      </c>
      <c r="BO18" s="9" t="s">
        <v>0</v>
      </c>
      <c r="BP18" s="20" t="s">
        <v>0</v>
      </c>
      <c r="BQ18" s="71" t="s">
        <v>158</v>
      </c>
      <c r="BR18" s="5" t="s">
        <v>0</v>
      </c>
      <c r="BS18" s="9">
        <f t="shared" si="7"/>
        <v>0</v>
      </c>
      <c r="BT18" s="9" t="s">
        <v>0</v>
      </c>
      <c r="BU18" s="9" t="s">
        <v>0</v>
      </c>
      <c r="BV18" s="9" t="s">
        <v>0</v>
      </c>
      <c r="BW18" s="9" t="s">
        <v>0</v>
      </c>
      <c r="BX18" s="20" t="str">
        <f t="shared" si="5"/>
        <v>#</v>
      </c>
      <c r="BY18" s="5" t="s">
        <v>0</v>
      </c>
      <c r="BZ18" s="5" t="s">
        <v>0</v>
      </c>
      <c r="CA18" s="5" t="s">
        <v>0</v>
      </c>
      <c r="CB18" s="5" t="s">
        <v>0</v>
      </c>
      <c r="CC18" s="5" t="s">
        <v>0</v>
      </c>
      <c r="CD18" s="11" t="s">
        <v>0</v>
      </c>
      <c r="CE18" s="149" t="s">
        <v>0</v>
      </c>
      <c r="CF18" s="149" t="s">
        <v>0</v>
      </c>
      <c r="CG18" s="149" t="s">
        <v>0</v>
      </c>
      <c r="CH18" s="11" t="s">
        <v>833</v>
      </c>
      <c r="CI18" s="64" t="s">
        <v>0</v>
      </c>
      <c r="CJ18" s="63" t="s">
        <v>0</v>
      </c>
      <c r="CK18" s="14" t="s">
        <v>0</v>
      </c>
      <c r="CL18" s="6" t="s">
        <v>0</v>
      </c>
      <c r="CM18" s="6" t="s">
        <v>0</v>
      </c>
      <c r="CN18" s="6" t="s">
        <v>0</v>
      </c>
      <c r="CO18" s="6" t="s">
        <v>0</v>
      </c>
      <c r="CP18" s="6" t="s">
        <v>0</v>
      </c>
      <c r="CQ18" s="6" t="s">
        <v>0</v>
      </c>
      <c r="CR18" s="11" t="s">
        <v>0</v>
      </c>
      <c r="CS18" s="6" t="s">
        <v>0</v>
      </c>
      <c r="CT18" s="11" t="s">
        <v>0</v>
      </c>
      <c r="CU18" s="14" t="s">
        <v>0</v>
      </c>
      <c r="CV18" s="14" t="s">
        <v>0</v>
      </c>
      <c r="CW18" s="126" t="s">
        <v>0</v>
      </c>
      <c r="CX18" s="27" t="s">
        <v>0</v>
      </c>
      <c r="CY18" s="27" t="s">
        <v>0</v>
      </c>
      <c r="CZ18" s="27" t="s">
        <v>834</v>
      </c>
      <c r="DA18" s="27" t="s">
        <v>0</v>
      </c>
      <c r="DB18" s="27" t="s">
        <v>0</v>
      </c>
      <c r="DC18" s="27" t="s">
        <v>0</v>
      </c>
      <c r="DD18" s="148" t="s">
        <v>815</v>
      </c>
      <c r="DE18" s="13" t="s">
        <v>0</v>
      </c>
      <c r="DF18" s="168" t="s">
        <v>0</v>
      </c>
      <c r="DG18" s="27" t="s">
        <v>0</v>
      </c>
      <c r="DH18" s="36" t="s">
        <v>0</v>
      </c>
      <c r="DI18" s="177" t="s">
        <v>0</v>
      </c>
    </row>
    <row r="19" spans="1:113" ht="15" customHeight="1">
      <c r="A19" s="13" t="s">
        <v>919</v>
      </c>
      <c r="B19" s="47" t="s">
        <v>748</v>
      </c>
      <c r="C19" s="7" t="s">
        <v>278</v>
      </c>
      <c r="D19" s="22">
        <v>44319</v>
      </c>
      <c r="E19" s="22">
        <v>44661</v>
      </c>
      <c r="F19" s="10" t="s">
        <v>97</v>
      </c>
      <c r="G19" s="10" t="s">
        <v>655</v>
      </c>
      <c r="H19" s="10" t="s">
        <v>1</v>
      </c>
      <c r="I19" s="45">
        <v>73173.714999999997</v>
      </c>
      <c r="J19" s="18" t="s">
        <v>1</v>
      </c>
      <c r="K19" s="9" t="s">
        <v>0</v>
      </c>
      <c r="L19" s="9" t="s">
        <v>0</v>
      </c>
      <c r="M19" s="9" t="s">
        <v>0</v>
      </c>
      <c r="N19" s="9">
        <v>3599894</v>
      </c>
      <c r="O19" s="63" t="s">
        <v>249</v>
      </c>
      <c r="P19" s="52" t="s">
        <v>0</v>
      </c>
      <c r="Q19" s="52" t="s">
        <v>0</v>
      </c>
      <c r="R19" s="6" t="s">
        <v>0</v>
      </c>
      <c r="S19" s="6" t="s">
        <v>0</v>
      </c>
      <c r="T19" s="6" t="s">
        <v>0</v>
      </c>
      <c r="U19" s="6" t="s">
        <v>0</v>
      </c>
      <c r="V19" s="6" t="s">
        <v>0</v>
      </c>
      <c r="W19" s="6">
        <v>1863909</v>
      </c>
      <c r="X19" s="6">
        <v>1734482</v>
      </c>
      <c r="Y19" s="9">
        <v>1503</v>
      </c>
      <c r="Z19" s="6" t="s">
        <v>96</v>
      </c>
      <c r="AA19" s="79">
        <v>3195409</v>
      </c>
      <c r="AB19" s="79">
        <v>404485</v>
      </c>
      <c r="AC19" s="68">
        <v>0</v>
      </c>
      <c r="AD19" s="68">
        <f t="shared" si="1"/>
        <v>0</v>
      </c>
      <c r="AE19" s="10" t="s">
        <v>0</v>
      </c>
      <c r="AF19" s="10" t="s">
        <v>0</v>
      </c>
      <c r="AG19" s="7" t="s">
        <v>465</v>
      </c>
      <c r="AH19" s="10" t="s">
        <v>344</v>
      </c>
      <c r="AI19" s="26" t="s">
        <v>0</v>
      </c>
      <c r="AJ19" s="6" t="s">
        <v>305</v>
      </c>
      <c r="AK19" s="7" t="s">
        <v>0</v>
      </c>
      <c r="AL19" s="6" t="s">
        <v>0</v>
      </c>
      <c r="AM19" s="7" t="s">
        <v>0</v>
      </c>
      <c r="AN19" s="7" t="s">
        <v>305</v>
      </c>
      <c r="AO19" s="13" t="s">
        <v>305</v>
      </c>
      <c r="AP19" s="68" t="s">
        <v>0</v>
      </c>
      <c r="AQ19" s="143" t="s">
        <v>0</v>
      </c>
      <c r="AR19" s="9" t="s">
        <v>0</v>
      </c>
      <c r="AS19" s="9" t="s">
        <v>0</v>
      </c>
      <c r="AT19" s="9" t="s">
        <v>0</v>
      </c>
      <c r="AU19" s="7" t="s">
        <v>73</v>
      </c>
      <c r="AV19" s="7" t="s">
        <v>73</v>
      </c>
      <c r="AW19" s="7" t="s">
        <v>0</v>
      </c>
      <c r="AX19" s="11" t="s">
        <v>0</v>
      </c>
      <c r="AY19" s="9" t="s">
        <v>0</v>
      </c>
      <c r="AZ19" s="9" t="s">
        <v>0</v>
      </c>
      <c r="BA19" s="9" t="s">
        <v>0</v>
      </c>
      <c r="BB19" s="9" t="s">
        <v>0</v>
      </c>
      <c r="BC19" s="20" t="s">
        <v>0</v>
      </c>
      <c r="BD19" s="6" t="s">
        <v>0</v>
      </c>
      <c r="BE19" s="6" t="s">
        <v>0</v>
      </c>
      <c r="BF19" s="9">
        <f t="shared" si="2"/>
        <v>0</v>
      </c>
      <c r="BG19" s="9" t="s">
        <v>0</v>
      </c>
      <c r="BH19" s="9" t="s">
        <v>0</v>
      </c>
      <c r="BI19" s="9" t="s">
        <v>0</v>
      </c>
      <c r="BJ19" s="9" t="s">
        <v>0</v>
      </c>
      <c r="BK19" s="56" t="str">
        <f t="shared" si="3"/>
        <v>#</v>
      </c>
      <c r="BL19" s="9">
        <f t="shared" si="6"/>
        <v>3599894</v>
      </c>
      <c r="BM19" s="9">
        <v>3599894</v>
      </c>
      <c r="BN19" s="9" t="s">
        <v>0</v>
      </c>
      <c r="BO19" s="9" t="s">
        <v>0</v>
      </c>
      <c r="BP19" s="20" t="s">
        <v>0</v>
      </c>
      <c r="BQ19" s="71" t="s">
        <v>158</v>
      </c>
      <c r="BR19" s="5" t="s">
        <v>0</v>
      </c>
      <c r="BS19" s="9">
        <f t="shared" si="7"/>
        <v>3599894</v>
      </c>
      <c r="BT19" s="9">
        <v>3291877</v>
      </c>
      <c r="BU19" s="9" t="s">
        <v>0</v>
      </c>
      <c r="BV19" s="9" t="s">
        <v>0</v>
      </c>
      <c r="BW19" s="9">
        <v>308017</v>
      </c>
      <c r="BX19" s="20" t="str">
        <f t="shared" si="5"/>
        <v>#</v>
      </c>
      <c r="BY19" s="6" t="s">
        <v>158</v>
      </c>
      <c r="BZ19" s="5" t="s">
        <v>0</v>
      </c>
      <c r="CA19" s="6" t="s">
        <v>0</v>
      </c>
      <c r="CB19" s="6" t="s">
        <v>376</v>
      </c>
      <c r="CC19" s="6" t="s">
        <v>190</v>
      </c>
      <c r="CD19" s="11" t="s">
        <v>0</v>
      </c>
      <c r="CE19" s="149" t="s">
        <v>0</v>
      </c>
      <c r="CF19" s="149" t="s">
        <v>0</v>
      </c>
      <c r="CG19" s="149" t="s">
        <v>0</v>
      </c>
      <c r="CH19" s="63" t="s">
        <v>0</v>
      </c>
      <c r="CI19" s="64" t="s">
        <v>0</v>
      </c>
      <c r="CJ19" s="63" t="s">
        <v>0</v>
      </c>
      <c r="CK19" s="6" t="s">
        <v>0</v>
      </c>
      <c r="CL19" s="6" t="s">
        <v>0</v>
      </c>
      <c r="CM19" s="6" t="s">
        <v>0</v>
      </c>
      <c r="CN19" s="6" t="s">
        <v>0</v>
      </c>
      <c r="CO19" s="6" t="s">
        <v>0</v>
      </c>
      <c r="CP19" s="6" t="s">
        <v>0</v>
      </c>
      <c r="CQ19" s="6" t="s">
        <v>0</v>
      </c>
      <c r="CR19" s="11" t="s">
        <v>0</v>
      </c>
      <c r="CS19" s="6" t="s">
        <v>0</v>
      </c>
      <c r="CT19" s="11" t="s">
        <v>0</v>
      </c>
      <c r="CU19" s="6" t="s">
        <v>0</v>
      </c>
      <c r="CV19" s="6" t="s">
        <v>0</v>
      </c>
      <c r="CW19" s="11" t="s">
        <v>0</v>
      </c>
      <c r="CX19" s="27" t="s">
        <v>0</v>
      </c>
      <c r="CY19" s="27" t="s">
        <v>377</v>
      </c>
      <c r="CZ19" s="27" t="s">
        <v>377</v>
      </c>
      <c r="DA19" s="27" t="s">
        <v>0</v>
      </c>
      <c r="DB19" s="27" t="s">
        <v>0</v>
      </c>
      <c r="DC19" s="27" t="s">
        <v>0</v>
      </c>
      <c r="DD19" s="148" t="s">
        <v>0</v>
      </c>
      <c r="DE19" s="13" t="s">
        <v>0</v>
      </c>
      <c r="DF19" s="168" t="s">
        <v>0</v>
      </c>
      <c r="DG19" s="27" t="s">
        <v>0</v>
      </c>
      <c r="DH19" s="36" t="s">
        <v>0</v>
      </c>
      <c r="DI19" s="177" t="s">
        <v>0</v>
      </c>
    </row>
    <row r="20" spans="1:113" ht="15" customHeight="1">
      <c r="A20" s="13" t="s">
        <v>920</v>
      </c>
      <c r="B20" s="47" t="s">
        <v>749</v>
      </c>
      <c r="C20" s="7" t="s">
        <v>92</v>
      </c>
      <c r="D20" s="22" t="s">
        <v>0</v>
      </c>
      <c r="E20" s="22" t="s">
        <v>0</v>
      </c>
      <c r="F20" s="10" t="s">
        <v>109</v>
      </c>
      <c r="G20" s="10" t="s">
        <v>656</v>
      </c>
      <c r="H20" s="10" t="s">
        <v>104</v>
      </c>
      <c r="I20" s="41">
        <v>89598.86</v>
      </c>
      <c r="J20" s="18" t="s">
        <v>1</v>
      </c>
      <c r="K20" s="9" t="s">
        <v>0</v>
      </c>
      <c r="L20" s="9" t="s">
        <v>0</v>
      </c>
      <c r="M20" s="9">
        <v>257</v>
      </c>
      <c r="N20" s="9">
        <f t="shared" ref="N20:N30" si="8">MAX(K20:M20)</f>
        <v>257</v>
      </c>
      <c r="O20" s="63" t="s">
        <v>249</v>
      </c>
      <c r="P20" s="52" t="s">
        <v>0</v>
      </c>
      <c r="Q20" s="52" t="s">
        <v>0</v>
      </c>
      <c r="R20" s="6">
        <v>35</v>
      </c>
      <c r="S20" s="6" t="s">
        <v>0</v>
      </c>
      <c r="T20" s="6" t="s">
        <v>0</v>
      </c>
      <c r="U20" s="6">
        <v>21</v>
      </c>
      <c r="V20" s="6">
        <v>72</v>
      </c>
      <c r="W20" s="6">
        <v>120</v>
      </c>
      <c r="X20" s="6" t="s">
        <v>0</v>
      </c>
      <c r="Y20" s="9">
        <v>137</v>
      </c>
      <c r="Z20" s="6" t="s">
        <v>96</v>
      </c>
      <c r="AA20" s="79" t="s">
        <v>0</v>
      </c>
      <c r="AB20" s="79" t="s">
        <v>0</v>
      </c>
      <c r="AC20" s="68" t="s">
        <v>0</v>
      </c>
      <c r="AD20" s="61">
        <f t="shared" si="1"/>
        <v>0</v>
      </c>
      <c r="AE20" s="10" t="s">
        <v>0</v>
      </c>
      <c r="AF20" s="10" t="s">
        <v>0</v>
      </c>
      <c r="AG20" s="10" t="s">
        <v>465</v>
      </c>
      <c r="AH20" s="10" t="s">
        <v>0</v>
      </c>
      <c r="AI20" s="26" t="s">
        <v>0</v>
      </c>
      <c r="AJ20" s="6" t="s">
        <v>601</v>
      </c>
      <c r="AK20" s="7" t="s">
        <v>0</v>
      </c>
      <c r="AL20" s="6" t="s">
        <v>122</v>
      </c>
      <c r="AM20" s="7" t="s">
        <v>166</v>
      </c>
      <c r="AN20" s="7" t="s">
        <v>124</v>
      </c>
      <c r="AO20" s="13" t="s">
        <v>565</v>
      </c>
      <c r="AP20" s="68">
        <v>2</v>
      </c>
      <c r="AQ20" s="68" t="s">
        <v>0</v>
      </c>
      <c r="AR20" s="9" t="s">
        <v>0</v>
      </c>
      <c r="AS20" s="9" t="s">
        <v>0</v>
      </c>
      <c r="AT20" s="9">
        <v>2951</v>
      </c>
      <c r="AU20" s="7" t="s">
        <v>73</v>
      </c>
      <c r="AV20" s="7" t="s">
        <v>73</v>
      </c>
      <c r="AW20" s="7" t="s">
        <v>602</v>
      </c>
      <c r="AX20" s="11" t="s">
        <v>307</v>
      </c>
      <c r="AY20" s="9">
        <f>SUM(AZ20:BA20)</f>
        <v>2951</v>
      </c>
      <c r="AZ20" s="9">
        <v>144</v>
      </c>
      <c r="BA20" s="9">
        <v>2807</v>
      </c>
      <c r="BB20" s="9" t="s">
        <v>0</v>
      </c>
      <c r="BC20" s="20" t="s">
        <v>0</v>
      </c>
      <c r="BD20" s="6" t="s">
        <v>158</v>
      </c>
      <c r="BE20" s="6" t="s">
        <v>122</v>
      </c>
      <c r="BF20" s="9">
        <f t="shared" si="2"/>
        <v>2951</v>
      </c>
      <c r="BG20" s="9">
        <v>60</v>
      </c>
      <c r="BH20" s="9">
        <v>16</v>
      </c>
      <c r="BI20" s="9">
        <v>2791</v>
      </c>
      <c r="BJ20" s="9">
        <v>84</v>
      </c>
      <c r="BK20" s="56">
        <f t="shared" si="3"/>
        <v>2875</v>
      </c>
      <c r="BL20" s="9">
        <v>257</v>
      </c>
      <c r="BM20" s="9">
        <v>15</v>
      </c>
      <c r="BN20" s="9">
        <v>242</v>
      </c>
      <c r="BO20" s="9" t="s">
        <v>0</v>
      </c>
      <c r="BP20" s="20" t="s">
        <v>0</v>
      </c>
      <c r="BQ20" s="73" t="s">
        <v>158</v>
      </c>
      <c r="BR20" s="5" t="s">
        <v>122</v>
      </c>
      <c r="BS20" s="9">
        <f t="shared" si="7"/>
        <v>257</v>
      </c>
      <c r="BT20" s="9">
        <v>15</v>
      </c>
      <c r="BU20" s="9">
        <v>0</v>
      </c>
      <c r="BV20" s="9">
        <v>242</v>
      </c>
      <c r="BW20" s="9">
        <v>0</v>
      </c>
      <c r="BX20" s="20">
        <f t="shared" si="5"/>
        <v>15</v>
      </c>
      <c r="BY20" s="6" t="s">
        <v>158</v>
      </c>
      <c r="BZ20" s="104" t="s">
        <v>0</v>
      </c>
      <c r="CA20" s="104" t="s">
        <v>380</v>
      </c>
      <c r="CB20" s="6" t="s">
        <v>673</v>
      </c>
      <c r="CC20" s="104" t="s">
        <v>408</v>
      </c>
      <c r="CD20" s="105" t="s">
        <v>390</v>
      </c>
      <c r="CE20" s="149" t="s">
        <v>0</v>
      </c>
      <c r="CF20" s="149" t="s">
        <v>0</v>
      </c>
      <c r="CG20" s="149" t="s">
        <v>0</v>
      </c>
      <c r="CH20" s="63" t="s">
        <v>0</v>
      </c>
      <c r="CI20" s="64" t="s">
        <v>0</v>
      </c>
      <c r="CJ20" s="63" t="s">
        <v>0</v>
      </c>
      <c r="CK20" s="6" t="s">
        <v>0</v>
      </c>
      <c r="CL20" s="6" t="s">
        <v>0</v>
      </c>
      <c r="CM20" s="6" t="s">
        <v>0</v>
      </c>
      <c r="CN20" s="6" t="s">
        <v>0</v>
      </c>
      <c r="CO20" s="6" t="s">
        <v>0</v>
      </c>
      <c r="CP20" s="6" t="s">
        <v>0</v>
      </c>
      <c r="CQ20" s="6" t="s">
        <v>0</v>
      </c>
      <c r="CR20" s="11" t="s">
        <v>0</v>
      </c>
      <c r="CS20" s="6" t="s">
        <v>0</v>
      </c>
      <c r="CT20" s="11" t="s">
        <v>0</v>
      </c>
      <c r="CU20" s="6" t="s">
        <v>0</v>
      </c>
      <c r="CV20" s="6" t="s">
        <v>0</v>
      </c>
      <c r="CW20" s="11" t="s">
        <v>0</v>
      </c>
      <c r="CX20" s="27" t="s">
        <v>603</v>
      </c>
      <c r="CY20" s="27" t="s">
        <v>0</v>
      </c>
      <c r="CZ20" s="27" t="s">
        <v>0</v>
      </c>
      <c r="DA20" s="27" t="s">
        <v>0</v>
      </c>
      <c r="DB20" s="27" t="s">
        <v>0</v>
      </c>
      <c r="DC20" s="27" t="s">
        <v>0</v>
      </c>
      <c r="DD20" s="148" t="s">
        <v>0</v>
      </c>
      <c r="DE20" s="13" t="s">
        <v>695</v>
      </c>
      <c r="DF20" s="168" t="s">
        <v>695</v>
      </c>
      <c r="DG20" s="27" t="s">
        <v>0</v>
      </c>
      <c r="DH20" s="36" t="s">
        <v>0</v>
      </c>
      <c r="DI20" s="177" t="s">
        <v>0</v>
      </c>
    </row>
    <row r="21" spans="1:113" ht="16">
      <c r="A21" s="13" t="s">
        <v>861</v>
      </c>
      <c r="B21" s="47" t="s">
        <v>767</v>
      </c>
      <c r="C21" s="7" t="s">
        <v>92</v>
      </c>
      <c r="D21" s="82">
        <v>44423</v>
      </c>
      <c r="E21" s="82">
        <v>44607</v>
      </c>
      <c r="F21" s="7" t="s">
        <v>109</v>
      </c>
      <c r="G21" s="7" t="s">
        <v>664</v>
      </c>
      <c r="H21" s="10" t="s">
        <v>1</v>
      </c>
      <c r="I21" s="41">
        <v>89598.86</v>
      </c>
      <c r="J21" s="18" t="s">
        <v>1</v>
      </c>
      <c r="K21" s="9" t="s">
        <v>0</v>
      </c>
      <c r="L21" s="9">
        <v>1083</v>
      </c>
      <c r="M21" s="9">
        <v>1016</v>
      </c>
      <c r="N21" s="9">
        <f t="shared" si="8"/>
        <v>1083</v>
      </c>
      <c r="O21" s="11" t="s">
        <v>242</v>
      </c>
      <c r="P21" s="50" t="s">
        <v>0</v>
      </c>
      <c r="Q21" s="6" t="s">
        <v>0</v>
      </c>
      <c r="R21" s="6" t="s">
        <v>0</v>
      </c>
      <c r="S21" s="6" t="s">
        <v>0</v>
      </c>
      <c r="T21" s="6" t="s">
        <v>0</v>
      </c>
      <c r="U21" s="6" t="s">
        <v>0</v>
      </c>
      <c r="V21" s="6" t="s">
        <v>0</v>
      </c>
      <c r="W21" s="6" t="s">
        <v>0</v>
      </c>
      <c r="X21" s="6" t="s">
        <v>0</v>
      </c>
      <c r="Y21" s="9" t="s">
        <v>0</v>
      </c>
      <c r="Z21" s="6" t="s">
        <v>96</v>
      </c>
      <c r="AA21" s="79">
        <v>102</v>
      </c>
      <c r="AB21" s="68">
        <v>981</v>
      </c>
      <c r="AC21" s="68">
        <v>0</v>
      </c>
      <c r="AD21" s="61">
        <f t="shared" si="1"/>
        <v>0</v>
      </c>
      <c r="AE21" s="10" t="s">
        <v>0</v>
      </c>
      <c r="AF21" s="7" t="s">
        <v>266</v>
      </c>
      <c r="AG21" s="7" t="s">
        <v>465</v>
      </c>
      <c r="AH21" s="10" t="s">
        <v>0</v>
      </c>
      <c r="AI21" s="26" t="s">
        <v>0</v>
      </c>
      <c r="AJ21" s="50" t="s">
        <v>151</v>
      </c>
      <c r="AK21" s="7" t="s">
        <v>73</v>
      </c>
      <c r="AL21" s="6" t="s">
        <v>122</v>
      </c>
      <c r="AM21" s="7" t="s">
        <v>166</v>
      </c>
      <c r="AN21" s="7" t="s">
        <v>124</v>
      </c>
      <c r="AO21" s="14" t="s">
        <v>565</v>
      </c>
      <c r="AP21" s="68">
        <v>2</v>
      </c>
      <c r="AQ21" s="143">
        <v>12</v>
      </c>
      <c r="AR21" s="9">
        <f>AQ21*AP21*622</f>
        <v>14928</v>
      </c>
      <c r="AS21" s="9" t="s">
        <v>0</v>
      </c>
      <c r="AT21" s="9">
        <v>6580</v>
      </c>
      <c r="AU21" s="7" t="s">
        <v>73</v>
      </c>
      <c r="AV21" s="7" t="s">
        <v>73</v>
      </c>
      <c r="AW21" s="5" t="s">
        <v>267</v>
      </c>
      <c r="AX21" s="126" t="s">
        <v>307</v>
      </c>
      <c r="AY21" s="9" t="s">
        <v>0</v>
      </c>
      <c r="AZ21" s="9" t="s">
        <v>0</v>
      </c>
      <c r="BA21" s="9" t="s">
        <v>0</v>
      </c>
      <c r="BB21" s="9" t="s">
        <v>0</v>
      </c>
      <c r="BC21" s="20" t="s">
        <v>0</v>
      </c>
      <c r="BD21" s="50" t="s">
        <v>0</v>
      </c>
      <c r="BE21" s="5" t="s">
        <v>0</v>
      </c>
      <c r="BF21" s="9">
        <f t="shared" si="2"/>
        <v>0</v>
      </c>
      <c r="BG21" s="9" t="s">
        <v>0</v>
      </c>
      <c r="BH21" s="9" t="s">
        <v>0</v>
      </c>
      <c r="BI21" s="9" t="s">
        <v>0</v>
      </c>
      <c r="BJ21" s="9" t="s">
        <v>0</v>
      </c>
      <c r="BK21" s="56" t="str">
        <f t="shared" si="3"/>
        <v>#</v>
      </c>
      <c r="BL21" s="9">
        <f t="shared" ref="BL21:BL47" si="9">SUM(BM21:BP21)</f>
        <v>76</v>
      </c>
      <c r="BM21" s="9">
        <f>ROUND(1016*0.075,0)</f>
        <v>76</v>
      </c>
      <c r="BN21" s="9" t="s">
        <v>0</v>
      </c>
      <c r="BO21" s="9" t="s">
        <v>0</v>
      </c>
      <c r="BP21" s="20" t="s">
        <v>0</v>
      </c>
      <c r="BQ21" s="71" t="s">
        <v>0</v>
      </c>
      <c r="BR21" s="5" t="s">
        <v>0</v>
      </c>
      <c r="BS21" s="9">
        <f t="shared" si="7"/>
        <v>0</v>
      </c>
      <c r="BT21" s="9" t="s">
        <v>0</v>
      </c>
      <c r="BU21" s="9" t="s">
        <v>0</v>
      </c>
      <c r="BV21" s="9" t="s">
        <v>0</v>
      </c>
      <c r="BW21" s="9" t="s">
        <v>0</v>
      </c>
      <c r="BX21" s="20" t="str">
        <f t="shared" si="5"/>
        <v>#</v>
      </c>
      <c r="BY21" s="5" t="s">
        <v>0</v>
      </c>
      <c r="BZ21" s="5" t="s">
        <v>0</v>
      </c>
      <c r="CA21" s="5" t="s">
        <v>900</v>
      </c>
      <c r="CB21" s="5" t="s">
        <v>899</v>
      </c>
      <c r="CC21" s="6" t="s">
        <v>408</v>
      </c>
      <c r="CD21" s="11" t="s">
        <v>269</v>
      </c>
      <c r="CE21" s="149" t="s">
        <v>0</v>
      </c>
      <c r="CF21" s="149" t="s">
        <v>0</v>
      </c>
      <c r="CG21" s="149" t="s">
        <v>0</v>
      </c>
      <c r="CH21" s="63" t="s">
        <v>0</v>
      </c>
      <c r="CI21" s="64" t="s">
        <v>0</v>
      </c>
      <c r="CJ21" s="63" t="s">
        <v>0</v>
      </c>
      <c r="CK21" s="25" t="s">
        <v>0</v>
      </c>
      <c r="CL21" s="6" t="s">
        <v>0</v>
      </c>
      <c r="CM21" s="6" t="s">
        <v>0</v>
      </c>
      <c r="CN21" s="6" t="s">
        <v>0</v>
      </c>
      <c r="CO21" s="6" t="s">
        <v>0</v>
      </c>
      <c r="CP21" s="6" t="s">
        <v>0</v>
      </c>
      <c r="CQ21" s="6" t="s">
        <v>0</v>
      </c>
      <c r="CR21" s="11" t="s">
        <v>0</v>
      </c>
      <c r="CS21" s="6" t="s">
        <v>0</v>
      </c>
      <c r="CT21" s="11" t="s">
        <v>0</v>
      </c>
      <c r="CU21" s="25" t="s">
        <v>0</v>
      </c>
      <c r="CV21" s="25" t="s">
        <v>0</v>
      </c>
      <c r="CW21" s="119" t="s">
        <v>0</v>
      </c>
      <c r="CX21" s="27" t="s">
        <v>0</v>
      </c>
      <c r="CY21" s="27" t="s">
        <v>0</v>
      </c>
      <c r="CZ21" s="27" t="s">
        <v>0</v>
      </c>
      <c r="DA21" s="27" t="s">
        <v>0</v>
      </c>
      <c r="DB21" s="27" t="s">
        <v>0</v>
      </c>
      <c r="DC21" s="27" t="s">
        <v>0</v>
      </c>
      <c r="DD21" s="148" t="s">
        <v>0</v>
      </c>
      <c r="DE21" s="13" t="s">
        <v>0</v>
      </c>
      <c r="DF21" s="168" t="s">
        <v>0</v>
      </c>
      <c r="DG21" s="27" t="s">
        <v>0</v>
      </c>
      <c r="DH21" s="36" t="s">
        <v>0</v>
      </c>
      <c r="DI21" s="177" t="s">
        <v>0</v>
      </c>
    </row>
    <row r="22" spans="1:113" ht="16">
      <c r="A22" s="13" t="s">
        <v>862</v>
      </c>
      <c r="B22" s="47" t="s">
        <v>767</v>
      </c>
      <c r="C22" s="7" t="s">
        <v>92</v>
      </c>
      <c r="D22" s="82">
        <v>44423</v>
      </c>
      <c r="E22" s="82">
        <v>44607</v>
      </c>
      <c r="F22" s="7" t="s">
        <v>109</v>
      </c>
      <c r="G22" s="7" t="s">
        <v>664</v>
      </c>
      <c r="H22" s="10" t="s">
        <v>1</v>
      </c>
      <c r="I22" s="41">
        <v>89598.86</v>
      </c>
      <c r="J22" s="18" t="s">
        <v>1</v>
      </c>
      <c r="K22" s="9" t="s">
        <v>0</v>
      </c>
      <c r="L22" s="9" t="s">
        <v>0</v>
      </c>
      <c r="M22" s="9">
        <v>801</v>
      </c>
      <c r="N22" s="9">
        <f t="shared" si="8"/>
        <v>801</v>
      </c>
      <c r="O22" s="11" t="s">
        <v>242</v>
      </c>
      <c r="P22" s="50" t="s">
        <v>0</v>
      </c>
      <c r="Q22" s="6" t="s">
        <v>0</v>
      </c>
      <c r="R22" s="6" t="s">
        <v>0</v>
      </c>
      <c r="S22" s="6" t="s">
        <v>0</v>
      </c>
      <c r="T22" s="6" t="s">
        <v>0</v>
      </c>
      <c r="U22" s="6" t="s">
        <v>0</v>
      </c>
      <c r="V22" s="6" t="s">
        <v>0</v>
      </c>
      <c r="W22" s="6" t="s">
        <v>0</v>
      </c>
      <c r="X22" s="6" t="s">
        <v>0</v>
      </c>
      <c r="Y22" s="9" t="s">
        <v>0</v>
      </c>
      <c r="Z22" s="6" t="s">
        <v>96</v>
      </c>
      <c r="AA22" s="79" t="s">
        <v>0</v>
      </c>
      <c r="AB22" s="68" t="s">
        <v>0</v>
      </c>
      <c r="AC22" s="68" t="s">
        <v>0</v>
      </c>
      <c r="AD22" s="61">
        <f t="shared" si="1"/>
        <v>0</v>
      </c>
      <c r="AE22" s="10" t="s">
        <v>0</v>
      </c>
      <c r="AF22" s="7" t="s">
        <v>0</v>
      </c>
      <c r="AG22" s="7" t="s">
        <v>465</v>
      </c>
      <c r="AH22" s="10" t="s">
        <v>0</v>
      </c>
      <c r="AI22" s="26" t="s">
        <v>0</v>
      </c>
      <c r="AJ22" s="50" t="s">
        <v>151</v>
      </c>
      <c r="AK22" s="7" t="s">
        <v>73</v>
      </c>
      <c r="AL22" s="6" t="s">
        <v>122</v>
      </c>
      <c r="AM22" s="7" t="s">
        <v>166</v>
      </c>
      <c r="AN22" s="7" t="s">
        <v>124</v>
      </c>
      <c r="AO22" s="14" t="s">
        <v>565</v>
      </c>
      <c r="AP22" s="68">
        <v>2</v>
      </c>
      <c r="AQ22" s="143">
        <v>2</v>
      </c>
      <c r="AR22" s="9" t="s">
        <v>0</v>
      </c>
      <c r="AS22" s="9" t="s">
        <v>0</v>
      </c>
      <c r="AT22" s="9" t="s">
        <v>0</v>
      </c>
      <c r="AU22" s="7" t="s">
        <v>73</v>
      </c>
      <c r="AV22" s="7" t="s">
        <v>73</v>
      </c>
      <c r="AW22" s="5" t="s">
        <v>268</v>
      </c>
      <c r="AX22" s="119" t="s">
        <v>0</v>
      </c>
      <c r="AY22" s="9" t="s">
        <v>0</v>
      </c>
      <c r="AZ22" s="9" t="s">
        <v>0</v>
      </c>
      <c r="BA22" s="9" t="s">
        <v>0</v>
      </c>
      <c r="BB22" s="9" t="s">
        <v>0</v>
      </c>
      <c r="BC22" s="20" t="s">
        <v>0</v>
      </c>
      <c r="BD22" s="50" t="s">
        <v>0</v>
      </c>
      <c r="BE22" s="5" t="s">
        <v>0</v>
      </c>
      <c r="BF22" s="9">
        <f t="shared" si="2"/>
        <v>0</v>
      </c>
      <c r="BG22" s="9" t="s">
        <v>0</v>
      </c>
      <c r="BH22" s="9" t="s">
        <v>0</v>
      </c>
      <c r="BI22" s="9" t="s">
        <v>0</v>
      </c>
      <c r="BJ22" s="9" t="s">
        <v>0</v>
      </c>
      <c r="BK22" s="56" t="str">
        <f t="shared" si="3"/>
        <v>#</v>
      </c>
      <c r="BL22" s="9">
        <f t="shared" si="9"/>
        <v>0</v>
      </c>
      <c r="BM22" s="9" t="s">
        <v>0</v>
      </c>
      <c r="BN22" s="9" t="s">
        <v>0</v>
      </c>
      <c r="BO22" s="9" t="s">
        <v>0</v>
      </c>
      <c r="BP22" s="20" t="s">
        <v>0</v>
      </c>
      <c r="BQ22" s="71" t="s">
        <v>0</v>
      </c>
      <c r="BR22" s="5" t="s">
        <v>0</v>
      </c>
      <c r="BS22" s="9">
        <f t="shared" si="7"/>
        <v>0</v>
      </c>
      <c r="BT22" s="9" t="s">
        <v>0</v>
      </c>
      <c r="BU22" s="9" t="s">
        <v>0</v>
      </c>
      <c r="BV22" s="9" t="s">
        <v>0</v>
      </c>
      <c r="BW22" s="9" t="s">
        <v>0</v>
      </c>
      <c r="BX22" s="20" t="str">
        <f t="shared" si="5"/>
        <v>#</v>
      </c>
      <c r="BY22" s="5" t="s">
        <v>0</v>
      </c>
      <c r="BZ22" s="5" t="s">
        <v>0</v>
      </c>
      <c r="CA22" s="5" t="s">
        <v>900</v>
      </c>
      <c r="CB22" s="5" t="s">
        <v>899</v>
      </c>
      <c r="CC22" s="6" t="s">
        <v>408</v>
      </c>
      <c r="CD22" s="11" t="s">
        <v>270</v>
      </c>
      <c r="CE22" s="149" t="s">
        <v>0</v>
      </c>
      <c r="CF22" s="149" t="s">
        <v>0</v>
      </c>
      <c r="CG22" s="149" t="s">
        <v>0</v>
      </c>
      <c r="CH22" s="63" t="s">
        <v>0</v>
      </c>
      <c r="CI22" s="64" t="s">
        <v>0</v>
      </c>
      <c r="CJ22" s="63" t="s">
        <v>0</v>
      </c>
      <c r="CK22" s="25" t="s">
        <v>0</v>
      </c>
      <c r="CL22" s="6" t="s">
        <v>0</v>
      </c>
      <c r="CM22" s="6" t="s">
        <v>0</v>
      </c>
      <c r="CN22" s="6" t="s">
        <v>0</v>
      </c>
      <c r="CO22" s="6" t="s">
        <v>0</v>
      </c>
      <c r="CP22" s="6" t="s">
        <v>0</v>
      </c>
      <c r="CQ22" s="6" t="s">
        <v>0</v>
      </c>
      <c r="CR22" s="11" t="s">
        <v>0</v>
      </c>
      <c r="CS22" s="6" t="s">
        <v>0</v>
      </c>
      <c r="CT22" s="11" t="s">
        <v>0</v>
      </c>
      <c r="CU22" s="25" t="s">
        <v>0</v>
      </c>
      <c r="CV22" s="25" t="s">
        <v>0</v>
      </c>
      <c r="CW22" s="119" t="s">
        <v>0</v>
      </c>
      <c r="CX22" s="27" t="s">
        <v>0</v>
      </c>
      <c r="CY22" s="27" t="s">
        <v>0</v>
      </c>
      <c r="CZ22" s="27" t="s">
        <v>0</v>
      </c>
      <c r="DA22" s="27" t="s">
        <v>0</v>
      </c>
      <c r="DB22" s="27" t="s">
        <v>0</v>
      </c>
      <c r="DC22" s="27" t="s">
        <v>0</v>
      </c>
      <c r="DD22" s="148" t="s">
        <v>0</v>
      </c>
      <c r="DE22" s="13" t="s">
        <v>0</v>
      </c>
      <c r="DF22" s="168" t="s">
        <v>0</v>
      </c>
      <c r="DG22" s="27" t="s">
        <v>0</v>
      </c>
      <c r="DH22" s="36" t="s">
        <v>0</v>
      </c>
      <c r="DI22" s="177" t="s">
        <v>0</v>
      </c>
    </row>
    <row r="23" spans="1:113" ht="16">
      <c r="A23" s="13" t="s">
        <v>921</v>
      </c>
      <c r="B23" s="47" t="s">
        <v>768</v>
      </c>
      <c r="C23" s="7" t="s">
        <v>92</v>
      </c>
      <c r="D23" s="82">
        <v>44287</v>
      </c>
      <c r="E23" s="82">
        <v>44399</v>
      </c>
      <c r="F23" s="7" t="s">
        <v>109</v>
      </c>
      <c r="G23" s="7" t="s">
        <v>659</v>
      </c>
      <c r="H23" s="7" t="s">
        <v>104</v>
      </c>
      <c r="I23" s="41">
        <v>89598.86</v>
      </c>
      <c r="J23" s="18" t="s">
        <v>431</v>
      </c>
      <c r="K23" s="9" t="s">
        <v>0</v>
      </c>
      <c r="L23" s="9" t="s">
        <v>0</v>
      </c>
      <c r="M23" s="9">
        <v>1366</v>
      </c>
      <c r="N23" s="9">
        <f t="shared" si="8"/>
        <v>1366</v>
      </c>
      <c r="O23" s="11" t="s">
        <v>249</v>
      </c>
      <c r="P23" s="50" t="s">
        <v>0</v>
      </c>
      <c r="Q23" s="6" t="s">
        <v>0</v>
      </c>
      <c r="R23" s="6" t="s">
        <v>0</v>
      </c>
      <c r="S23" s="6" t="s">
        <v>0</v>
      </c>
      <c r="T23" s="6" t="s">
        <v>0</v>
      </c>
      <c r="U23" s="6" t="s">
        <v>0</v>
      </c>
      <c r="V23" s="6" t="s">
        <v>0</v>
      </c>
      <c r="W23" s="6" t="s">
        <v>0</v>
      </c>
      <c r="X23" s="6" t="s">
        <v>0</v>
      </c>
      <c r="Y23" s="9" t="s">
        <v>0</v>
      </c>
      <c r="Z23" s="6" t="s">
        <v>96</v>
      </c>
      <c r="AA23" s="80" t="s">
        <v>0</v>
      </c>
      <c r="AB23" s="67" t="s">
        <v>0</v>
      </c>
      <c r="AC23" s="67" t="s">
        <v>0</v>
      </c>
      <c r="AD23" s="61">
        <f t="shared" si="1"/>
        <v>0</v>
      </c>
      <c r="AE23" s="25" t="s">
        <v>0</v>
      </c>
      <c r="AF23" t="s">
        <v>0</v>
      </c>
      <c r="AG23" s="7" t="s">
        <v>465</v>
      </c>
      <c r="AH23" s="25" t="s">
        <v>0</v>
      </c>
      <c r="AI23" s="119" t="s">
        <v>0</v>
      </c>
      <c r="AJ23" s="50" t="s">
        <v>305</v>
      </c>
      <c r="AK23" s="7" t="s">
        <v>73</v>
      </c>
      <c r="AL23" s="6" t="s">
        <v>0</v>
      </c>
      <c r="AM23" s="7" t="s">
        <v>166</v>
      </c>
      <c r="AN23" s="7" t="s">
        <v>124</v>
      </c>
      <c r="AO23" s="13" t="s">
        <v>305</v>
      </c>
      <c r="AP23" s="68" t="s">
        <v>0</v>
      </c>
      <c r="AQ23" s="68" t="s">
        <v>0</v>
      </c>
      <c r="AR23" s="68">
        <v>2722</v>
      </c>
      <c r="AS23" s="9" t="s">
        <v>0</v>
      </c>
      <c r="AT23" s="9">
        <v>1900</v>
      </c>
      <c r="AU23" s="7" t="s">
        <v>73</v>
      </c>
      <c r="AV23" s="7" t="s">
        <v>73</v>
      </c>
      <c r="AW23" s="5" t="s">
        <v>0</v>
      </c>
      <c r="AX23" s="119" t="s">
        <v>0</v>
      </c>
      <c r="AY23" s="9" t="s">
        <v>0</v>
      </c>
      <c r="AZ23" s="9" t="s">
        <v>0</v>
      </c>
      <c r="BA23" s="9" t="s">
        <v>0</v>
      </c>
      <c r="BB23" s="9" t="s">
        <v>0</v>
      </c>
      <c r="BC23" s="20" t="s">
        <v>0</v>
      </c>
      <c r="BD23" s="50" t="s">
        <v>0</v>
      </c>
      <c r="BE23" s="5" t="s">
        <v>0</v>
      </c>
      <c r="BF23" s="9">
        <f t="shared" si="2"/>
        <v>0</v>
      </c>
      <c r="BG23" s="9" t="s">
        <v>0</v>
      </c>
      <c r="BH23" s="9" t="s">
        <v>0</v>
      </c>
      <c r="BI23" s="9" t="s">
        <v>0</v>
      </c>
      <c r="BJ23" s="9" t="s">
        <v>0</v>
      </c>
      <c r="BK23" s="56" t="str">
        <f t="shared" si="3"/>
        <v>#</v>
      </c>
      <c r="BL23" s="9">
        <f t="shared" si="9"/>
        <v>0</v>
      </c>
      <c r="BM23" s="9" t="s">
        <v>0</v>
      </c>
      <c r="BN23" s="9" t="s">
        <v>0</v>
      </c>
      <c r="BO23" s="9" t="s">
        <v>0</v>
      </c>
      <c r="BP23" s="20" t="s">
        <v>0</v>
      </c>
      <c r="BQ23" s="71" t="s">
        <v>0</v>
      </c>
      <c r="BR23" s="5" t="s">
        <v>0</v>
      </c>
      <c r="BS23" s="9">
        <f t="shared" si="7"/>
        <v>0</v>
      </c>
      <c r="BT23" s="9" t="s">
        <v>0</v>
      </c>
      <c r="BU23" s="9" t="s">
        <v>0</v>
      </c>
      <c r="BV23" s="9" t="s">
        <v>0</v>
      </c>
      <c r="BW23" s="9" t="s">
        <v>0</v>
      </c>
      <c r="BX23" s="20" t="str">
        <f t="shared" si="5"/>
        <v>#</v>
      </c>
      <c r="BY23" s="5" t="s">
        <v>0</v>
      </c>
      <c r="BZ23" s="5" t="s">
        <v>0</v>
      </c>
      <c r="CA23" s="5" t="s">
        <v>0</v>
      </c>
      <c r="CB23" s="5" t="s">
        <v>0</v>
      </c>
      <c r="CC23" s="5" t="s">
        <v>0</v>
      </c>
      <c r="CD23" s="11" t="s">
        <v>0</v>
      </c>
      <c r="CE23" s="149" t="s">
        <v>0</v>
      </c>
      <c r="CF23" s="149" t="s">
        <v>0</v>
      </c>
      <c r="CG23" s="149" t="s">
        <v>0</v>
      </c>
      <c r="CH23" s="63" t="s">
        <v>0</v>
      </c>
      <c r="CI23" s="64" t="s">
        <v>0</v>
      </c>
      <c r="CJ23" s="63" t="s">
        <v>0</v>
      </c>
      <c r="CK23" s="25" t="s">
        <v>0</v>
      </c>
      <c r="CL23" s="6" t="s">
        <v>0</v>
      </c>
      <c r="CM23" s="6" t="s">
        <v>0</v>
      </c>
      <c r="CN23" s="6" t="s">
        <v>0</v>
      </c>
      <c r="CO23" s="6" t="s">
        <v>0</v>
      </c>
      <c r="CP23" s="6" t="s">
        <v>0</v>
      </c>
      <c r="CQ23" s="6" t="s">
        <v>0</v>
      </c>
      <c r="CR23" s="11" t="s">
        <v>0</v>
      </c>
      <c r="CS23" s="6" t="s">
        <v>0</v>
      </c>
      <c r="CT23" s="11" t="s">
        <v>0</v>
      </c>
      <c r="CU23" s="25" t="s">
        <v>0</v>
      </c>
      <c r="CV23" s="25" t="s">
        <v>0</v>
      </c>
      <c r="CW23" s="119" t="s">
        <v>0</v>
      </c>
      <c r="CX23" s="27" t="s">
        <v>0</v>
      </c>
      <c r="CY23" s="27" t="s">
        <v>0</v>
      </c>
      <c r="CZ23" s="27" t="s">
        <v>0</v>
      </c>
      <c r="DA23" s="27" t="s">
        <v>0</v>
      </c>
      <c r="DB23" s="27" t="s">
        <v>0</v>
      </c>
      <c r="DC23" s="27" t="s">
        <v>0</v>
      </c>
      <c r="DD23" s="148" t="s">
        <v>0</v>
      </c>
      <c r="DE23" s="13" t="s">
        <v>0</v>
      </c>
      <c r="DF23" s="168" t="s">
        <v>0</v>
      </c>
      <c r="DG23" s="27" t="s">
        <v>0</v>
      </c>
      <c r="DH23" s="36" t="s">
        <v>0</v>
      </c>
      <c r="DI23" s="177" t="s">
        <v>0</v>
      </c>
    </row>
    <row r="24" spans="1:113" ht="16">
      <c r="A24" s="13" t="s">
        <v>922</v>
      </c>
      <c r="B24" s="47" t="s">
        <v>768</v>
      </c>
      <c r="C24" s="7" t="s">
        <v>92</v>
      </c>
      <c r="D24" s="82">
        <v>44459</v>
      </c>
      <c r="E24" s="82">
        <v>44501</v>
      </c>
      <c r="F24" s="7" t="s">
        <v>109</v>
      </c>
      <c r="G24" s="7" t="s">
        <v>660</v>
      </c>
      <c r="H24" s="7" t="s">
        <v>597</v>
      </c>
      <c r="I24" s="41">
        <v>89598.86</v>
      </c>
      <c r="J24" s="18" t="s">
        <v>431</v>
      </c>
      <c r="K24" s="9" t="s">
        <v>0</v>
      </c>
      <c r="L24" s="9" t="s">
        <v>0</v>
      </c>
      <c r="M24" s="9">
        <v>2012</v>
      </c>
      <c r="N24" s="9">
        <f t="shared" si="8"/>
        <v>2012</v>
      </c>
      <c r="O24" s="11" t="s">
        <v>249</v>
      </c>
      <c r="P24" s="50" t="s">
        <v>0</v>
      </c>
      <c r="Q24" s="6" t="s">
        <v>0</v>
      </c>
      <c r="R24" s="6" t="s">
        <v>0</v>
      </c>
      <c r="S24" s="6" t="s">
        <v>0</v>
      </c>
      <c r="T24" s="6" t="s">
        <v>0</v>
      </c>
      <c r="U24" s="6" t="s">
        <v>0</v>
      </c>
      <c r="V24" s="6" t="s">
        <v>0</v>
      </c>
      <c r="W24" s="6" t="s">
        <v>0</v>
      </c>
      <c r="X24" s="6" t="s">
        <v>0</v>
      </c>
      <c r="Y24" s="9" t="s">
        <v>0</v>
      </c>
      <c r="Z24" s="6" t="s">
        <v>96</v>
      </c>
      <c r="AA24" s="80" t="s">
        <v>0</v>
      </c>
      <c r="AB24" s="67" t="s">
        <v>0</v>
      </c>
      <c r="AC24" s="67" t="s">
        <v>0</v>
      </c>
      <c r="AD24" s="61">
        <f t="shared" si="1"/>
        <v>0</v>
      </c>
      <c r="AE24" s="25" t="s">
        <v>0</v>
      </c>
      <c r="AF24" t="s">
        <v>0</v>
      </c>
      <c r="AG24" s="7" t="s">
        <v>465</v>
      </c>
      <c r="AH24" s="25" t="s">
        <v>0</v>
      </c>
      <c r="AI24" s="119" t="s">
        <v>0</v>
      </c>
      <c r="AJ24" s="50" t="s">
        <v>305</v>
      </c>
      <c r="AK24" s="7" t="s">
        <v>73</v>
      </c>
      <c r="AL24" s="6" t="s">
        <v>0</v>
      </c>
      <c r="AM24" s="7" t="s">
        <v>166</v>
      </c>
      <c r="AN24" s="7" t="s">
        <v>124</v>
      </c>
      <c r="AO24" s="13" t="s">
        <v>305</v>
      </c>
      <c r="AP24" s="68" t="s">
        <v>0</v>
      </c>
      <c r="AQ24" s="68" t="s">
        <v>0</v>
      </c>
      <c r="AR24" s="68">
        <v>4763</v>
      </c>
      <c r="AS24" s="9" t="s">
        <v>0</v>
      </c>
      <c r="AT24" s="9">
        <v>3742</v>
      </c>
      <c r="AU24" s="7" t="s">
        <v>73</v>
      </c>
      <c r="AV24" s="7" t="s">
        <v>73</v>
      </c>
      <c r="AW24" s="5" t="s">
        <v>0</v>
      </c>
      <c r="AX24" s="119" t="s">
        <v>0</v>
      </c>
      <c r="AY24" s="9" t="s">
        <v>0</v>
      </c>
      <c r="AZ24" s="9" t="s">
        <v>0</v>
      </c>
      <c r="BA24" s="9" t="s">
        <v>0</v>
      </c>
      <c r="BB24" s="9" t="s">
        <v>0</v>
      </c>
      <c r="BC24" s="20" t="s">
        <v>0</v>
      </c>
      <c r="BD24" s="50" t="s">
        <v>0</v>
      </c>
      <c r="BE24" s="5" t="s">
        <v>0</v>
      </c>
      <c r="BF24" s="9">
        <f t="shared" si="2"/>
        <v>0</v>
      </c>
      <c r="BG24" s="9" t="s">
        <v>0</v>
      </c>
      <c r="BH24" s="9" t="s">
        <v>0</v>
      </c>
      <c r="BI24" s="9" t="s">
        <v>0</v>
      </c>
      <c r="BJ24" s="9" t="s">
        <v>0</v>
      </c>
      <c r="BK24" s="56" t="str">
        <f t="shared" si="3"/>
        <v>#</v>
      </c>
      <c r="BL24" s="9">
        <f t="shared" si="9"/>
        <v>0</v>
      </c>
      <c r="BM24" s="9" t="s">
        <v>0</v>
      </c>
      <c r="BN24" s="9" t="s">
        <v>0</v>
      </c>
      <c r="BO24" s="9" t="s">
        <v>0</v>
      </c>
      <c r="BP24" s="20" t="s">
        <v>0</v>
      </c>
      <c r="BQ24" s="71" t="s">
        <v>0</v>
      </c>
      <c r="BR24" s="5" t="s">
        <v>0</v>
      </c>
      <c r="BS24" s="9">
        <f t="shared" si="7"/>
        <v>0</v>
      </c>
      <c r="BT24" s="9" t="s">
        <v>0</v>
      </c>
      <c r="BU24" s="9" t="s">
        <v>0</v>
      </c>
      <c r="BV24" s="9" t="s">
        <v>0</v>
      </c>
      <c r="BW24" s="9" t="s">
        <v>0</v>
      </c>
      <c r="BX24" s="20" t="str">
        <f t="shared" si="5"/>
        <v>#</v>
      </c>
      <c r="BY24" s="5" t="s">
        <v>0</v>
      </c>
      <c r="BZ24" s="5" t="s">
        <v>0</v>
      </c>
      <c r="CA24" s="5" t="s">
        <v>0</v>
      </c>
      <c r="CB24" s="5" t="s">
        <v>0</v>
      </c>
      <c r="CC24" s="5" t="s">
        <v>0</v>
      </c>
      <c r="CD24" s="11" t="s">
        <v>0</v>
      </c>
      <c r="CE24" s="149" t="s">
        <v>0</v>
      </c>
      <c r="CF24" s="149" t="s">
        <v>0</v>
      </c>
      <c r="CG24" s="149" t="s">
        <v>0</v>
      </c>
      <c r="CH24" s="63" t="s">
        <v>0</v>
      </c>
      <c r="CI24" s="64" t="s">
        <v>0</v>
      </c>
      <c r="CJ24" s="63" t="s">
        <v>0</v>
      </c>
      <c r="CK24" s="25" t="s">
        <v>0</v>
      </c>
      <c r="CL24" s="6" t="s">
        <v>0</v>
      </c>
      <c r="CM24" s="6" t="s">
        <v>0</v>
      </c>
      <c r="CN24" s="6" t="s">
        <v>0</v>
      </c>
      <c r="CO24" s="6" t="s">
        <v>0</v>
      </c>
      <c r="CP24" s="6" t="s">
        <v>0</v>
      </c>
      <c r="CQ24" s="6" t="s">
        <v>0</v>
      </c>
      <c r="CR24" s="11" t="s">
        <v>0</v>
      </c>
      <c r="CS24" s="6" t="s">
        <v>0</v>
      </c>
      <c r="CT24" s="11" t="s">
        <v>0</v>
      </c>
      <c r="CU24" s="25" t="s">
        <v>0</v>
      </c>
      <c r="CV24" s="25" t="s">
        <v>0</v>
      </c>
      <c r="CW24" s="119" t="s">
        <v>0</v>
      </c>
      <c r="CX24" s="27" t="s">
        <v>0</v>
      </c>
      <c r="CY24" s="27" t="s">
        <v>0</v>
      </c>
      <c r="CZ24" s="27" t="s">
        <v>0</v>
      </c>
      <c r="DA24" s="27" t="s">
        <v>0</v>
      </c>
      <c r="DB24" s="27" t="s">
        <v>0</v>
      </c>
      <c r="DC24" s="27" t="s">
        <v>0</v>
      </c>
      <c r="DD24" s="148" t="s">
        <v>0</v>
      </c>
      <c r="DE24" s="13" t="s">
        <v>0</v>
      </c>
      <c r="DF24" s="168" t="s">
        <v>0</v>
      </c>
      <c r="DG24" s="27" t="s">
        <v>0</v>
      </c>
      <c r="DH24" s="36" t="s">
        <v>0</v>
      </c>
      <c r="DI24" s="177" t="s">
        <v>0</v>
      </c>
    </row>
    <row r="25" spans="1:113" ht="16">
      <c r="A25" s="13" t="s">
        <v>923</v>
      </c>
      <c r="B25" s="47" t="s">
        <v>768</v>
      </c>
      <c r="C25" s="7" t="s">
        <v>92</v>
      </c>
      <c r="D25" s="82">
        <v>44458</v>
      </c>
      <c r="E25" s="82">
        <v>44468</v>
      </c>
      <c r="F25" s="7" t="s">
        <v>109</v>
      </c>
      <c r="G25" s="7" t="s">
        <v>661</v>
      </c>
      <c r="H25" s="7" t="s">
        <v>597</v>
      </c>
      <c r="I25" s="41">
        <v>89598.86</v>
      </c>
      <c r="J25" s="18" t="s">
        <v>431</v>
      </c>
      <c r="K25" s="9" t="s">
        <v>0</v>
      </c>
      <c r="L25" s="9" t="s">
        <v>0</v>
      </c>
      <c r="M25" s="9">
        <v>5007</v>
      </c>
      <c r="N25" s="9">
        <f t="shared" si="8"/>
        <v>5007</v>
      </c>
      <c r="O25" s="11" t="s">
        <v>249</v>
      </c>
      <c r="P25" s="50" t="s">
        <v>0</v>
      </c>
      <c r="Q25" s="6" t="s">
        <v>0</v>
      </c>
      <c r="R25" s="6" t="s">
        <v>0</v>
      </c>
      <c r="S25" s="6" t="s">
        <v>0</v>
      </c>
      <c r="T25" s="6" t="s">
        <v>0</v>
      </c>
      <c r="U25" s="6" t="s">
        <v>0</v>
      </c>
      <c r="V25" s="6" t="s">
        <v>0</v>
      </c>
      <c r="W25" s="6" t="s">
        <v>0</v>
      </c>
      <c r="X25" s="6" t="s">
        <v>0</v>
      </c>
      <c r="Y25" s="9" t="s">
        <v>0</v>
      </c>
      <c r="Z25" s="6" t="s">
        <v>96</v>
      </c>
      <c r="AA25" s="80" t="s">
        <v>0</v>
      </c>
      <c r="AB25" s="67" t="s">
        <v>0</v>
      </c>
      <c r="AC25" s="67" t="s">
        <v>0</v>
      </c>
      <c r="AD25" s="61">
        <f t="shared" si="1"/>
        <v>0</v>
      </c>
      <c r="AE25" s="25" t="s">
        <v>0</v>
      </c>
      <c r="AF25" t="s">
        <v>0</v>
      </c>
      <c r="AG25" s="7" t="s">
        <v>465</v>
      </c>
      <c r="AH25" s="25" t="s">
        <v>0</v>
      </c>
      <c r="AI25" s="119" t="s">
        <v>0</v>
      </c>
      <c r="AJ25" s="50" t="s">
        <v>305</v>
      </c>
      <c r="AK25" s="7" t="s">
        <v>73</v>
      </c>
      <c r="AL25" s="6" t="s">
        <v>0</v>
      </c>
      <c r="AM25" s="7" t="s">
        <v>166</v>
      </c>
      <c r="AN25" s="7" t="s">
        <v>124</v>
      </c>
      <c r="AO25" s="13" t="s">
        <v>305</v>
      </c>
      <c r="AP25" s="68" t="s">
        <v>0</v>
      </c>
      <c r="AQ25" s="68" t="s">
        <v>0</v>
      </c>
      <c r="AR25" s="68">
        <v>17140</v>
      </c>
      <c r="AS25" s="9" t="s">
        <v>0</v>
      </c>
      <c r="AT25" s="9">
        <v>11154</v>
      </c>
      <c r="AU25" s="7" t="s">
        <v>73</v>
      </c>
      <c r="AV25" s="7" t="s">
        <v>73</v>
      </c>
      <c r="AW25" s="5" t="s">
        <v>0</v>
      </c>
      <c r="AX25" s="119" t="s">
        <v>0</v>
      </c>
      <c r="AY25" s="9" t="s">
        <v>0</v>
      </c>
      <c r="AZ25" s="9" t="s">
        <v>0</v>
      </c>
      <c r="BA25" s="9" t="s">
        <v>0</v>
      </c>
      <c r="BB25" s="9" t="s">
        <v>0</v>
      </c>
      <c r="BC25" s="20" t="s">
        <v>0</v>
      </c>
      <c r="BD25" s="50" t="s">
        <v>0</v>
      </c>
      <c r="BE25" s="5" t="s">
        <v>0</v>
      </c>
      <c r="BF25" s="9">
        <f t="shared" si="2"/>
        <v>0</v>
      </c>
      <c r="BG25" s="9" t="s">
        <v>0</v>
      </c>
      <c r="BH25" s="9" t="s">
        <v>0</v>
      </c>
      <c r="BI25" s="9" t="s">
        <v>0</v>
      </c>
      <c r="BJ25" s="9" t="s">
        <v>0</v>
      </c>
      <c r="BK25" s="56" t="str">
        <f t="shared" si="3"/>
        <v>#</v>
      </c>
      <c r="BL25" s="9">
        <f t="shared" si="9"/>
        <v>0</v>
      </c>
      <c r="BM25" s="9" t="s">
        <v>0</v>
      </c>
      <c r="BN25" s="9" t="s">
        <v>0</v>
      </c>
      <c r="BO25" s="9" t="s">
        <v>0</v>
      </c>
      <c r="BP25" s="20" t="s">
        <v>0</v>
      </c>
      <c r="BQ25" s="71" t="s">
        <v>0</v>
      </c>
      <c r="BR25" s="5" t="s">
        <v>0</v>
      </c>
      <c r="BS25" s="9">
        <f t="shared" si="7"/>
        <v>0</v>
      </c>
      <c r="BT25" s="9" t="s">
        <v>0</v>
      </c>
      <c r="BU25" s="9" t="s">
        <v>0</v>
      </c>
      <c r="BV25" s="9" t="s">
        <v>0</v>
      </c>
      <c r="BW25" s="9" t="s">
        <v>0</v>
      </c>
      <c r="BX25" s="20" t="str">
        <f t="shared" si="5"/>
        <v>#</v>
      </c>
      <c r="BY25" s="5" t="s">
        <v>0</v>
      </c>
      <c r="BZ25" s="5" t="s">
        <v>0</v>
      </c>
      <c r="CA25" s="5" t="s">
        <v>0</v>
      </c>
      <c r="CB25" s="5" t="s">
        <v>0</v>
      </c>
      <c r="CC25" s="5" t="s">
        <v>0</v>
      </c>
      <c r="CD25" s="11" t="s">
        <v>0</v>
      </c>
      <c r="CE25" s="149" t="s">
        <v>0</v>
      </c>
      <c r="CF25" s="149" t="s">
        <v>0</v>
      </c>
      <c r="CG25" s="149" t="s">
        <v>0</v>
      </c>
      <c r="CH25" s="63" t="s">
        <v>0</v>
      </c>
      <c r="CI25" s="64" t="s">
        <v>0</v>
      </c>
      <c r="CJ25" s="63" t="s">
        <v>0</v>
      </c>
      <c r="CK25" s="25" t="s">
        <v>0</v>
      </c>
      <c r="CL25" s="6" t="s">
        <v>0</v>
      </c>
      <c r="CM25" s="6" t="s">
        <v>0</v>
      </c>
      <c r="CN25" s="6" t="s">
        <v>0</v>
      </c>
      <c r="CO25" s="6" t="s">
        <v>0</v>
      </c>
      <c r="CP25" s="6" t="s">
        <v>0</v>
      </c>
      <c r="CQ25" s="6" t="s">
        <v>0</v>
      </c>
      <c r="CR25" s="11" t="s">
        <v>0</v>
      </c>
      <c r="CS25" s="6" t="s">
        <v>0</v>
      </c>
      <c r="CT25" s="11" t="s">
        <v>0</v>
      </c>
      <c r="CU25" s="25" t="s">
        <v>0</v>
      </c>
      <c r="CV25" s="25" t="s">
        <v>0</v>
      </c>
      <c r="CW25" s="119" t="s">
        <v>0</v>
      </c>
      <c r="CX25" s="27" t="s">
        <v>0</v>
      </c>
      <c r="CY25" s="27" t="s">
        <v>0</v>
      </c>
      <c r="CZ25" s="27" t="s">
        <v>0</v>
      </c>
      <c r="DA25" s="27" t="s">
        <v>0</v>
      </c>
      <c r="DB25" s="27" t="s">
        <v>0</v>
      </c>
      <c r="DC25" s="27" t="s">
        <v>0</v>
      </c>
      <c r="DD25" s="148" t="s">
        <v>0</v>
      </c>
      <c r="DE25" s="13" t="s">
        <v>0</v>
      </c>
      <c r="DF25" s="168" t="s">
        <v>0</v>
      </c>
      <c r="DG25" s="27" t="s">
        <v>0</v>
      </c>
      <c r="DH25" s="36" t="s">
        <v>0</v>
      </c>
      <c r="DI25" s="177" t="s">
        <v>0</v>
      </c>
    </row>
    <row r="26" spans="1:113" ht="16">
      <c r="A26" s="13" t="s">
        <v>924</v>
      </c>
      <c r="B26" s="47" t="s">
        <v>768</v>
      </c>
      <c r="C26" s="7" t="s">
        <v>92</v>
      </c>
      <c r="D26" s="82">
        <v>44487</v>
      </c>
      <c r="E26" s="82">
        <v>44520</v>
      </c>
      <c r="F26" s="7" t="s">
        <v>109</v>
      </c>
      <c r="G26" s="7" t="s">
        <v>662</v>
      </c>
      <c r="H26" s="7" t="s">
        <v>104</v>
      </c>
      <c r="I26" s="41">
        <v>89598.86</v>
      </c>
      <c r="J26" s="18" t="s">
        <v>431</v>
      </c>
      <c r="K26" s="9" t="s">
        <v>0</v>
      </c>
      <c r="L26" s="9" t="s">
        <v>0</v>
      </c>
      <c r="M26" s="9">
        <v>1856</v>
      </c>
      <c r="N26" s="9">
        <f t="shared" si="8"/>
        <v>1856</v>
      </c>
      <c r="O26" s="11" t="s">
        <v>249</v>
      </c>
      <c r="P26" s="50" t="s">
        <v>0</v>
      </c>
      <c r="Q26" s="6" t="s">
        <v>0</v>
      </c>
      <c r="R26" s="6" t="s">
        <v>0</v>
      </c>
      <c r="S26" s="6" t="s">
        <v>0</v>
      </c>
      <c r="T26" s="6" t="s">
        <v>0</v>
      </c>
      <c r="U26" s="6" t="s">
        <v>0</v>
      </c>
      <c r="V26" s="6" t="s">
        <v>0</v>
      </c>
      <c r="W26" s="6" t="s">
        <v>0</v>
      </c>
      <c r="X26" s="6" t="s">
        <v>0</v>
      </c>
      <c r="Y26" s="9" t="s">
        <v>0</v>
      </c>
      <c r="Z26" s="6" t="s">
        <v>96</v>
      </c>
      <c r="AA26" s="80" t="s">
        <v>0</v>
      </c>
      <c r="AB26" s="67" t="s">
        <v>0</v>
      </c>
      <c r="AC26" s="67" t="s">
        <v>0</v>
      </c>
      <c r="AD26" s="61">
        <f t="shared" si="1"/>
        <v>0</v>
      </c>
      <c r="AE26" s="25" t="s">
        <v>0</v>
      </c>
      <c r="AF26" t="s">
        <v>0</v>
      </c>
      <c r="AG26" s="7" t="s">
        <v>465</v>
      </c>
      <c r="AH26" s="25" t="s">
        <v>0</v>
      </c>
      <c r="AI26" s="119" t="s">
        <v>0</v>
      </c>
      <c r="AJ26" s="50" t="s">
        <v>305</v>
      </c>
      <c r="AK26" s="7" t="s">
        <v>73</v>
      </c>
      <c r="AL26" s="6" t="s">
        <v>0</v>
      </c>
      <c r="AM26" s="7" t="s">
        <v>166</v>
      </c>
      <c r="AN26" s="7" t="s">
        <v>124</v>
      </c>
      <c r="AO26" s="13" t="s">
        <v>305</v>
      </c>
      <c r="AP26" s="68" t="s">
        <v>0</v>
      </c>
      <c r="AQ26" s="68" t="s">
        <v>0</v>
      </c>
      <c r="AR26" s="68">
        <v>5724</v>
      </c>
      <c r="AS26" s="9" t="s">
        <v>0</v>
      </c>
      <c r="AT26" s="9">
        <v>5199</v>
      </c>
      <c r="AU26" s="7" t="s">
        <v>73</v>
      </c>
      <c r="AV26" s="7" t="s">
        <v>73</v>
      </c>
      <c r="AW26" s="5" t="s">
        <v>0</v>
      </c>
      <c r="AX26" s="119" t="s">
        <v>0</v>
      </c>
      <c r="AY26" s="9" t="s">
        <v>0</v>
      </c>
      <c r="AZ26" s="9" t="s">
        <v>0</v>
      </c>
      <c r="BA26" s="9" t="s">
        <v>0</v>
      </c>
      <c r="BB26" s="9" t="s">
        <v>0</v>
      </c>
      <c r="BC26" s="20" t="s">
        <v>0</v>
      </c>
      <c r="BD26" s="50" t="s">
        <v>0</v>
      </c>
      <c r="BE26" s="5" t="s">
        <v>0</v>
      </c>
      <c r="BF26" s="9">
        <f t="shared" si="2"/>
        <v>0</v>
      </c>
      <c r="BG26" s="9" t="s">
        <v>0</v>
      </c>
      <c r="BH26" s="9" t="s">
        <v>0</v>
      </c>
      <c r="BI26" s="9" t="s">
        <v>0</v>
      </c>
      <c r="BJ26" s="9" t="s">
        <v>0</v>
      </c>
      <c r="BK26" s="56" t="str">
        <f t="shared" si="3"/>
        <v>#</v>
      </c>
      <c r="BL26" s="9">
        <f t="shared" si="9"/>
        <v>0</v>
      </c>
      <c r="BM26" s="9" t="s">
        <v>0</v>
      </c>
      <c r="BN26" s="9" t="s">
        <v>0</v>
      </c>
      <c r="BO26" s="9" t="s">
        <v>0</v>
      </c>
      <c r="BP26" s="20" t="s">
        <v>0</v>
      </c>
      <c r="BQ26" s="71" t="s">
        <v>0</v>
      </c>
      <c r="BR26" s="5" t="s">
        <v>0</v>
      </c>
      <c r="BS26" s="9">
        <f t="shared" si="7"/>
        <v>0</v>
      </c>
      <c r="BT26" s="9" t="s">
        <v>0</v>
      </c>
      <c r="BU26" s="9" t="s">
        <v>0</v>
      </c>
      <c r="BV26" s="9" t="s">
        <v>0</v>
      </c>
      <c r="BW26" s="9" t="s">
        <v>0</v>
      </c>
      <c r="BX26" s="20" t="str">
        <f t="shared" si="5"/>
        <v>#</v>
      </c>
      <c r="BY26" s="5" t="s">
        <v>0</v>
      </c>
      <c r="BZ26" s="5" t="s">
        <v>0</v>
      </c>
      <c r="CA26" s="5" t="s">
        <v>0</v>
      </c>
      <c r="CB26" s="5" t="s">
        <v>0</v>
      </c>
      <c r="CC26" s="5" t="s">
        <v>0</v>
      </c>
      <c r="CD26" s="11" t="s">
        <v>0</v>
      </c>
      <c r="CE26" s="149" t="s">
        <v>0</v>
      </c>
      <c r="CF26" s="149" t="s">
        <v>0</v>
      </c>
      <c r="CG26" s="149" t="s">
        <v>0</v>
      </c>
      <c r="CH26" s="63" t="s">
        <v>0</v>
      </c>
      <c r="CI26" s="64" t="s">
        <v>0</v>
      </c>
      <c r="CJ26" s="63" t="s">
        <v>0</v>
      </c>
      <c r="CK26" s="25" t="s">
        <v>0</v>
      </c>
      <c r="CL26" s="6" t="s">
        <v>0</v>
      </c>
      <c r="CM26" s="6" t="s">
        <v>0</v>
      </c>
      <c r="CN26" s="6" t="s">
        <v>0</v>
      </c>
      <c r="CO26" s="6" t="s">
        <v>0</v>
      </c>
      <c r="CP26" s="6" t="s">
        <v>0</v>
      </c>
      <c r="CQ26" s="6" t="s">
        <v>0</v>
      </c>
      <c r="CR26" s="11" t="s">
        <v>0</v>
      </c>
      <c r="CS26" s="6" t="s">
        <v>0</v>
      </c>
      <c r="CT26" s="11" t="s">
        <v>0</v>
      </c>
      <c r="CU26" s="25" t="s">
        <v>0</v>
      </c>
      <c r="CV26" s="25" t="s">
        <v>0</v>
      </c>
      <c r="CW26" s="119" t="s">
        <v>0</v>
      </c>
      <c r="CX26" s="27" t="s">
        <v>0</v>
      </c>
      <c r="CY26" s="27" t="s">
        <v>0</v>
      </c>
      <c r="CZ26" s="27" t="s">
        <v>0</v>
      </c>
      <c r="DA26" s="27" t="s">
        <v>0</v>
      </c>
      <c r="DB26" s="27" t="s">
        <v>0</v>
      </c>
      <c r="DC26" s="27" t="s">
        <v>0</v>
      </c>
      <c r="DD26" s="148" t="s">
        <v>0</v>
      </c>
      <c r="DE26" s="13" t="s">
        <v>0</v>
      </c>
      <c r="DF26" s="168" t="s">
        <v>0</v>
      </c>
      <c r="DG26" s="27" t="s">
        <v>0</v>
      </c>
      <c r="DH26" s="36" t="s">
        <v>0</v>
      </c>
      <c r="DI26" s="177" t="s">
        <v>0</v>
      </c>
    </row>
    <row r="27" spans="1:113" ht="16">
      <c r="A27" s="13" t="s">
        <v>925</v>
      </c>
      <c r="B27" s="47" t="s">
        <v>768</v>
      </c>
      <c r="C27" s="7" t="s">
        <v>92</v>
      </c>
      <c r="D27" s="82">
        <v>44480</v>
      </c>
      <c r="E27" s="82">
        <v>44513</v>
      </c>
      <c r="F27" s="7" t="s">
        <v>109</v>
      </c>
      <c r="G27" s="7" t="s">
        <v>663</v>
      </c>
      <c r="H27" s="7" t="s">
        <v>104</v>
      </c>
      <c r="I27" s="41">
        <v>89598.86</v>
      </c>
      <c r="J27" s="18" t="s">
        <v>431</v>
      </c>
      <c r="K27" s="9" t="s">
        <v>0</v>
      </c>
      <c r="L27" s="9" t="s">
        <v>0</v>
      </c>
      <c r="M27" s="9">
        <v>954</v>
      </c>
      <c r="N27" s="9">
        <f t="shared" si="8"/>
        <v>954</v>
      </c>
      <c r="O27" s="11" t="s">
        <v>249</v>
      </c>
      <c r="P27" s="50" t="s">
        <v>0</v>
      </c>
      <c r="Q27" s="6" t="s">
        <v>0</v>
      </c>
      <c r="R27" s="6" t="s">
        <v>0</v>
      </c>
      <c r="S27" s="6" t="s">
        <v>0</v>
      </c>
      <c r="T27" s="6" t="s">
        <v>0</v>
      </c>
      <c r="U27" s="6" t="s">
        <v>0</v>
      </c>
      <c r="V27" s="6" t="s">
        <v>0</v>
      </c>
      <c r="W27" s="6" t="s">
        <v>0</v>
      </c>
      <c r="X27" s="6" t="s">
        <v>0</v>
      </c>
      <c r="Y27" s="9" t="s">
        <v>0</v>
      </c>
      <c r="Z27" s="6" t="s">
        <v>96</v>
      </c>
      <c r="AA27" s="80" t="s">
        <v>0</v>
      </c>
      <c r="AB27" s="67" t="s">
        <v>0</v>
      </c>
      <c r="AC27" s="67" t="s">
        <v>0</v>
      </c>
      <c r="AD27" s="61">
        <f t="shared" si="1"/>
        <v>0</v>
      </c>
      <c r="AE27" s="25" t="s">
        <v>0</v>
      </c>
      <c r="AF27" t="s">
        <v>0</v>
      </c>
      <c r="AG27" s="7" t="s">
        <v>465</v>
      </c>
      <c r="AH27" s="25" t="s">
        <v>0</v>
      </c>
      <c r="AI27" s="119" t="s">
        <v>0</v>
      </c>
      <c r="AJ27" s="50" t="s">
        <v>305</v>
      </c>
      <c r="AK27" s="7" t="s">
        <v>73</v>
      </c>
      <c r="AL27" s="6" t="s">
        <v>0</v>
      </c>
      <c r="AM27" s="7" t="s">
        <v>166</v>
      </c>
      <c r="AN27" s="7" t="s">
        <v>124</v>
      </c>
      <c r="AO27" s="13" t="s">
        <v>305</v>
      </c>
      <c r="AP27" s="68" t="s">
        <v>0</v>
      </c>
      <c r="AQ27" s="68" t="s">
        <v>0</v>
      </c>
      <c r="AR27" s="68">
        <v>2918</v>
      </c>
      <c r="AS27" s="9" t="s">
        <v>0</v>
      </c>
      <c r="AT27" s="9">
        <v>2626</v>
      </c>
      <c r="AU27" s="7" t="s">
        <v>73</v>
      </c>
      <c r="AV27" s="7" t="s">
        <v>73</v>
      </c>
      <c r="AW27" s="5" t="s">
        <v>0</v>
      </c>
      <c r="AX27" s="119" t="s">
        <v>0</v>
      </c>
      <c r="AY27" s="9" t="s">
        <v>0</v>
      </c>
      <c r="AZ27" s="9" t="s">
        <v>0</v>
      </c>
      <c r="BA27" s="9" t="s">
        <v>0</v>
      </c>
      <c r="BB27" s="9" t="s">
        <v>0</v>
      </c>
      <c r="BC27" s="20" t="s">
        <v>0</v>
      </c>
      <c r="BD27" s="50" t="s">
        <v>0</v>
      </c>
      <c r="BE27" s="5" t="s">
        <v>0</v>
      </c>
      <c r="BF27" s="9">
        <f t="shared" si="2"/>
        <v>0</v>
      </c>
      <c r="BG27" s="9" t="s">
        <v>0</v>
      </c>
      <c r="BH27" s="9" t="s">
        <v>0</v>
      </c>
      <c r="BI27" s="9" t="s">
        <v>0</v>
      </c>
      <c r="BJ27" s="9" t="s">
        <v>0</v>
      </c>
      <c r="BK27" s="56" t="str">
        <f t="shared" si="3"/>
        <v>#</v>
      </c>
      <c r="BL27" s="9">
        <f t="shared" si="9"/>
        <v>0</v>
      </c>
      <c r="BM27" s="9" t="s">
        <v>0</v>
      </c>
      <c r="BN27" s="9" t="s">
        <v>0</v>
      </c>
      <c r="BO27" s="9" t="s">
        <v>0</v>
      </c>
      <c r="BP27" s="20" t="s">
        <v>0</v>
      </c>
      <c r="BQ27" s="71" t="s">
        <v>0</v>
      </c>
      <c r="BR27" s="5" t="s">
        <v>0</v>
      </c>
      <c r="BS27" s="9">
        <f t="shared" si="7"/>
        <v>0</v>
      </c>
      <c r="BT27" s="9" t="s">
        <v>0</v>
      </c>
      <c r="BU27" s="9" t="s">
        <v>0</v>
      </c>
      <c r="BV27" s="9" t="s">
        <v>0</v>
      </c>
      <c r="BW27" s="9" t="s">
        <v>0</v>
      </c>
      <c r="BX27" s="20" t="str">
        <f t="shared" si="5"/>
        <v>#</v>
      </c>
      <c r="BY27" s="5" t="s">
        <v>0</v>
      </c>
      <c r="BZ27" s="5" t="s">
        <v>0</v>
      </c>
      <c r="CA27" s="5" t="s">
        <v>0</v>
      </c>
      <c r="CB27" s="5" t="s">
        <v>0</v>
      </c>
      <c r="CC27" s="5" t="s">
        <v>0</v>
      </c>
      <c r="CD27" s="11" t="s">
        <v>0</v>
      </c>
      <c r="CE27" s="149" t="s">
        <v>0</v>
      </c>
      <c r="CF27" s="149" t="s">
        <v>0</v>
      </c>
      <c r="CG27" s="149" t="s">
        <v>0</v>
      </c>
      <c r="CH27" s="63" t="s">
        <v>0</v>
      </c>
      <c r="CI27" s="64" t="s">
        <v>0</v>
      </c>
      <c r="CJ27" s="63" t="s">
        <v>0</v>
      </c>
      <c r="CK27" s="25" t="s">
        <v>0</v>
      </c>
      <c r="CL27" s="6" t="s">
        <v>0</v>
      </c>
      <c r="CM27" s="6" t="s">
        <v>0</v>
      </c>
      <c r="CN27" s="6" t="s">
        <v>0</v>
      </c>
      <c r="CO27" s="6" t="s">
        <v>0</v>
      </c>
      <c r="CP27" s="6" t="s">
        <v>0</v>
      </c>
      <c r="CQ27" s="6" t="s">
        <v>0</v>
      </c>
      <c r="CR27" s="11" t="s">
        <v>0</v>
      </c>
      <c r="CS27" s="6" t="s">
        <v>0</v>
      </c>
      <c r="CT27" s="11" t="s">
        <v>0</v>
      </c>
      <c r="CU27" s="25" t="s">
        <v>0</v>
      </c>
      <c r="CV27" s="25" t="s">
        <v>0</v>
      </c>
      <c r="CW27" s="119" t="s">
        <v>0</v>
      </c>
      <c r="CX27" s="27" t="s">
        <v>0</v>
      </c>
      <c r="CY27" s="27" t="s">
        <v>0</v>
      </c>
      <c r="CZ27" s="27" t="s">
        <v>0</v>
      </c>
      <c r="DA27" s="27" t="s">
        <v>0</v>
      </c>
      <c r="DB27" s="27" t="s">
        <v>0</v>
      </c>
      <c r="DC27" s="27" t="s">
        <v>0</v>
      </c>
      <c r="DD27" s="148" t="s">
        <v>0</v>
      </c>
      <c r="DE27" s="13" t="s">
        <v>0</v>
      </c>
      <c r="DF27" s="168" t="s">
        <v>0</v>
      </c>
      <c r="DG27" s="27" t="s">
        <v>0</v>
      </c>
      <c r="DH27" s="36" t="s">
        <v>0</v>
      </c>
      <c r="DI27" s="177" t="s">
        <v>0</v>
      </c>
    </row>
    <row r="28" spans="1:113" s="13" customFormat="1" ht="16">
      <c r="A28" s="13" t="s">
        <v>926</v>
      </c>
      <c r="B28" s="21" t="s">
        <v>781</v>
      </c>
      <c r="C28" s="13" t="s">
        <v>92</v>
      </c>
      <c r="D28" s="83">
        <v>44133</v>
      </c>
      <c r="E28" s="83">
        <v>44214</v>
      </c>
      <c r="F28" s="13" t="s">
        <v>93</v>
      </c>
      <c r="G28" s="13" t="s">
        <v>611</v>
      </c>
      <c r="H28" s="14" t="s">
        <v>104</v>
      </c>
      <c r="I28" s="45">
        <v>56660.868000000002</v>
      </c>
      <c r="J28" s="46" t="s">
        <v>1</v>
      </c>
      <c r="K28" s="9">
        <v>2132</v>
      </c>
      <c r="L28" s="9">
        <v>664</v>
      </c>
      <c r="M28" s="9">
        <v>551</v>
      </c>
      <c r="N28" s="9">
        <f t="shared" si="8"/>
        <v>2132</v>
      </c>
      <c r="O28" s="180" t="s">
        <v>242</v>
      </c>
      <c r="P28" s="48">
        <v>29.3</v>
      </c>
      <c r="Q28" s="14">
        <v>10.7</v>
      </c>
      <c r="R28" s="14" t="s">
        <v>0</v>
      </c>
      <c r="S28" s="14" t="s">
        <v>0</v>
      </c>
      <c r="T28" s="14" t="s">
        <v>0</v>
      </c>
      <c r="U28" s="14" t="s">
        <v>0</v>
      </c>
      <c r="V28" s="14" t="s">
        <v>0</v>
      </c>
      <c r="W28" s="14" t="s">
        <v>0</v>
      </c>
      <c r="X28" s="14">
        <v>244</v>
      </c>
      <c r="Y28" s="9" t="s">
        <v>0</v>
      </c>
      <c r="Z28" s="14" t="s">
        <v>572</v>
      </c>
      <c r="AA28" s="78">
        <v>17</v>
      </c>
      <c r="AB28" s="61">
        <v>534</v>
      </c>
      <c r="AC28" s="61">
        <v>0</v>
      </c>
      <c r="AD28" s="61">
        <f t="shared" si="1"/>
        <v>0</v>
      </c>
      <c r="AE28" s="14" t="s">
        <v>0</v>
      </c>
      <c r="AF28" s="13" t="s">
        <v>0</v>
      </c>
      <c r="AG28" s="13" t="s">
        <v>465</v>
      </c>
      <c r="AH28" s="14" t="s">
        <v>0</v>
      </c>
      <c r="AI28" s="16" t="s">
        <v>0</v>
      </c>
      <c r="AJ28" s="50" t="s">
        <v>121</v>
      </c>
      <c r="AK28" s="5" t="s">
        <v>73</v>
      </c>
      <c r="AL28" s="6" t="s">
        <v>0</v>
      </c>
      <c r="AM28" s="5" t="s">
        <v>127</v>
      </c>
      <c r="AN28" s="5" t="s">
        <v>961</v>
      </c>
      <c r="AO28" s="14" t="s">
        <v>565</v>
      </c>
      <c r="AP28" s="61" t="s">
        <v>305</v>
      </c>
      <c r="AQ28" s="9" t="s">
        <v>0</v>
      </c>
      <c r="AR28" s="9" t="s">
        <v>0</v>
      </c>
      <c r="AS28" s="9" t="s">
        <v>0</v>
      </c>
      <c r="AT28" s="9">
        <v>2731</v>
      </c>
      <c r="AU28" s="5" t="s">
        <v>73</v>
      </c>
      <c r="AV28" s="5" t="s">
        <v>1</v>
      </c>
      <c r="AW28" s="5" t="s">
        <v>128</v>
      </c>
      <c r="AX28" s="11" t="s">
        <v>305</v>
      </c>
      <c r="AY28" s="9">
        <f>SUM(AZ28:BC28)</f>
        <v>2731</v>
      </c>
      <c r="AZ28" s="9">
        <v>9</v>
      </c>
      <c r="BA28" s="9">
        <v>2711</v>
      </c>
      <c r="BB28" s="9">
        <v>8</v>
      </c>
      <c r="BC28" s="56">
        <v>3</v>
      </c>
      <c r="BD28" s="50" t="s">
        <v>0</v>
      </c>
      <c r="BE28" s="6" t="s">
        <v>0</v>
      </c>
      <c r="BF28" s="9">
        <f t="shared" si="2"/>
        <v>0</v>
      </c>
      <c r="BG28" s="9" t="s">
        <v>0</v>
      </c>
      <c r="BH28" s="9" t="s">
        <v>0</v>
      </c>
      <c r="BI28" s="9" t="s">
        <v>0</v>
      </c>
      <c r="BJ28" s="9" t="s">
        <v>0</v>
      </c>
      <c r="BK28" s="56" t="str">
        <f t="shared" si="3"/>
        <v>#</v>
      </c>
      <c r="BL28" s="9">
        <f t="shared" si="9"/>
        <v>8</v>
      </c>
      <c r="BM28" s="9">
        <v>8</v>
      </c>
      <c r="BN28" s="9" t="s">
        <v>0</v>
      </c>
      <c r="BO28" s="9" t="s">
        <v>0</v>
      </c>
      <c r="BP28" s="20" t="s">
        <v>0</v>
      </c>
      <c r="BQ28" s="72" t="s">
        <v>0</v>
      </c>
      <c r="BR28" s="5" t="s">
        <v>0</v>
      </c>
      <c r="BS28" s="9">
        <f t="shared" si="7"/>
        <v>10</v>
      </c>
      <c r="BT28" s="9">
        <v>3</v>
      </c>
      <c r="BU28" s="9">
        <v>5</v>
      </c>
      <c r="BV28" s="9" t="s">
        <v>0</v>
      </c>
      <c r="BW28" s="9">
        <v>2</v>
      </c>
      <c r="BX28" s="20">
        <f t="shared" si="5"/>
        <v>8</v>
      </c>
      <c r="BY28" s="6" t="s">
        <v>158</v>
      </c>
      <c r="BZ28" s="5" t="s">
        <v>0</v>
      </c>
      <c r="CA28" s="6" t="s">
        <v>184</v>
      </c>
      <c r="CB28" s="6" t="s">
        <v>185</v>
      </c>
      <c r="CC28" s="6" t="s">
        <v>408</v>
      </c>
      <c r="CD28" s="11" t="s">
        <v>186</v>
      </c>
      <c r="CE28" s="149" t="s">
        <v>0</v>
      </c>
      <c r="CF28" s="149" t="s">
        <v>0</v>
      </c>
      <c r="CG28" s="149" t="s">
        <v>0</v>
      </c>
      <c r="CH28" s="63" t="s">
        <v>0</v>
      </c>
      <c r="CI28" s="121" t="s">
        <v>0</v>
      </c>
      <c r="CJ28" s="122" t="s">
        <v>0</v>
      </c>
      <c r="CK28" s="14" t="s">
        <v>0</v>
      </c>
      <c r="CL28" s="14" t="s">
        <v>0</v>
      </c>
      <c r="CM28" s="14" t="s">
        <v>0</v>
      </c>
      <c r="CN28" s="14" t="s">
        <v>0</v>
      </c>
      <c r="CO28" s="14" t="s">
        <v>0</v>
      </c>
      <c r="CP28" s="14" t="s">
        <v>0</v>
      </c>
      <c r="CQ28" s="14" t="s">
        <v>0</v>
      </c>
      <c r="CR28" s="21" t="s">
        <v>0</v>
      </c>
      <c r="CS28" s="14" t="s">
        <v>0</v>
      </c>
      <c r="CT28" s="21" t="s">
        <v>0</v>
      </c>
      <c r="CU28" s="14" t="s">
        <v>0</v>
      </c>
      <c r="CV28" s="14" t="s">
        <v>0</v>
      </c>
      <c r="CW28" s="16" t="s">
        <v>0</v>
      </c>
      <c r="CX28" s="27" t="s">
        <v>0</v>
      </c>
      <c r="CY28" s="27" t="s">
        <v>0</v>
      </c>
      <c r="CZ28" s="27" t="s">
        <v>0</v>
      </c>
      <c r="DA28" s="27" t="s">
        <v>0</v>
      </c>
      <c r="DB28" s="27" t="s">
        <v>0</v>
      </c>
      <c r="DC28" s="27" t="s">
        <v>0</v>
      </c>
      <c r="DD28" s="148" t="s">
        <v>0</v>
      </c>
      <c r="DE28" s="13" t="s">
        <v>0</v>
      </c>
      <c r="DF28" s="168" t="s">
        <v>0</v>
      </c>
      <c r="DG28" s="27" t="s">
        <v>0</v>
      </c>
      <c r="DH28" s="36" t="s">
        <v>0</v>
      </c>
      <c r="DI28" s="177" t="s">
        <v>0</v>
      </c>
    </row>
    <row r="29" spans="1:113" s="13" customFormat="1" ht="16">
      <c r="A29" s="13" t="s">
        <v>927</v>
      </c>
      <c r="B29" s="21" t="s">
        <v>781</v>
      </c>
      <c r="C29" s="13" t="s">
        <v>92</v>
      </c>
      <c r="D29" s="83">
        <v>44133</v>
      </c>
      <c r="E29" s="83">
        <v>44214</v>
      </c>
      <c r="F29" s="13" t="s">
        <v>93</v>
      </c>
      <c r="G29" s="13" t="s">
        <v>611</v>
      </c>
      <c r="H29" s="14" t="s">
        <v>104</v>
      </c>
      <c r="I29" s="45">
        <v>56660.868000000002</v>
      </c>
      <c r="J29" s="46" t="s">
        <v>1</v>
      </c>
      <c r="K29" s="9" t="s">
        <v>0</v>
      </c>
      <c r="L29" s="9" t="s">
        <v>0</v>
      </c>
      <c r="M29" s="9">
        <v>183</v>
      </c>
      <c r="N29" s="9">
        <f t="shared" si="8"/>
        <v>183</v>
      </c>
      <c r="O29" s="180" t="s">
        <v>249</v>
      </c>
      <c r="P29" s="48">
        <v>27.5</v>
      </c>
      <c r="Q29" s="14">
        <v>10.7</v>
      </c>
      <c r="R29" s="14" t="s">
        <v>0</v>
      </c>
      <c r="S29" s="14" t="s">
        <v>0</v>
      </c>
      <c r="T29" s="14" t="s">
        <v>0</v>
      </c>
      <c r="U29" s="14" t="s">
        <v>0</v>
      </c>
      <c r="V29" s="14" t="s">
        <v>0</v>
      </c>
      <c r="W29" s="14" t="s">
        <v>0</v>
      </c>
      <c r="X29" s="14">
        <v>83</v>
      </c>
      <c r="Y29" s="9" t="s">
        <v>0</v>
      </c>
      <c r="Z29" s="14" t="s">
        <v>572</v>
      </c>
      <c r="AA29" s="78">
        <v>0</v>
      </c>
      <c r="AB29" s="61">
        <v>0</v>
      </c>
      <c r="AC29" s="61">
        <v>183</v>
      </c>
      <c r="AD29" s="61">
        <f t="shared" si="1"/>
        <v>0</v>
      </c>
      <c r="AE29" s="14" t="s">
        <v>0</v>
      </c>
      <c r="AF29" s="13" t="s">
        <v>0</v>
      </c>
      <c r="AG29" s="13" t="s">
        <v>465</v>
      </c>
      <c r="AH29" s="14" t="s">
        <v>0</v>
      </c>
      <c r="AI29" s="16" t="s">
        <v>0</v>
      </c>
      <c r="AJ29" s="50" t="s">
        <v>121</v>
      </c>
      <c r="AK29" s="5" t="s">
        <v>73</v>
      </c>
      <c r="AL29" s="6" t="s">
        <v>0</v>
      </c>
      <c r="AM29" s="5" t="s">
        <v>127</v>
      </c>
      <c r="AN29" s="5" t="s">
        <v>961</v>
      </c>
      <c r="AO29" s="14" t="s">
        <v>565</v>
      </c>
      <c r="AP29" s="61" t="s">
        <v>305</v>
      </c>
      <c r="AQ29" s="9" t="s">
        <v>0</v>
      </c>
      <c r="AR29" s="9" t="s">
        <v>0</v>
      </c>
      <c r="AS29" s="9" t="s">
        <v>0</v>
      </c>
      <c r="AT29" s="9">
        <v>459</v>
      </c>
      <c r="AU29" s="5" t="s">
        <v>73</v>
      </c>
      <c r="AV29" s="5" t="s">
        <v>1</v>
      </c>
      <c r="AW29" s="5" t="s">
        <v>128</v>
      </c>
      <c r="AX29" s="119" t="s">
        <v>0</v>
      </c>
      <c r="AY29" s="9">
        <f>SUM(AZ29:BC29)</f>
        <v>459</v>
      </c>
      <c r="AZ29" s="9">
        <v>0</v>
      </c>
      <c r="BA29" s="9">
        <v>459</v>
      </c>
      <c r="BB29" s="9">
        <v>0</v>
      </c>
      <c r="BC29" s="56">
        <v>0</v>
      </c>
      <c r="BD29" s="50" t="s">
        <v>0</v>
      </c>
      <c r="BE29" s="6" t="s">
        <v>0</v>
      </c>
      <c r="BF29" s="9">
        <f t="shared" si="2"/>
        <v>0</v>
      </c>
      <c r="BG29" s="9" t="s">
        <v>0</v>
      </c>
      <c r="BH29" s="9" t="s">
        <v>0</v>
      </c>
      <c r="BI29" s="9" t="s">
        <v>0</v>
      </c>
      <c r="BJ29" s="9" t="s">
        <v>0</v>
      </c>
      <c r="BK29" s="56" t="str">
        <f t="shared" si="3"/>
        <v>#</v>
      </c>
      <c r="BL29" s="9">
        <f t="shared" si="9"/>
        <v>183</v>
      </c>
      <c r="BM29" s="9" t="s">
        <v>0</v>
      </c>
      <c r="BN29" s="9">
        <v>183</v>
      </c>
      <c r="BO29" s="9" t="s">
        <v>0</v>
      </c>
      <c r="BP29" s="20" t="s">
        <v>0</v>
      </c>
      <c r="BQ29" s="72" t="s">
        <v>0</v>
      </c>
      <c r="BR29" s="5" t="s">
        <v>0</v>
      </c>
      <c r="BS29" s="9">
        <f t="shared" si="7"/>
        <v>0</v>
      </c>
      <c r="BT29" s="9" t="s">
        <v>0</v>
      </c>
      <c r="BU29" s="9" t="s">
        <v>0</v>
      </c>
      <c r="BV29" s="9" t="s">
        <v>0</v>
      </c>
      <c r="BW29" s="9" t="s">
        <v>0</v>
      </c>
      <c r="BX29" s="20" t="str">
        <f t="shared" si="5"/>
        <v>#</v>
      </c>
      <c r="BY29" s="6" t="s">
        <v>158</v>
      </c>
      <c r="BZ29" s="5" t="s">
        <v>0</v>
      </c>
      <c r="CA29" s="6" t="s">
        <v>184</v>
      </c>
      <c r="CB29" s="6" t="s">
        <v>185</v>
      </c>
      <c r="CC29" s="6" t="s">
        <v>408</v>
      </c>
      <c r="CD29" s="11" t="s">
        <v>186</v>
      </c>
      <c r="CE29" s="149" t="s">
        <v>0</v>
      </c>
      <c r="CF29" s="149" t="s">
        <v>0</v>
      </c>
      <c r="CG29" s="149" t="s">
        <v>0</v>
      </c>
      <c r="CH29" s="63" t="s">
        <v>0</v>
      </c>
      <c r="CI29" s="121" t="s">
        <v>0</v>
      </c>
      <c r="CJ29" s="122" t="s">
        <v>0</v>
      </c>
      <c r="CK29" s="14" t="s">
        <v>0</v>
      </c>
      <c r="CL29" s="14" t="s">
        <v>0</v>
      </c>
      <c r="CM29" s="14" t="s">
        <v>0</v>
      </c>
      <c r="CN29" s="14" t="s">
        <v>0</v>
      </c>
      <c r="CO29" s="14" t="s">
        <v>0</v>
      </c>
      <c r="CP29" s="14" t="s">
        <v>0</v>
      </c>
      <c r="CQ29" s="14" t="s">
        <v>0</v>
      </c>
      <c r="CR29" s="21" t="s">
        <v>0</v>
      </c>
      <c r="CS29" s="14" t="s">
        <v>0</v>
      </c>
      <c r="CT29" s="21" t="s">
        <v>0</v>
      </c>
      <c r="CU29" s="14" t="s">
        <v>0</v>
      </c>
      <c r="CV29" s="14" t="s">
        <v>0</v>
      </c>
      <c r="CW29" s="16" t="s">
        <v>0</v>
      </c>
      <c r="CX29" s="27" t="s">
        <v>0</v>
      </c>
      <c r="CY29" s="27" t="s">
        <v>0</v>
      </c>
      <c r="CZ29" s="27" t="s">
        <v>0</v>
      </c>
      <c r="DA29" s="27" t="s">
        <v>0</v>
      </c>
      <c r="DB29" s="27" t="s">
        <v>0</v>
      </c>
      <c r="DC29" s="27" t="s">
        <v>0</v>
      </c>
      <c r="DD29" s="148" t="s">
        <v>0</v>
      </c>
      <c r="DE29" s="13" t="s">
        <v>0</v>
      </c>
      <c r="DF29" s="168" t="s">
        <v>0</v>
      </c>
      <c r="DG29" s="27" t="s">
        <v>0</v>
      </c>
      <c r="DH29" s="36" t="s">
        <v>0</v>
      </c>
      <c r="DI29" s="177" t="s">
        <v>0</v>
      </c>
    </row>
    <row r="30" spans="1:113" s="13" customFormat="1" ht="16">
      <c r="A30" s="13" t="s">
        <v>863</v>
      </c>
      <c r="B30" s="21" t="s">
        <v>12</v>
      </c>
      <c r="C30" s="13" t="s">
        <v>92</v>
      </c>
      <c r="D30" s="83" t="s">
        <v>0</v>
      </c>
      <c r="E30" s="83" t="s">
        <v>0</v>
      </c>
      <c r="F30" s="13" t="s">
        <v>94</v>
      </c>
      <c r="G30" s="13" t="s">
        <v>612</v>
      </c>
      <c r="H30" s="10" t="s">
        <v>1</v>
      </c>
      <c r="I30" s="41">
        <v>59925.317000000003</v>
      </c>
      <c r="J30" s="15" t="s">
        <v>1</v>
      </c>
      <c r="K30" s="9" t="s">
        <v>0</v>
      </c>
      <c r="L30" s="9">
        <v>711</v>
      </c>
      <c r="M30" s="9">
        <v>635</v>
      </c>
      <c r="N30" s="9">
        <f t="shared" si="8"/>
        <v>711</v>
      </c>
      <c r="O30" s="180" t="s">
        <v>243</v>
      </c>
      <c r="P30" s="48" t="s">
        <v>0</v>
      </c>
      <c r="Q30" s="13" t="s">
        <v>0</v>
      </c>
      <c r="R30" s="13" t="s">
        <v>0</v>
      </c>
      <c r="S30" s="13" t="s">
        <v>0</v>
      </c>
      <c r="T30" s="13" t="s">
        <v>0</v>
      </c>
      <c r="U30" s="13" t="s">
        <v>0</v>
      </c>
      <c r="V30" s="13" t="s">
        <v>0</v>
      </c>
      <c r="W30" s="13" t="s">
        <v>0</v>
      </c>
      <c r="X30" s="13" t="s">
        <v>0</v>
      </c>
      <c r="Y30" s="9" t="s">
        <v>0</v>
      </c>
      <c r="Z30" s="14" t="s">
        <v>573</v>
      </c>
      <c r="AA30" s="78">
        <v>10</v>
      </c>
      <c r="AB30" s="61">
        <v>14</v>
      </c>
      <c r="AC30" s="61">
        <v>611</v>
      </c>
      <c r="AD30" s="61">
        <f t="shared" si="1"/>
        <v>0</v>
      </c>
      <c r="AE30" s="14" t="s">
        <v>0</v>
      </c>
      <c r="AF30" s="13" t="s">
        <v>0</v>
      </c>
      <c r="AG30" s="13" t="s">
        <v>465</v>
      </c>
      <c r="AH30" s="14" t="s">
        <v>95</v>
      </c>
      <c r="AI30" s="16" t="s">
        <v>0</v>
      </c>
      <c r="AJ30" s="50" t="s">
        <v>129</v>
      </c>
      <c r="AK30" s="5" t="s">
        <v>73</v>
      </c>
      <c r="AL30" s="6" t="s">
        <v>122</v>
      </c>
      <c r="AM30" s="5" t="s">
        <v>1</v>
      </c>
      <c r="AN30" s="5" t="s">
        <v>124</v>
      </c>
      <c r="AO30" s="14" t="s">
        <v>565</v>
      </c>
      <c r="AP30" s="143">
        <f>24/7</f>
        <v>3.4285714285714284</v>
      </c>
      <c r="AQ30" s="143">
        <v>7</v>
      </c>
      <c r="AR30" s="9">
        <f>AQ30*AP30*M30</f>
        <v>15240</v>
      </c>
      <c r="AS30" s="9" t="s">
        <v>0</v>
      </c>
      <c r="AT30" s="9">
        <v>11385</v>
      </c>
      <c r="AU30" s="5" t="s">
        <v>73</v>
      </c>
      <c r="AV30" s="5" t="s">
        <v>73</v>
      </c>
      <c r="AW30" s="5" t="s">
        <v>0</v>
      </c>
      <c r="AX30" s="11" t="s">
        <v>594</v>
      </c>
      <c r="AY30" s="9">
        <f>SUM(AZ30:BC30)</f>
        <v>11385</v>
      </c>
      <c r="AZ30" s="9">
        <v>21</v>
      </c>
      <c r="BA30" s="9">
        <v>11315</v>
      </c>
      <c r="BB30" s="9">
        <v>49</v>
      </c>
      <c r="BC30" s="56" t="s">
        <v>0</v>
      </c>
      <c r="BD30" s="50" t="s">
        <v>158</v>
      </c>
      <c r="BE30" s="6" t="s">
        <v>0</v>
      </c>
      <c r="BF30" s="9">
        <f t="shared" si="2"/>
        <v>21</v>
      </c>
      <c r="BG30" s="9">
        <v>5</v>
      </c>
      <c r="BH30" s="9" t="s">
        <v>0</v>
      </c>
      <c r="BI30" s="9" t="s">
        <v>0</v>
      </c>
      <c r="BJ30" s="9">
        <v>16</v>
      </c>
      <c r="BK30" s="56" t="str">
        <f t="shared" si="3"/>
        <v>#</v>
      </c>
      <c r="BL30" s="9">
        <f t="shared" si="9"/>
        <v>0</v>
      </c>
      <c r="BM30" s="9" t="s">
        <v>0</v>
      </c>
      <c r="BN30" s="9" t="s">
        <v>0</v>
      </c>
      <c r="BO30" s="9" t="s">
        <v>0</v>
      </c>
      <c r="BP30" s="20" t="s">
        <v>0</v>
      </c>
      <c r="BQ30" s="72" t="s">
        <v>158</v>
      </c>
      <c r="BR30" s="5" t="s">
        <v>0</v>
      </c>
      <c r="BS30" s="9">
        <f t="shared" si="7"/>
        <v>4</v>
      </c>
      <c r="BT30" s="9" t="s">
        <v>0</v>
      </c>
      <c r="BU30" s="9">
        <v>4</v>
      </c>
      <c r="BV30" s="9" t="s">
        <v>0</v>
      </c>
      <c r="BW30" s="9" t="s">
        <v>0</v>
      </c>
      <c r="BX30" s="20" t="str">
        <f t="shared" si="5"/>
        <v>#</v>
      </c>
      <c r="BY30" s="6" t="s">
        <v>0</v>
      </c>
      <c r="BZ30" s="5" t="s">
        <v>0</v>
      </c>
      <c r="CA30" s="6" t="s">
        <v>0</v>
      </c>
      <c r="CB30" s="6" t="s">
        <v>0</v>
      </c>
      <c r="CC30" s="6" t="s">
        <v>0</v>
      </c>
      <c r="CD30" s="11" t="s">
        <v>0</v>
      </c>
      <c r="CE30" s="149" t="s">
        <v>0</v>
      </c>
      <c r="CF30" s="149" t="s">
        <v>0</v>
      </c>
      <c r="CG30" s="149" t="s">
        <v>0</v>
      </c>
      <c r="CH30" s="63" t="s">
        <v>0</v>
      </c>
      <c r="CI30" s="121" t="s">
        <v>0</v>
      </c>
      <c r="CJ30" s="122" t="s">
        <v>0</v>
      </c>
      <c r="CK30" s="14" t="s">
        <v>217</v>
      </c>
      <c r="CL30" s="14" t="s">
        <v>0</v>
      </c>
      <c r="CM30" s="14" t="s">
        <v>0</v>
      </c>
      <c r="CN30" s="14" t="s">
        <v>0</v>
      </c>
      <c r="CO30" s="14" t="s">
        <v>0</v>
      </c>
      <c r="CP30" s="14" t="s">
        <v>0</v>
      </c>
      <c r="CQ30" s="14" t="s">
        <v>0</v>
      </c>
      <c r="CR30" s="21" t="s">
        <v>0</v>
      </c>
      <c r="CS30" s="14" t="s">
        <v>0</v>
      </c>
      <c r="CT30" s="21" t="s">
        <v>0</v>
      </c>
      <c r="CU30" s="14" t="s">
        <v>0</v>
      </c>
      <c r="CV30" s="14" t="s">
        <v>0</v>
      </c>
      <c r="CW30" s="16" t="s">
        <v>0</v>
      </c>
      <c r="CX30" s="27" t="s">
        <v>0</v>
      </c>
      <c r="CY30" s="27" t="s">
        <v>0</v>
      </c>
      <c r="CZ30" s="27" t="s">
        <v>0</v>
      </c>
      <c r="DA30" s="27" t="s">
        <v>0</v>
      </c>
      <c r="DB30" s="27" t="s">
        <v>0</v>
      </c>
      <c r="DC30" s="27" t="s">
        <v>0</v>
      </c>
      <c r="DD30" s="148" t="s">
        <v>0</v>
      </c>
      <c r="DE30" s="13" t="s">
        <v>0</v>
      </c>
      <c r="DF30" s="168" t="s">
        <v>0</v>
      </c>
      <c r="DG30" s="27" t="s">
        <v>0</v>
      </c>
      <c r="DH30" s="36" t="s">
        <v>0</v>
      </c>
      <c r="DI30" s="177" t="s">
        <v>0</v>
      </c>
    </row>
    <row r="31" spans="1:113" ht="15" customHeight="1">
      <c r="A31" s="13" t="s">
        <v>928</v>
      </c>
      <c r="B31" s="47" t="s">
        <v>750</v>
      </c>
      <c r="C31" s="7" t="s">
        <v>278</v>
      </c>
      <c r="D31" s="22">
        <v>44317</v>
      </c>
      <c r="E31" s="22">
        <v>44439</v>
      </c>
      <c r="F31" s="10" t="s">
        <v>93</v>
      </c>
      <c r="G31" s="10" t="s">
        <v>641</v>
      </c>
      <c r="H31" s="10" t="s">
        <v>1</v>
      </c>
      <c r="I31" s="45">
        <v>56660.868000000002</v>
      </c>
      <c r="J31" s="18" t="s">
        <v>1</v>
      </c>
      <c r="K31" s="9" t="s">
        <v>0</v>
      </c>
      <c r="L31" s="9" t="s">
        <v>0</v>
      </c>
      <c r="M31" s="9" t="s">
        <v>0</v>
      </c>
      <c r="N31" s="9" t="s">
        <v>0</v>
      </c>
      <c r="O31" s="63" t="s">
        <v>223</v>
      </c>
      <c r="P31" s="52" t="s">
        <v>0</v>
      </c>
      <c r="Q31" s="52" t="s">
        <v>0</v>
      </c>
      <c r="R31" s="6" t="s">
        <v>0</v>
      </c>
      <c r="S31" s="6" t="s">
        <v>0</v>
      </c>
      <c r="T31" s="6" t="s">
        <v>0</v>
      </c>
      <c r="U31" s="6" t="s">
        <v>0</v>
      </c>
      <c r="V31" s="6" t="s">
        <v>0</v>
      </c>
      <c r="W31" s="6" t="s">
        <v>0</v>
      </c>
      <c r="X31" s="6" t="s">
        <v>0</v>
      </c>
      <c r="Y31" s="9" t="s">
        <v>0</v>
      </c>
      <c r="Z31" s="6" t="s">
        <v>571</v>
      </c>
      <c r="AA31" s="79" t="s">
        <v>0</v>
      </c>
      <c r="AB31" s="79" t="s">
        <v>0</v>
      </c>
      <c r="AC31" s="68" t="s">
        <v>0</v>
      </c>
      <c r="AD31" s="61">
        <f t="shared" si="1"/>
        <v>0</v>
      </c>
      <c r="AE31" s="10" t="s">
        <v>0</v>
      </c>
      <c r="AF31" s="10" t="s">
        <v>0</v>
      </c>
      <c r="AG31" s="10" t="s">
        <v>465</v>
      </c>
      <c r="AH31" s="10" t="s">
        <v>0</v>
      </c>
      <c r="AI31" s="26" t="s">
        <v>0</v>
      </c>
      <c r="AJ31" s="6" t="s">
        <v>121</v>
      </c>
      <c r="AK31" s="7" t="s">
        <v>73</v>
      </c>
      <c r="AL31" s="6" t="s">
        <v>378</v>
      </c>
      <c r="AM31" s="7" t="s">
        <v>0</v>
      </c>
      <c r="AN31" s="7" t="s">
        <v>305</v>
      </c>
      <c r="AO31" s="10" t="s">
        <v>565</v>
      </c>
      <c r="AP31" s="68" t="s">
        <v>305</v>
      </c>
      <c r="AQ31" s="143">
        <f>ROUND(('Data extracted'!E31-'Data extracted'!D31)/7,0)</f>
        <v>17</v>
      </c>
      <c r="AR31" s="9" t="s">
        <v>0</v>
      </c>
      <c r="AS31" s="9" t="s">
        <v>0</v>
      </c>
      <c r="AT31" s="9">
        <v>115593</v>
      </c>
      <c r="AU31" s="7" t="s">
        <v>73</v>
      </c>
      <c r="AV31" s="7" t="s">
        <v>73</v>
      </c>
      <c r="AW31" s="7" t="s">
        <v>379</v>
      </c>
      <c r="AX31" s="11" t="s">
        <v>307</v>
      </c>
      <c r="AY31" s="9">
        <f>SUM(AZ31:BA31)</f>
        <v>115593</v>
      </c>
      <c r="AZ31" s="9">
        <v>229</v>
      </c>
      <c r="BA31" s="9">
        <v>115364</v>
      </c>
      <c r="BB31" s="9">
        <v>0</v>
      </c>
      <c r="BC31" s="20">
        <v>0</v>
      </c>
      <c r="BD31" s="6" t="s">
        <v>158</v>
      </c>
      <c r="BE31" s="6" t="s">
        <v>348</v>
      </c>
      <c r="BF31" s="9">
        <f t="shared" si="2"/>
        <v>115593</v>
      </c>
      <c r="BG31" s="9">
        <v>128</v>
      </c>
      <c r="BH31" s="9">
        <v>371</v>
      </c>
      <c r="BI31" s="9">
        <v>114993</v>
      </c>
      <c r="BJ31" s="9">
        <v>101</v>
      </c>
      <c r="BK31" s="56">
        <f t="shared" si="3"/>
        <v>115094</v>
      </c>
      <c r="BL31" s="9">
        <f t="shared" si="9"/>
        <v>0</v>
      </c>
      <c r="BM31" s="9" t="s">
        <v>0</v>
      </c>
      <c r="BN31" s="9" t="s">
        <v>0</v>
      </c>
      <c r="BO31" s="9" t="s">
        <v>0</v>
      </c>
      <c r="BP31" s="20" t="s">
        <v>0</v>
      </c>
      <c r="BQ31" s="50" t="s">
        <v>0</v>
      </c>
      <c r="BR31" s="6" t="s">
        <v>0</v>
      </c>
      <c r="BS31" s="9">
        <f t="shared" si="7"/>
        <v>0</v>
      </c>
      <c r="BT31" s="9" t="s">
        <v>0</v>
      </c>
      <c r="BU31" s="9" t="s">
        <v>0</v>
      </c>
      <c r="BV31" s="9" t="s">
        <v>0</v>
      </c>
      <c r="BW31" s="9" t="s">
        <v>0</v>
      </c>
      <c r="BX31" s="20" t="str">
        <f t="shared" si="5"/>
        <v>#</v>
      </c>
      <c r="BY31" s="6" t="s">
        <v>158</v>
      </c>
      <c r="BZ31" s="5" t="s">
        <v>0</v>
      </c>
      <c r="CA31" s="6" t="s">
        <v>380</v>
      </c>
      <c r="CB31" s="6" t="s">
        <v>0</v>
      </c>
      <c r="CC31" s="6" t="s">
        <v>0</v>
      </c>
      <c r="CD31" s="11" t="s">
        <v>381</v>
      </c>
      <c r="CE31" s="149" t="s">
        <v>0</v>
      </c>
      <c r="CF31" s="149" t="s">
        <v>0</v>
      </c>
      <c r="CG31" s="149" t="s">
        <v>0</v>
      </c>
      <c r="CH31" s="63" t="s">
        <v>0</v>
      </c>
      <c r="CI31" s="64" t="s">
        <v>0</v>
      </c>
      <c r="CJ31" s="63" t="s">
        <v>0</v>
      </c>
      <c r="CK31" s="6" t="s">
        <v>0</v>
      </c>
      <c r="CL31" s="6" t="s">
        <v>0</v>
      </c>
      <c r="CM31" s="6" t="s">
        <v>0</v>
      </c>
      <c r="CN31" s="6" t="s">
        <v>0</v>
      </c>
      <c r="CO31" s="6" t="s">
        <v>0</v>
      </c>
      <c r="CP31" s="6" t="s">
        <v>0</v>
      </c>
      <c r="CQ31" s="6" t="s">
        <v>0</v>
      </c>
      <c r="CR31" s="11" t="s">
        <v>0</v>
      </c>
      <c r="CS31" s="6" t="s">
        <v>0</v>
      </c>
      <c r="CT31" s="11" t="s">
        <v>0</v>
      </c>
      <c r="CU31" s="6" t="s">
        <v>0</v>
      </c>
      <c r="CV31" s="6" t="s">
        <v>0</v>
      </c>
      <c r="CW31" s="11" t="s">
        <v>0</v>
      </c>
      <c r="CX31" s="27" t="s">
        <v>0</v>
      </c>
      <c r="CY31" s="27" t="s">
        <v>0</v>
      </c>
      <c r="CZ31" s="27" t="s">
        <v>0</v>
      </c>
      <c r="DA31" s="27" t="s">
        <v>0</v>
      </c>
      <c r="DB31" s="27" t="s">
        <v>0</v>
      </c>
      <c r="DC31" s="27" t="s">
        <v>0</v>
      </c>
      <c r="DD31" s="148" t="s">
        <v>0</v>
      </c>
      <c r="DE31" s="13" t="s">
        <v>695</v>
      </c>
      <c r="DF31" s="168" t="s">
        <v>0</v>
      </c>
      <c r="DG31" s="27" t="s">
        <v>0</v>
      </c>
      <c r="DH31" s="36" t="s">
        <v>0</v>
      </c>
      <c r="DI31" s="177" t="s">
        <v>0</v>
      </c>
    </row>
    <row r="32" spans="1:113" ht="16">
      <c r="A32" s="13" t="s">
        <v>512</v>
      </c>
      <c r="B32" s="47" t="s">
        <v>751</v>
      </c>
      <c r="C32" s="7" t="s">
        <v>92</v>
      </c>
      <c r="D32" s="22">
        <v>44876</v>
      </c>
      <c r="E32" s="22">
        <v>44893</v>
      </c>
      <c r="F32" s="7" t="s">
        <v>421</v>
      </c>
      <c r="G32" s="7" t="s">
        <v>649</v>
      </c>
      <c r="H32" s="7" t="s">
        <v>104</v>
      </c>
      <c r="I32" s="42">
        <v>13806.031000000001</v>
      </c>
      <c r="J32" s="18" t="s">
        <v>1</v>
      </c>
      <c r="K32" s="9">
        <v>17655</v>
      </c>
      <c r="L32" s="9">
        <v>17655</v>
      </c>
      <c r="M32" s="9">
        <v>17655</v>
      </c>
      <c r="N32" s="9">
        <f>MAX(K32:M32)</f>
        <v>17655</v>
      </c>
      <c r="O32" s="11" t="s">
        <v>242</v>
      </c>
      <c r="P32" s="6" t="s">
        <v>0</v>
      </c>
      <c r="Q32" s="6" t="s">
        <v>0</v>
      </c>
      <c r="R32" s="6" t="s">
        <v>0</v>
      </c>
      <c r="S32" s="6" t="s">
        <v>0</v>
      </c>
      <c r="T32" s="6" t="s">
        <v>0</v>
      </c>
      <c r="U32" s="6" t="s">
        <v>0</v>
      </c>
      <c r="V32" s="6" t="s">
        <v>0</v>
      </c>
      <c r="W32" s="6" t="s">
        <v>0</v>
      </c>
      <c r="X32" s="6" t="s">
        <v>0</v>
      </c>
      <c r="Y32" s="9" t="s">
        <v>0</v>
      </c>
      <c r="Z32" s="6" t="s">
        <v>305</v>
      </c>
      <c r="AA32" s="68" t="s">
        <v>0</v>
      </c>
      <c r="AB32" s="68" t="s">
        <v>0</v>
      </c>
      <c r="AC32" s="68" t="s">
        <v>0</v>
      </c>
      <c r="AD32" s="61">
        <f t="shared" si="1"/>
        <v>0</v>
      </c>
      <c r="AE32" s="10" t="s">
        <v>0</v>
      </c>
      <c r="AF32" s="7" t="s">
        <v>0</v>
      </c>
      <c r="AG32" s="10" t="s">
        <v>465</v>
      </c>
      <c r="AH32" s="10" t="s">
        <v>0</v>
      </c>
      <c r="AI32" s="26" t="s">
        <v>0</v>
      </c>
      <c r="AJ32" s="6" t="s">
        <v>422</v>
      </c>
      <c r="AK32" s="7" t="s">
        <v>0</v>
      </c>
      <c r="AL32" s="6" t="s">
        <v>0</v>
      </c>
      <c r="AM32" s="7" t="s">
        <v>0</v>
      </c>
      <c r="AN32" s="7" t="s">
        <v>124</v>
      </c>
      <c r="AO32" s="10" t="s">
        <v>565</v>
      </c>
      <c r="AP32" s="68">
        <v>21</v>
      </c>
      <c r="AQ32" s="143">
        <f>ROUND(('Data extracted'!E32-'Data extracted'!D32)/7,0)</f>
        <v>2</v>
      </c>
      <c r="AR32" s="9">
        <f>AQ32*AP32*M32</f>
        <v>741510</v>
      </c>
      <c r="AS32" s="9" t="s">
        <v>0</v>
      </c>
      <c r="AT32" s="9" t="s">
        <v>0</v>
      </c>
      <c r="AU32" s="7" t="s">
        <v>73</v>
      </c>
      <c r="AV32" s="7" t="s">
        <v>73</v>
      </c>
      <c r="AW32" s="7" t="s">
        <v>423</v>
      </c>
      <c r="AX32" s="11" t="s">
        <v>307</v>
      </c>
      <c r="AY32" s="9" t="s">
        <v>0</v>
      </c>
      <c r="AZ32" s="9" t="s">
        <v>0</v>
      </c>
      <c r="BA32" s="9" t="s">
        <v>0</v>
      </c>
      <c r="BB32" s="9" t="s">
        <v>0</v>
      </c>
      <c r="BC32" s="9" t="s">
        <v>0</v>
      </c>
      <c r="BD32" s="50" t="s">
        <v>0</v>
      </c>
      <c r="BE32" s="6" t="s">
        <v>0</v>
      </c>
      <c r="BF32" s="9">
        <f t="shared" si="2"/>
        <v>0</v>
      </c>
      <c r="BG32" s="9" t="s">
        <v>0</v>
      </c>
      <c r="BH32" s="9" t="s">
        <v>0</v>
      </c>
      <c r="BI32" s="9" t="s">
        <v>0</v>
      </c>
      <c r="BJ32" s="9" t="s">
        <v>0</v>
      </c>
      <c r="BK32" s="56" t="str">
        <f t="shared" si="3"/>
        <v>#</v>
      </c>
      <c r="BL32" s="9">
        <f t="shared" si="9"/>
        <v>17655</v>
      </c>
      <c r="BM32" s="9">
        <v>26</v>
      </c>
      <c r="BN32" s="9">
        <v>17629</v>
      </c>
      <c r="BO32" s="9" t="s">
        <v>0</v>
      </c>
      <c r="BP32" s="20" t="s">
        <v>0</v>
      </c>
      <c r="BQ32" s="50" t="s">
        <v>158</v>
      </c>
      <c r="BR32" s="6" t="s">
        <v>0</v>
      </c>
      <c r="BS32" s="9">
        <f t="shared" si="7"/>
        <v>17655</v>
      </c>
      <c r="BT32" s="9">
        <v>26</v>
      </c>
      <c r="BU32" s="9">
        <v>0</v>
      </c>
      <c r="BV32" s="9">
        <v>17629</v>
      </c>
      <c r="BW32" s="9">
        <v>0</v>
      </c>
      <c r="BX32" s="20">
        <f t="shared" si="5"/>
        <v>26</v>
      </c>
      <c r="BY32" s="6" t="s">
        <v>0</v>
      </c>
      <c r="BZ32" s="5" t="s">
        <v>424</v>
      </c>
      <c r="CA32" s="6" t="s">
        <v>0</v>
      </c>
      <c r="CB32" s="6" t="s">
        <v>0</v>
      </c>
      <c r="CC32" s="6" t="s">
        <v>0</v>
      </c>
      <c r="CD32" s="11" t="s">
        <v>0</v>
      </c>
      <c r="CE32" s="149" t="s">
        <v>0</v>
      </c>
      <c r="CF32" s="149" t="s">
        <v>0</v>
      </c>
      <c r="CG32" s="149" t="s">
        <v>0</v>
      </c>
      <c r="CH32" s="63" t="s">
        <v>0</v>
      </c>
      <c r="CI32" s="64" t="s">
        <v>0</v>
      </c>
      <c r="CJ32" s="63" t="s">
        <v>0</v>
      </c>
      <c r="CK32" s="6" t="s">
        <v>0</v>
      </c>
      <c r="CL32" s="6" t="s">
        <v>0</v>
      </c>
      <c r="CM32" s="6" t="s">
        <v>0</v>
      </c>
      <c r="CN32" s="6" t="s">
        <v>0</v>
      </c>
      <c r="CO32" s="6" t="s">
        <v>0</v>
      </c>
      <c r="CP32" s="6" t="s">
        <v>0</v>
      </c>
      <c r="CQ32" s="6" t="s">
        <v>0</v>
      </c>
      <c r="CR32" s="11" t="s">
        <v>0</v>
      </c>
      <c r="CS32" s="6" t="s">
        <v>0</v>
      </c>
      <c r="CT32" s="11" t="s">
        <v>0</v>
      </c>
      <c r="CU32" s="6" t="s">
        <v>0</v>
      </c>
      <c r="CV32" s="6" t="s">
        <v>0</v>
      </c>
      <c r="CW32" s="11" t="s">
        <v>0</v>
      </c>
      <c r="CX32" s="27" t="s">
        <v>0</v>
      </c>
      <c r="CY32" s="27" t="s">
        <v>0</v>
      </c>
      <c r="CZ32" s="27" t="s">
        <v>0</v>
      </c>
      <c r="DA32" s="27" t="s">
        <v>0</v>
      </c>
      <c r="DB32" s="27" t="s">
        <v>0</v>
      </c>
      <c r="DC32" s="27" t="s">
        <v>0</v>
      </c>
      <c r="DD32" s="148" t="s">
        <v>0</v>
      </c>
      <c r="DE32" s="13" t="s">
        <v>0</v>
      </c>
      <c r="DF32" s="168" t="s">
        <v>695</v>
      </c>
      <c r="DG32" s="27" t="s">
        <v>695</v>
      </c>
      <c r="DH32" s="36" t="s">
        <v>695</v>
      </c>
      <c r="DI32" s="177" t="s">
        <v>0</v>
      </c>
    </row>
    <row r="33" spans="1:113" ht="16">
      <c r="A33" s="13" t="s">
        <v>929</v>
      </c>
      <c r="B33" s="47" t="s">
        <v>43</v>
      </c>
      <c r="C33" s="7" t="s">
        <v>92</v>
      </c>
      <c r="D33" s="82">
        <v>44328</v>
      </c>
      <c r="E33" s="82">
        <v>44397</v>
      </c>
      <c r="F33" s="7" t="s">
        <v>94</v>
      </c>
      <c r="G33" s="7" t="s">
        <v>631</v>
      </c>
      <c r="H33" s="7" t="s">
        <v>104</v>
      </c>
      <c r="I33" s="41">
        <v>59925.317000000003</v>
      </c>
      <c r="J33" s="35" t="s">
        <v>1</v>
      </c>
      <c r="K33" s="9" t="s">
        <v>0</v>
      </c>
      <c r="L33" s="169">
        <v>1015</v>
      </c>
      <c r="M33" s="169">
        <f>1015-68</f>
        <v>947</v>
      </c>
      <c r="N33" s="9">
        <f>MAX(K33:M33)</f>
        <v>1015</v>
      </c>
      <c r="O33" s="11" t="s">
        <v>244</v>
      </c>
      <c r="P33" s="50" t="s">
        <v>0</v>
      </c>
      <c r="Q33" s="6" t="s">
        <v>0</v>
      </c>
      <c r="R33" s="6" t="s">
        <v>0</v>
      </c>
      <c r="S33" s="6" t="s">
        <v>0</v>
      </c>
      <c r="T33" s="6" t="s">
        <v>0</v>
      </c>
      <c r="U33" s="6" t="s">
        <v>0</v>
      </c>
      <c r="V33" s="6" t="s">
        <v>0</v>
      </c>
      <c r="W33" s="6" t="s">
        <v>0</v>
      </c>
      <c r="X33" s="6" t="s">
        <v>0</v>
      </c>
      <c r="Y33" s="9" t="s">
        <v>0</v>
      </c>
      <c r="Z33" s="6" t="s">
        <v>571</v>
      </c>
      <c r="AA33" s="79">
        <v>0</v>
      </c>
      <c r="AB33" s="9">
        <v>1015</v>
      </c>
      <c r="AC33" s="68">
        <v>0</v>
      </c>
      <c r="AD33" s="61">
        <f t="shared" si="1"/>
        <v>1</v>
      </c>
      <c r="AE33" s="10" t="s">
        <v>0</v>
      </c>
      <c r="AF33" s="7" t="s">
        <v>0</v>
      </c>
      <c r="AG33" s="7" t="s">
        <v>465</v>
      </c>
      <c r="AH33" s="10" t="s">
        <v>0</v>
      </c>
      <c r="AI33" s="26" t="s">
        <v>0</v>
      </c>
      <c r="AJ33" s="50" t="s">
        <v>280</v>
      </c>
      <c r="AK33" s="7" t="s">
        <v>73</v>
      </c>
      <c r="AL33" s="6" t="s">
        <v>122</v>
      </c>
      <c r="AM33" s="7" t="s">
        <v>0</v>
      </c>
      <c r="AN33" s="7" t="s">
        <v>124</v>
      </c>
      <c r="AO33" s="5" t="s">
        <v>564</v>
      </c>
      <c r="AP33" s="68" t="s">
        <v>0</v>
      </c>
      <c r="AQ33" s="68" t="s">
        <v>0</v>
      </c>
      <c r="AR33" s="68">
        <v>505</v>
      </c>
      <c r="AS33" s="9" t="s">
        <v>0</v>
      </c>
      <c r="AT33" s="9">
        <v>468</v>
      </c>
      <c r="AU33" s="7" t="s">
        <v>73</v>
      </c>
      <c r="AV33" s="7" t="s">
        <v>73</v>
      </c>
      <c r="AW33" s="5" t="s">
        <v>155</v>
      </c>
      <c r="AX33" s="119" t="s">
        <v>0</v>
      </c>
      <c r="AY33" s="9">
        <f>SUM(AZ33:BC33)</f>
        <v>468</v>
      </c>
      <c r="AZ33" s="9">
        <v>1</v>
      </c>
      <c r="BA33" s="9">
        <v>462</v>
      </c>
      <c r="BB33" s="9">
        <v>5</v>
      </c>
      <c r="BC33" s="20" t="s">
        <v>0</v>
      </c>
      <c r="BD33" s="50" t="s">
        <v>158</v>
      </c>
      <c r="BE33" s="5" t="s">
        <v>156</v>
      </c>
      <c r="BF33" s="9">
        <f t="shared" si="2"/>
        <v>463</v>
      </c>
      <c r="BG33" s="9">
        <v>0</v>
      </c>
      <c r="BH33" s="9">
        <v>0</v>
      </c>
      <c r="BI33" s="9">
        <v>462</v>
      </c>
      <c r="BJ33" s="9">
        <v>1</v>
      </c>
      <c r="BK33" s="56">
        <f t="shared" si="3"/>
        <v>463</v>
      </c>
      <c r="BL33" s="9">
        <f t="shared" si="9"/>
        <v>0</v>
      </c>
      <c r="BM33" s="9" t="s">
        <v>0</v>
      </c>
      <c r="BN33" s="9" t="s">
        <v>0</v>
      </c>
      <c r="BO33" s="9" t="s">
        <v>0</v>
      </c>
      <c r="BP33" s="20" t="s">
        <v>0</v>
      </c>
      <c r="BQ33" s="71" t="s">
        <v>0</v>
      </c>
      <c r="BR33" s="5" t="s">
        <v>0</v>
      </c>
      <c r="BS33" s="9">
        <f t="shared" si="7"/>
        <v>0</v>
      </c>
      <c r="BT33" s="9" t="s">
        <v>0</v>
      </c>
      <c r="BU33" s="9" t="s">
        <v>0</v>
      </c>
      <c r="BV33" s="9" t="s">
        <v>0</v>
      </c>
      <c r="BW33" s="9" t="s">
        <v>0</v>
      </c>
      <c r="BX33" s="20" t="str">
        <f t="shared" si="5"/>
        <v>#</v>
      </c>
      <c r="BY33" s="5" t="s">
        <v>0</v>
      </c>
      <c r="BZ33" s="5" t="s">
        <v>0</v>
      </c>
      <c r="CA33" s="5" t="s">
        <v>0</v>
      </c>
      <c r="CB33" s="5" t="s">
        <v>0</v>
      </c>
      <c r="CC33" s="5" t="s">
        <v>0</v>
      </c>
      <c r="CD33" s="11" t="s">
        <v>0</v>
      </c>
      <c r="CE33" s="149" t="s">
        <v>0</v>
      </c>
      <c r="CF33" s="149" t="s">
        <v>0</v>
      </c>
      <c r="CG33" s="149" t="s">
        <v>0</v>
      </c>
      <c r="CH33" s="63" t="s">
        <v>0</v>
      </c>
      <c r="CI33" s="64" t="s">
        <v>0</v>
      </c>
      <c r="CJ33" s="63" t="s">
        <v>0</v>
      </c>
      <c r="CK33" s="25" t="s">
        <v>0</v>
      </c>
      <c r="CL33" s="6" t="s">
        <v>0</v>
      </c>
      <c r="CM33" s="6" t="s">
        <v>0</v>
      </c>
      <c r="CN33" s="6" t="s">
        <v>0</v>
      </c>
      <c r="CO33" s="6" t="s">
        <v>0</v>
      </c>
      <c r="CP33" s="6" t="s">
        <v>0</v>
      </c>
      <c r="CQ33" s="6" t="s">
        <v>0</v>
      </c>
      <c r="CR33" s="11" t="s">
        <v>0</v>
      </c>
      <c r="CS33" s="6" t="s">
        <v>0</v>
      </c>
      <c r="CT33" s="11" t="s">
        <v>0</v>
      </c>
      <c r="CU33" s="25" t="s">
        <v>0</v>
      </c>
      <c r="CV33" s="25" t="s">
        <v>0</v>
      </c>
      <c r="CW33" s="119" t="s">
        <v>0</v>
      </c>
      <c r="CX33" s="27" t="s">
        <v>0</v>
      </c>
      <c r="CY33" s="27" t="s">
        <v>0</v>
      </c>
      <c r="CZ33" s="27" t="s">
        <v>0</v>
      </c>
      <c r="DA33" s="27" t="s">
        <v>0</v>
      </c>
      <c r="DB33" s="27" t="s">
        <v>0</v>
      </c>
      <c r="DC33" s="27" t="s">
        <v>0</v>
      </c>
      <c r="DD33" s="148" t="s">
        <v>0</v>
      </c>
      <c r="DE33" s="13" t="s">
        <v>695</v>
      </c>
      <c r="DF33" s="168" t="s">
        <v>0</v>
      </c>
      <c r="DG33" s="27" t="s">
        <v>0</v>
      </c>
      <c r="DH33" s="36" t="s">
        <v>0</v>
      </c>
      <c r="DI33" s="177" t="s">
        <v>0</v>
      </c>
    </row>
    <row r="34" spans="1:113" ht="16">
      <c r="A34" s="13" t="s">
        <v>930</v>
      </c>
      <c r="B34" s="47" t="s">
        <v>43</v>
      </c>
      <c r="C34" s="7" t="s">
        <v>92</v>
      </c>
      <c r="D34" s="82">
        <v>44328</v>
      </c>
      <c r="E34" s="82">
        <v>44397</v>
      </c>
      <c r="F34" s="7" t="s">
        <v>94</v>
      </c>
      <c r="G34" s="7" t="s">
        <v>631</v>
      </c>
      <c r="H34" s="7" t="s">
        <v>104</v>
      </c>
      <c r="I34" s="41">
        <v>59925.317000000003</v>
      </c>
      <c r="J34" s="35" t="s">
        <v>1</v>
      </c>
      <c r="K34" s="9" t="s">
        <v>0</v>
      </c>
      <c r="L34" s="169" t="s">
        <v>0</v>
      </c>
      <c r="M34" s="169" t="s">
        <v>0</v>
      </c>
      <c r="N34" s="9" t="s">
        <v>0</v>
      </c>
      <c r="O34" s="11" t="s">
        <v>244</v>
      </c>
      <c r="P34" s="50" t="s">
        <v>0</v>
      </c>
      <c r="Q34" s="6" t="s">
        <v>0</v>
      </c>
      <c r="R34" s="6" t="s">
        <v>0</v>
      </c>
      <c r="S34" s="6" t="s">
        <v>0</v>
      </c>
      <c r="T34" s="6" t="s">
        <v>0</v>
      </c>
      <c r="U34" s="6" t="s">
        <v>0</v>
      </c>
      <c r="V34" s="6" t="s">
        <v>0</v>
      </c>
      <c r="W34" s="6" t="s">
        <v>0</v>
      </c>
      <c r="X34" s="6" t="s">
        <v>0</v>
      </c>
      <c r="Y34" s="9" t="s">
        <v>0</v>
      </c>
      <c r="Z34" s="6" t="s">
        <v>571</v>
      </c>
      <c r="AA34" s="79" t="s">
        <v>0</v>
      </c>
      <c r="AB34" s="9" t="s">
        <v>0</v>
      </c>
      <c r="AC34" s="68" t="s">
        <v>0</v>
      </c>
      <c r="AD34" s="61">
        <f t="shared" si="1"/>
        <v>0</v>
      </c>
      <c r="AE34" s="10" t="s">
        <v>0</v>
      </c>
      <c r="AF34" s="7" t="s">
        <v>0</v>
      </c>
      <c r="AG34" s="7" t="s">
        <v>465</v>
      </c>
      <c r="AH34" s="10" t="s">
        <v>0</v>
      </c>
      <c r="AI34" s="26" t="s">
        <v>0</v>
      </c>
      <c r="AJ34" s="50" t="s">
        <v>281</v>
      </c>
      <c r="AK34" s="7" t="s">
        <v>73</v>
      </c>
      <c r="AL34" s="6" t="s">
        <v>122</v>
      </c>
      <c r="AM34" s="7" t="s">
        <v>0</v>
      </c>
      <c r="AN34" s="7" t="s">
        <v>124</v>
      </c>
      <c r="AO34" s="5" t="s">
        <v>564</v>
      </c>
      <c r="AP34" s="68" t="s">
        <v>0</v>
      </c>
      <c r="AQ34" s="68" t="s">
        <v>0</v>
      </c>
      <c r="AR34" s="68">
        <v>512</v>
      </c>
      <c r="AS34" s="9" t="s">
        <v>0</v>
      </c>
      <c r="AT34" s="9">
        <v>479</v>
      </c>
      <c r="AU34" s="7" t="s">
        <v>73</v>
      </c>
      <c r="AV34" s="7" t="s">
        <v>73</v>
      </c>
      <c r="AW34" s="5" t="s">
        <v>155</v>
      </c>
      <c r="AX34" s="119" t="s">
        <v>0</v>
      </c>
      <c r="AY34" s="9">
        <f>SUM(AZ34:BC34)</f>
        <v>479</v>
      </c>
      <c r="AZ34" s="9">
        <v>10</v>
      </c>
      <c r="BA34" s="9">
        <v>466</v>
      </c>
      <c r="BB34" s="9">
        <v>3</v>
      </c>
      <c r="BC34" s="20" t="s">
        <v>0</v>
      </c>
      <c r="BD34" s="50" t="s">
        <v>158</v>
      </c>
      <c r="BE34" s="5" t="s">
        <v>156</v>
      </c>
      <c r="BF34" s="9">
        <f t="shared" si="2"/>
        <v>476</v>
      </c>
      <c r="BG34" s="9">
        <v>0</v>
      </c>
      <c r="BH34" s="9">
        <v>0</v>
      </c>
      <c r="BI34" s="9">
        <v>466</v>
      </c>
      <c r="BJ34" s="9">
        <v>10</v>
      </c>
      <c r="BK34" s="56">
        <f t="shared" si="3"/>
        <v>476</v>
      </c>
      <c r="BL34" s="9">
        <f t="shared" si="9"/>
        <v>0</v>
      </c>
      <c r="BM34" s="9" t="s">
        <v>0</v>
      </c>
      <c r="BN34" s="9" t="s">
        <v>0</v>
      </c>
      <c r="BO34" s="9" t="s">
        <v>0</v>
      </c>
      <c r="BP34" s="20" t="s">
        <v>0</v>
      </c>
      <c r="BQ34" s="71" t="s">
        <v>0</v>
      </c>
      <c r="BR34" s="5" t="s">
        <v>0</v>
      </c>
      <c r="BS34" s="9">
        <f t="shared" si="7"/>
        <v>0</v>
      </c>
      <c r="BT34" s="9" t="s">
        <v>0</v>
      </c>
      <c r="BU34" s="9" t="s">
        <v>0</v>
      </c>
      <c r="BV34" s="9" t="s">
        <v>0</v>
      </c>
      <c r="BW34" s="9" t="s">
        <v>0</v>
      </c>
      <c r="BX34" s="20" t="str">
        <f t="shared" si="5"/>
        <v>#</v>
      </c>
      <c r="BY34" s="5" t="s">
        <v>0</v>
      </c>
      <c r="BZ34" s="5" t="s">
        <v>0</v>
      </c>
      <c r="CA34" s="5" t="s">
        <v>0</v>
      </c>
      <c r="CB34" s="5" t="s">
        <v>0</v>
      </c>
      <c r="CC34" s="5" t="s">
        <v>0</v>
      </c>
      <c r="CD34" s="11" t="s">
        <v>0</v>
      </c>
      <c r="CE34" s="149" t="s">
        <v>0</v>
      </c>
      <c r="CF34" s="149" t="s">
        <v>0</v>
      </c>
      <c r="CG34" s="149" t="s">
        <v>0</v>
      </c>
      <c r="CH34" s="63" t="s">
        <v>0</v>
      </c>
      <c r="CI34" s="64" t="s">
        <v>0</v>
      </c>
      <c r="CJ34" s="63" t="s">
        <v>0</v>
      </c>
      <c r="CK34" s="25" t="s">
        <v>0</v>
      </c>
      <c r="CL34" s="6" t="s">
        <v>0</v>
      </c>
      <c r="CM34" s="6" t="s">
        <v>0</v>
      </c>
      <c r="CN34" s="6" t="s">
        <v>0</v>
      </c>
      <c r="CO34" s="6" t="s">
        <v>0</v>
      </c>
      <c r="CP34" s="6" t="s">
        <v>0</v>
      </c>
      <c r="CQ34" s="6" t="s">
        <v>0</v>
      </c>
      <c r="CR34" s="11" t="s">
        <v>0</v>
      </c>
      <c r="CS34" s="6" t="s">
        <v>0</v>
      </c>
      <c r="CT34" s="11" t="s">
        <v>0</v>
      </c>
      <c r="CU34" s="25" t="s">
        <v>0</v>
      </c>
      <c r="CV34" s="25" t="s">
        <v>0</v>
      </c>
      <c r="CW34" s="119" t="s">
        <v>0</v>
      </c>
      <c r="CX34" s="27" t="s">
        <v>0</v>
      </c>
      <c r="CY34" s="27" t="s">
        <v>0</v>
      </c>
      <c r="CZ34" s="27" t="s">
        <v>0</v>
      </c>
      <c r="DA34" s="27" t="s">
        <v>0</v>
      </c>
      <c r="DB34" s="27" t="s">
        <v>0</v>
      </c>
      <c r="DC34" s="27" t="s">
        <v>0</v>
      </c>
      <c r="DD34" s="148" t="s">
        <v>0</v>
      </c>
      <c r="DE34" s="13" t="s">
        <v>695</v>
      </c>
      <c r="DF34" s="168" t="s">
        <v>0</v>
      </c>
      <c r="DG34" s="27" t="s">
        <v>0</v>
      </c>
      <c r="DH34" s="36" t="s">
        <v>0</v>
      </c>
      <c r="DI34" s="177" t="s">
        <v>0</v>
      </c>
    </row>
    <row r="35" spans="1:113" ht="16">
      <c r="A35" s="13" t="s">
        <v>931</v>
      </c>
      <c r="B35" s="47" t="s">
        <v>43</v>
      </c>
      <c r="C35" s="7" t="s">
        <v>92</v>
      </c>
      <c r="D35" s="82">
        <v>44328</v>
      </c>
      <c r="E35" s="82">
        <v>44397</v>
      </c>
      <c r="F35" s="7" t="s">
        <v>94</v>
      </c>
      <c r="G35" s="7" t="s">
        <v>631</v>
      </c>
      <c r="H35" s="7" t="s">
        <v>104</v>
      </c>
      <c r="I35" s="41">
        <v>59925.317000000003</v>
      </c>
      <c r="J35" s="35" t="s">
        <v>1</v>
      </c>
      <c r="K35" s="9" t="s">
        <v>0</v>
      </c>
      <c r="L35" s="169" t="s">
        <v>0</v>
      </c>
      <c r="M35" s="169" t="s">
        <v>0</v>
      </c>
      <c r="N35" s="9" t="s">
        <v>0</v>
      </c>
      <c r="O35" s="11" t="s">
        <v>244</v>
      </c>
      <c r="P35" s="50" t="s">
        <v>0</v>
      </c>
      <c r="Q35" s="6" t="s">
        <v>0</v>
      </c>
      <c r="R35" s="6" t="s">
        <v>0</v>
      </c>
      <c r="S35" s="6" t="s">
        <v>0</v>
      </c>
      <c r="T35" s="6" t="s">
        <v>0</v>
      </c>
      <c r="U35" s="6" t="s">
        <v>0</v>
      </c>
      <c r="V35" s="6" t="s">
        <v>0</v>
      </c>
      <c r="W35" s="6" t="s">
        <v>0</v>
      </c>
      <c r="X35" s="6" t="s">
        <v>0</v>
      </c>
      <c r="Y35" s="9" t="s">
        <v>0</v>
      </c>
      <c r="Z35" s="6" t="s">
        <v>571</v>
      </c>
      <c r="AA35" s="79" t="s">
        <v>0</v>
      </c>
      <c r="AB35" s="9" t="s">
        <v>0</v>
      </c>
      <c r="AC35" s="68" t="s">
        <v>0</v>
      </c>
      <c r="AD35" s="61">
        <f t="shared" si="1"/>
        <v>0</v>
      </c>
      <c r="AE35" s="10" t="s">
        <v>0</v>
      </c>
      <c r="AF35" s="7" t="s">
        <v>0</v>
      </c>
      <c r="AG35" s="7" t="s">
        <v>465</v>
      </c>
      <c r="AH35" s="10" t="s">
        <v>0</v>
      </c>
      <c r="AI35" s="26" t="s">
        <v>0</v>
      </c>
      <c r="AJ35" s="50" t="s">
        <v>965</v>
      </c>
      <c r="AK35" s="7" t="s">
        <v>73</v>
      </c>
      <c r="AL35" s="6" t="s">
        <v>122</v>
      </c>
      <c r="AM35" s="7" t="s">
        <v>0</v>
      </c>
      <c r="AN35" s="7" t="s">
        <v>124</v>
      </c>
      <c r="AO35" s="5" t="s">
        <v>564</v>
      </c>
      <c r="AP35" s="68" t="s">
        <v>0</v>
      </c>
      <c r="AQ35" s="68" t="s">
        <v>0</v>
      </c>
      <c r="AR35" s="68">
        <v>502</v>
      </c>
      <c r="AS35" s="9" t="s">
        <v>0</v>
      </c>
      <c r="AT35" s="9">
        <v>464</v>
      </c>
      <c r="AU35" s="7" t="s">
        <v>73</v>
      </c>
      <c r="AV35" s="7" t="s">
        <v>73</v>
      </c>
      <c r="AW35" s="5" t="s">
        <v>155</v>
      </c>
      <c r="AX35" s="119" t="s">
        <v>0</v>
      </c>
      <c r="AY35" s="9">
        <f>SUM(AZ35:BC35)</f>
        <v>464</v>
      </c>
      <c r="AZ35" s="9">
        <v>1</v>
      </c>
      <c r="BA35" s="9">
        <v>453</v>
      </c>
      <c r="BB35" s="9">
        <v>10</v>
      </c>
      <c r="BC35" s="20" t="s">
        <v>0</v>
      </c>
      <c r="BD35" s="50" t="s">
        <v>158</v>
      </c>
      <c r="BE35" s="5" t="s">
        <v>156</v>
      </c>
      <c r="BF35" s="9">
        <f t="shared" si="2"/>
        <v>454</v>
      </c>
      <c r="BG35" s="9">
        <v>0</v>
      </c>
      <c r="BH35" s="9">
        <v>0</v>
      </c>
      <c r="BI35" s="9">
        <v>453</v>
      </c>
      <c r="BJ35" s="9">
        <v>1</v>
      </c>
      <c r="BK35" s="56">
        <f t="shared" si="3"/>
        <v>454</v>
      </c>
      <c r="BL35" s="9">
        <f t="shared" si="9"/>
        <v>0</v>
      </c>
      <c r="BM35" s="9" t="s">
        <v>0</v>
      </c>
      <c r="BN35" s="9" t="s">
        <v>0</v>
      </c>
      <c r="BO35" s="9" t="s">
        <v>0</v>
      </c>
      <c r="BP35" s="20" t="s">
        <v>0</v>
      </c>
      <c r="BQ35" s="71" t="s">
        <v>0</v>
      </c>
      <c r="BR35" s="5" t="s">
        <v>0</v>
      </c>
      <c r="BS35" s="9">
        <f t="shared" si="7"/>
        <v>0</v>
      </c>
      <c r="BT35" s="9" t="s">
        <v>0</v>
      </c>
      <c r="BU35" s="9" t="s">
        <v>0</v>
      </c>
      <c r="BV35" s="9" t="s">
        <v>0</v>
      </c>
      <c r="BW35" s="9" t="s">
        <v>0</v>
      </c>
      <c r="BX35" s="20" t="str">
        <f t="shared" si="5"/>
        <v>#</v>
      </c>
      <c r="BY35" s="5" t="s">
        <v>0</v>
      </c>
      <c r="BZ35" s="5" t="s">
        <v>0</v>
      </c>
      <c r="CA35" s="5" t="s">
        <v>0</v>
      </c>
      <c r="CB35" s="5" t="s">
        <v>0</v>
      </c>
      <c r="CC35" s="5" t="s">
        <v>0</v>
      </c>
      <c r="CD35" s="11" t="s">
        <v>0</v>
      </c>
      <c r="CE35" s="149" t="s">
        <v>0</v>
      </c>
      <c r="CF35" s="149" t="s">
        <v>0</v>
      </c>
      <c r="CG35" s="149" t="s">
        <v>0</v>
      </c>
      <c r="CH35" s="63" t="s">
        <v>0</v>
      </c>
      <c r="CI35" s="64" t="s">
        <v>0</v>
      </c>
      <c r="CJ35" s="63" t="s">
        <v>0</v>
      </c>
      <c r="CK35" s="25" t="s">
        <v>0</v>
      </c>
      <c r="CL35" s="6" t="s">
        <v>0</v>
      </c>
      <c r="CM35" s="6" t="s">
        <v>0</v>
      </c>
      <c r="CN35" s="6" t="s">
        <v>0</v>
      </c>
      <c r="CO35" s="6" t="s">
        <v>0</v>
      </c>
      <c r="CP35" s="6" t="s">
        <v>0</v>
      </c>
      <c r="CQ35" s="6" t="s">
        <v>0</v>
      </c>
      <c r="CR35" s="11" t="s">
        <v>0</v>
      </c>
      <c r="CS35" s="6" t="s">
        <v>0</v>
      </c>
      <c r="CT35" s="11" t="s">
        <v>0</v>
      </c>
      <c r="CU35" s="25" t="s">
        <v>0</v>
      </c>
      <c r="CV35" s="25" t="s">
        <v>0</v>
      </c>
      <c r="CW35" s="119" t="s">
        <v>0</v>
      </c>
      <c r="CX35" s="27" t="s">
        <v>0</v>
      </c>
      <c r="CY35" s="27" t="s">
        <v>0</v>
      </c>
      <c r="CZ35" s="27" t="s">
        <v>0</v>
      </c>
      <c r="DA35" s="27" t="s">
        <v>0</v>
      </c>
      <c r="DB35" s="27" t="s">
        <v>0</v>
      </c>
      <c r="DC35" s="27" t="s">
        <v>0</v>
      </c>
      <c r="DD35" s="148" t="s">
        <v>0</v>
      </c>
      <c r="DE35" s="13" t="s">
        <v>695</v>
      </c>
      <c r="DF35" s="168" t="s">
        <v>0</v>
      </c>
      <c r="DG35" s="27" t="s">
        <v>0</v>
      </c>
      <c r="DH35" s="36" t="s">
        <v>0</v>
      </c>
      <c r="DI35" s="177" t="s">
        <v>0</v>
      </c>
    </row>
    <row r="36" spans="1:113" ht="16">
      <c r="A36" s="13" t="s">
        <v>932</v>
      </c>
      <c r="B36" s="47" t="s">
        <v>43</v>
      </c>
      <c r="C36" s="7" t="s">
        <v>92</v>
      </c>
      <c r="D36" s="82">
        <v>44328</v>
      </c>
      <c r="E36" s="82">
        <v>44397</v>
      </c>
      <c r="F36" s="7" t="s">
        <v>94</v>
      </c>
      <c r="G36" s="7" t="s">
        <v>631</v>
      </c>
      <c r="H36" s="7" t="s">
        <v>104</v>
      </c>
      <c r="I36" s="41">
        <v>59925.317000000003</v>
      </c>
      <c r="J36" s="35" t="s">
        <v>1</v>
      </c>
      <c r="K36" s="9" t="s">
        <v>0</v>
      </c>
      <c r="L36" s="169" t="s">
        <v>0</v>
      </c>
      <c r="M36" s="169" t="s">
        <v>0</v>
      </c>
      <c r="N36" s="9" t="s">
        <v>0</v>
      </c>
      <c r="O36" s="11" t="s">
        <v>244</v>
      </c>
      <c r="P36" s="50" t="s">
        <v>0</v>
      </c>
      <c r="Q36" s="6" t="s">
        <v>0</v>
      </c>
      <c r="R36" s="6" t="s">
        <v>0</v>
      </c>
      <c r="S36" s="6" t="s">
        <v>0</v>
      </c>
      <c r="T36" s="6" t="s">
        <v>0</v>
      </c>
      <c r="U36" s="6" t="s">
        <v>0</v>
      </c>
      <c r="V36" s="6" t="s">
        <v>0</v>
      </c>
      <c r="W36" s="6" t="s">
        <v>0</v>
      </c>
      <c r="X36" s="6" t="s">
        <v>0</v>
      </c>
      <c r="Y36" s="9" t="s">
        <v>0</v>
      </c>
      <c r="Z36" s="6" t="s">
        <v>571</v>
      </c>
      <c r="AA36" s="79" t="s">
        <v>0</v>
      </c>
      <c r="AB36" s="9" t="s">
        <v>0</v>
      </c>
      <c r="AC36" s="68" t="s">
        <v>0</v>
      </c>
      <c r="AD36" s="61">
        <f t="shared" ref="AD36:AD67" si="10">IF(AND(AA36=0,AC36=0),1,0)</f>
        <v>0</v>
      </c>
      <c r="AE36" s="10" t="s">
        <v>0</v>
      </c>
      <c r="AF36" s="7" t="s">
        <v>0</v>
      </c>
      <c r="AG36" s="7" t="s">
        <v>465</v>
      </c>
      <c r="AH36" s="10" t="s">
        <v>0</v>
      </c>
      <c r="AI36" s="26" t="s">
        <v>0</v>
      </c>
      <c r="AJ36" s="50" t="s">
        <v>282</v>
      </c>
      <c r="AK36" s="7" t="s">
        <v>73</v>
      </c>
      <c r="AL36" s="6" t="s">
        <v>122</v>
      </c>
      <c r="AM36" s="7" t="s">
        <v>0</v>
      </c>
      <c r="AN36" s="7" t="s">
        <v>124</v>
      </c>
      <c r="AO36" s="5" t="s">
        <v>564</v>
      </c>
      <c r="AP36" s="68" t="s">
        <v>0</v>
      </c>
      <c r="AQ36" s="68" t="s">
        <v>0</v>
      </c>
      <c r="AR36" s="68">
        <v>511</v>
      </c>
      <c r="AS36" s="9" t="s">
        <v>0</v>
      </c>
      <c r="AT36" s="9">
        <v>481</v>
      </c>
      <c r="AU36" s="7" t="s">
        <v>73</v>
      </c>
      <c r="AV36" s="7" t="s">
        <v>73</v>
      </c>
      <c r="AW36" s="5" t="s">
        <v>155</v>
      </c>
      <c r="AX36" s="119" t="s">
        <v>0</v>
      </c>
      <c r="AY36" s="9">
        <f>SUM(AZ36:BC36)</f>
        <v>481</v>
      </c>
      <c r="AZ36" s="9">
        <v>1</v>
      </c>
      <c r="BA36" s="9">
        <v>462</v>
      </c>
      <c r="BB36" s="9">
        <v>18</v>
      </c>
      <c r="BC36" s="20" t="s">
        <v>0</v>
      </c>
      <c r="BD36" s="50" t="s">
        <v>158</v>
      </c>
      <c r="BE36" s="5" t="s">
        <v>156</v>
      </c>
      <c r="BF36" s="9">
        <f t="shared" si="2"/>
        <v>463</v>
      </c>
      <c r="BG36" s="9">
        <v>0</v>
      </c>
      <c r="BH36" s="9">
        <v>0</v>
      </c>
      <c r="BI36" s="9">
        <v>462</v>
      </c>
      <c r="BJ36" s="9">
        <v>1</v>
      </c>
      <c r="BK36" s="56">
        <f t="shared" ref="BK36:BK67" si="11">IFERROR(IF(BJ36&lt;&gt;"#",BJ36+BI36,"#"),"#")</f>
        <v>463</v>
      </c>
      <c r="BL36" s="9">
        <f t="shared" si="9"/>
        <v>0</v>
      </c>
      <c r="BM36" s="9" t="s">
        <v>0</v>
      </c>
      <c r="BN36" s="9" t="s">
        <v>0</v>
      </c>
      <c r="BO36" s="9" t="s">
        <v>0</v>
      </c>
      <c r="BP36" s="20" t="s">
        <v>0</v>
      </c>
      <c r="BQ36" s="71" t="s">
        <v>0</v>
      </c>
      <c r="BR36" s="5" t="s">
        <v>0</v>
      </c>
      <c r="BS36" s="9">
        <f t="shared" si="7"/>
        <v>0</v>
      </c>
      <c r="BT36" s="9" t="s">
        <v>0</v>
      </c>
      <c r="BU36" s="9" t="s">
        <v>0</v>
      </c>
      <c r="BV36" s="9" t="s">
        <v>0</v>
      </c>
      <c r="BW36" s="9" t="s">
        <v>0</v>
      </c>
      <c r="BX36" s="20" t="str">
        <f t="shared" ref="BX36:BX67" si="12">IFERROR(IF(BU36&lt;&gt;"#",BU36+BT36,"#"),"#")</f>
        <v>#</v>
      </c>
      <c r="BY36" s="5" t="s">
        <v>0</v>
      </c>
      <c r="BZ36" s="5" t="s">
        <v>0</v>
      </c>
      <c r="CA36" s="5" t="s">
        <v>0</v>
      </c>
      <c r="CB36" s="5" t="s">
        <v>0</v>
      </c>
      <c r="CC36" s="5" t="s">
        <v>0</v>
      </c>
      <c r="CD36" s="11" t="s">
        <v>0</v>
      </c>
      <c r="CE36" s="149" t="s">
        <v>0</v>
      </c>
      <c r="CF36" s="149" t="s">
        <v>0</v>
      </c>
      <c r="CG36" s="149" t="s">
        <v>0</v>
      </c>
      <c r="CH36" s="63" t="s">
        <v>0</v>
      </c>
      <c r="CI36" s="64" t="s">
        <v>0</v>
      </c>
      <c r="CJ36" s="63" t="s">
        <v>0</v>
      </c>
      <c r="CK36" s="25" t="s">
        <v>0</v>
      </c>
      <c r="CL36" s="6" t="s">
        <v>0</v>
      </c>
      <c r="CM36" s="6" t="s">
        <v>0</v>
      </c>
      <c r="CN36" s="6" t="s">
        <v>0</v>
      </c>
      <c r="CO36" s="6" t="s">
        <v>0</v>
      </c>
      <c r="CP36" s="6" t="s">
        <v>0</v>
      </c>
      <c r="CQ36" s="6" t="s">
        <v>0</v>
      </c>
      <c r="CR36" s="11" t="s">
        <v>0</v>
      </c>
      <c r="CS36" s="6" t="s">
        <v>0</v>
      </c>
      <c r="CT36" s="11" t="s">
        <v>0</v>
      </c>
      <c r="CU36" s="25" t="s">
        <v>0</v>
      </c>
      <c r="CV36" s="25" t="s">
        <v>0</v>
      </c>
      <c r="CW36" s="119" t="s">
        <v>0</v>
      </c>
      <c r="CX36" s="27" t="s">
        <v>0</v>
      </c>
      <c r="CY36" s="27" t="s">
        <v>0</v>
      </c>
      <c r="CZ36" s="27" t="s">
        <v>0</v>
      </c>
      <c r="DA36" s="27" t="s">
        <v>0</v>
      </c>
      <c r="DB36" s="27" t="s">
        <v>0</v>
      </c>
      <c r="DC36" s="27" t="s">
        <v>0</v>
      </c>
      <c r="DD36" s="148" t="s">
        <v>0</v>
      </c>
      <c r="DE36" s="13" t="s">
        <v>695</v>
      </c>
      <c r="DF36" s="168" t="s">
        <v>0</v>
      </c>
      <c r="DG36" s="27" t="s">
        <v>0</v>
      </c>
      <c r="DH36" s="36" t="s">
        <v>0</v>
      </c>
      <c r="DI36" s="177" t="s">
        <v>0</v>
      </c>
    </row>
    <row r="37" spans="1:113" s="13" customFormat="1" ht="16">
      <c r="A37" s="13" t="s">
        <v>593</v>
      </c>
      <c r="B37" s="21" t="s">
        <v>14</v>
      </c>
      <c r="C37" s="13" t="s">
        <v>92</v>
      </c>
      <c r="D37" s="83">
        <v>44298</v>
      </c>
      <c r="E37" s="83">
        <v>44339</v>
      </c>
      <c r="F37" s="13" t="s">
        <v>94</v>
      </c>
      <c r="G37" s="13" t="s">
        <v>613</v>
      </c>
      <c r="H37" s="13" t="s">
        <v>597</v>
      </c>
      <c r="I37" s="41">
        <v>59925.317000000003</v>
      </c>
      <c r="J37" s="15" t="s">
        <v>1</v>
      </c>
      <c r="K37" s="9" t="s">
        <v>0</v>
      </c>
      <c r="L37" s="9" t="s">
        <v>0</v>
      </c>
      <c r="M37" s="9" t="s">
        <v>0</v>
      </c>
      <c r="N37" s="9" t="s">
        <v>0</v>
      </c>
      <c r="O37" s="11" t="s">
        <v>242</v>
      </c>
      <c r="P37" s="48" t="s">
        <v>0</v>
      </c>
      <c r="Q37" s="13" t="s">
        <v>0</v>
      </c>
      <c r="R37" s="13" t="s">
        <v>0</v>
      </c>
      <c r="S37" s="13" t="s">
        <v>0</v>
      </c>
      <c r="T37" s="13" t="s">
        <v>0</v>
      </c>
      <c r="U37" s="13" t="s">
        <v>0</v>
      </c>
      <c r="V37" s="13" t="s">
        <v>0</v>
      </c>
      <c r="W37" s="13" t="s">
        <v>0</v>
      </c>
      <c r="X37" s="13" t="s">
        <v>0</v>
      </c>
      <c r="Y37" s="9" t="s">
        <v>0</v>
      </c>
      <c r="Z37" s="14" t="s">
        <v>573</v>
      </c>
      <c r="AA37" s="78" t="s">
        <v>0</v>
      </c>
      <c r="AB37" s="61" t="s">
        <v>0</v>
      </c>
      <c r="AC37" s="61" t="s">
        <v>0</v>
      </c>
      <c r="AD37" s="61">
        <f t="shared" si="10"/>
        <v>0</v>
      </c>
      <c r="AE37" s="14" t="s">
        <v>0</v>
      </c>
      <c r="AF37" s="13" t="s">
        <v>0</v>
      </c>
      <c r="AG37" s="13" t="s">
        <v>465</v>
      </c>
      <c r="AH37" s="14" t="s">
        <v>0</v>
      </c>
      <c r="AI37" s="16" t="s">
        <v>0</v>
      </c>
      <c r="AJ37" s="50" t="s">
        <v>305</v>
      </c>
      <c r="AK37" s="5" t="s">
        <v>73</v>
      </c>
      <c r="AL37" s="6" t="s">
        <v>0</v>
      </c>
      <c r="AM37" s="5" t="s">
        <v>130</v>
      </c>
      <c r="AN37" s="5" t="s">
        <v>130</v>
      </c>
      <c r="AO37" s="14" t="s">
        <v>565</v>
      </c>
      <c r="AP37" s="9">
        <v>1</v>
      </c>
      <c r="AQ37" s="143">
        <f>ROUND(('Data extracted'!E37-'Data extracted'!D37)/7,0)</f>
        <v>6</v>
      </c>
      <c r="AR37" s="9" t="s">
        <v>0</v>
      </c>
      <c r="AS37" s="9" t="s">
        <v>0</v>
      </c>
      <c r="AT37" s="9" t="s">
        <v>0</v>
      </c>
      <c r="AU37" s="5" t="s">
        <v>0</v>
      </c>
      <c r="AV37" s="5" t="s">
        <v>0</v>
      </c>
      <c r="AW37" s="5" t="s">
        <v>131</v>
      </c>
      <c r="AX37" s="11" t="s">
        <v>594</v>
      </c>
      <c r="AY37" s="9">
        <f>SUM(AZ37:BC37)</f>
        <v>11</v>
      </c>
      <c r="AZ37" s="9">
        <v>2</v>
      </c>
      <c r="BA37" s="9">
        <v>9</v>
      </c>
      <c r="BB37" s="9">
        <v>0</v>
      </c>
      <c r="BC37" s="56">
        <v>0</v>
      </c>
      <c r="BD37" s="50" t="s">
        <v>158</v>
      </c>
      <c r="BE37" s="6" t="s">
        <v>132</v>
      </c>
      <c r="BF37" s="9">
        <f t="shared" si="2"/>
        <v>11</v>
      </c>
      <c r="BG37" s="9">
        <v>2</v>
      </c>
      <c r="BH37" s="9">
        <v>9</v>
      </c>
      <c r="BI37" s="9">
        <v>0</v>
      </c>
      <c r="BJ37" s="9">
        <v>0</v>
      </c>
      <c r="BK37" s="56">
        <f t="shared" si="11"/>
        <v>0</v>
      </c>
      <c r="BL37" s="9">
        <f t="shared" si="9"/>
        <v>11</v>
      </c>
      <c r="BM37" s="9">
        <v>2</v>
      </c>
      <c r="BN37" s="9">
        <v>9</v>
      </c>
      <c r="BO37" s="9" t="s">
        <v>0</v>
      </c>
      <c r="BP37" s="20" t="s">
        <v>0</v>
      </c>
      <c r="BQ37" s="71" t="s">
        <v>158</v>
      </c>
      <c r="BR37" s="5" t="s">
        <v>132</v>
      </c>
      <c r="BS37" s="9">
        <f t="shared" si="7"/>
        <v>11</v>
      </c>
      <c r="BT37" s="9">
        <v>2</v>
      </c>
      <c r="BU37" s="9">
        <v>9</v>
      </c>
      <c r="BV37" s="9" t="s">
        <v>0</v>
      </c>
      <c r="BW37" s="9">
        <v>0</v>
      </c>
      <c r="BX37" s="20">
        <f t="shared" si="12"/>
        <v>11</v>
      </c>
      <c r="BY37" s="6" t="s">
        <v>187</v>
      </c>
      <c r="BZ37" s="5" t="s">
        <v>188</v>
      </c>
      <c r="CA37" s="6" t="s">
        <v>0</v>
      </c>
      <c r="CB37" s="6" t="s">
        <v>0</v>
      </c>
      <c r="CC37" s="6" t="s">
        <v>0</v>
      </c>
      <c r="CD37" s="11" t="s">
        <v>0</v>
      </c>
      <c r="CE37" s="149" t="s">
        <v>0</v>
      </c>
      <c r="CF37" s="149" t="s">
        <v>0</v>
      </c>
      <c r="CG37" s="149" t="s">
        <v>0</v>
      </c>
      <c r="CH37" s="63" t="s">
        <v>0</v>
      </c>
      <c r="CI37" s="121" t="s">
        <v>0</v>
      </c>
      <c r="CJ37" s="122" t="s">
        <v>0</v>
      </c>
      <c r="CK37" s="14" t="s">
        <v>218</v>
      </c>
      <c r="CL37" s="14" t="s">
        <v>0</v>
      </c>
      <c r="CM37" s="14" t="s">
        <v>0</v>
      </c>
      <c r="CN37" s="14" t="s">
        <v>0</v>
      </c>
      <c r="CO37" s="14" t="s">
        <v>0</v>
      </c>
      <c r="CP37" s="6" t="s">
        <v>0</v>
      </c>
      <c r="CQ37" s="6" t="s">
        <v>0</v>
      </c>
      <c r="CR37" s="21" t="s">
        <v>0</v>
      </c>
      <c r="CS37" s="14" t="s">
        <v>0</v>
      </c>
      <c r="CT37" s="21" t="s">
        <v>0</v>
      </c>
      <c r="CU37" s="14" t="s">
        <v>0</v>
      </c>
      <c r="CV37" s="14" t="s">
        <v>0</v>
      </c>
      <c r="CW37" s="16" t="s">
        <v>0</v>
      </c>
      <c r="CX37" s="27" t="s">
        <v>0</v>
      </c>
      <c r="CY37" s="27" t="s">
        <v>0</v>
      </c>
      <c r="CZ37" s="27" t="s">
        <v>0</v>
      </c>
      <c r="DA37" s="27" t="s">
        <v>0</v>
      </c>
      <c r="DB37" s="27" t="s">
        <v>0</v>
      </c>
      <c r="DC37" s="27" t="s">
        <v>0</v>
      </c>
      <c r="DD37" s="148" t="s">
        <v>0</v>
      </c>
      <c r="DE37" s="13" t="s">
        <v>0</v>
      </c>
      <c r="DF37" s="168" t="s">
        <v>0</v>
      </c>
      <c r="DG37" s="27" t="s">
        <v>0</v>
      </c>
      <c r="DH37" s="36" t="s">
        <v>0</v>
      </c>
      <c r="DI37" s="177" t="s">
        <v>0</v>
      </c>
    </row>
    <row r="38" spans="1:113" ht="15" customHeight="1">
      <c r="A38" s="13" t="s">
        <v>855</v>
      </c>
      <c r="B38" s="47" t="s">
        <v>752</v>
      </c>
      <c r="C38" s="7" t="s">
        <v>92</v>
      </c>
      <c r="D38" s="22">
        <v>44507</v>
      </c>
      <c r="E38" s="22">
        <v>44647</v>
      </c>
      <c r="F38" s="10" t="s">
        <v>109</v>
      </c>
      <c r="G38" s="10" t="s">
        <v>640</v>
      </c>
      <c r="H38" s="10" t="s">
        <v>104</v>
      </c>
      <c r="I38" s="41">
        <v>89598.86</v>
      </c>
      <c r="J38" s="18" t="s">
        <v>1</v>
      </c>
      <c r="K38" s="9">
        <v>761</v>
      </c>
      <c r="L38" s="9">
        <v>264</v>
      </c>
      <c r="M38" s="9">
        <v>233</v>
      </c>
      <c r="N38" s="9">
        <f t="shared" ref="N38:N56" si="13">MAX(K38:M38)</f>
        <v>761</v>
      </c>
      <c r="O38" s="63" t="s">
        <v>297</v>
      </c>
      <c r="P38" s="52" t="s">
        <v>338</v>
      </c>
      <c r="Q38" s="52" t="s">
        <v>339</v>
      </c>
      <c r="R38" s="6" t="s">
        <v>0</v>
      </c>
      <c r="S38" s="6" t="s">
        <v>0</v>
      </c>
      <c r="T38" s="6" t="s">
        <v>0</v>
      </c>
      <c r="U38" s="6" t="s">
        <v>0</v>
      </c>
      <c r="V38" s="6" t="s">
        <v>0</v>
      </c>
      <c r="W38" s="6">
        <v>165</v>
      </c>
      <c r="X38" s="6">
        <v>95</v>
      </c>
      <c r="Y38" s="9">
        <v>4</v>
      </c>
      <c r="Z38" s="6" t="s">
        <v>573</v>
      </c>
      <c r="AA38" s="79" t="s">
        <v>0</v>
      </c>
      <c r="AB38" s="79" t="s">
        <v>0</v>
      </c>
      <c r="AC38" s="68" t="s">
        <v>0</v>
      </c>
      <c r="AD38" s="61">
        <f t="shared" si="10"/>
        <v>0</v>
      </c>
      <c r="AE38" s="10" t="s">
        <v>0</v>
      </c>
      <c r="AF38" s="10" t="s">
        <v>0</v>
      </c>
      <c r="AG38" s="10" t="s">
        <v>465</v>
      </c>
      <c r="AH38" s="10" t="s">
        <v>340</v>
      </c>
      <c r="AI38" s="26" t="s">
        <v>0</v>
      </c>
      <c r="AJ38" s="6" t="s">
        <v>336</v>
      </c>
      <c r="AK38" s="7" t="s">
        <v>73</v>
      </c>
      <c r="AL38" s="6" t="s">
        <v>0</v>
      </c>
      <c r="AM38" s="7" t="s">
        <v>130</v>
      </c>
      <c r="AN38" s="7" t="s">
        <v>124</v>
      </c>
      <c r="AO38" s="14" t="s">
        <v>565</v>
      </c>
      <c r="AP38" s="68">
        <v>1</v>
      </c>
      <c r="AQ38" s="143">
        <f>ROUND(('Data extracted'!E38-'Data extracted'!D38)/7,0)</f>
        <v>20</v>
      </c>
      <c r="AR38" s="68" t="s">
        <v>0</v>
      </c>
      <c r="AS38" s="9" t="s">
        <v>0</v>
      </c>
      <c r="AT38" s="9" t="s">
        <v>0</v>
      </c>
      <c r="AU38" s="7" t="s">
        <v>73</v>
      </c>
      <c r="AV38" s="7" t="s">
        <v>73</v>
      </c>
      <c r="AW38" s="7" t="s">
        <v>337</v>
      </c>
      <c r="AX38" s="11" t="s">
        <v>0</v>
      </c>
      <c r="AY38" s="9" t="s">
        <v>0</v>
      </c>
      <c r="AZ38" s="9" t="s">
        <v>0</v>
      </c>
      <c r="BA38" s="9" t="s">
        <v>0</v>
      </c>
      <c r="BB38" s="9" t="s">
        <v>0</v>
      </c>
      <c r="BC38" s="20" t="s">
        <v>0</v>
      </c>
      <c r="BD38" s="6" t="s">
        <v>0</v>
      </c>
      <c r="BE38" s="6" t="s">
        <v>0</v>
      </c>
      <c r="BF38" s="9">
        <f t="shared" si="2"/>
        <v>0</v>
      </c>
      <c r="BG38" s="9" t="s">
        <v>0</v>
      </c>
      <c r="BH38" s="9" t="s">
        <v>0</v>
      </c>
      <c r="BI38" s="9" t="s">
        <v>0</v>
      </c>
      <c r="BJ38" s="9" t="s">
        <v>0</v>
      </c>
      <c r="BK38" s="56" t="str">
        <f t="shared" si="11"/>
        <v>#</v>
      </c>
      <c r="BL38" s="9">
        <f t="shared" si="9"/>
        <v>0</v>
      </c>
      <c r="BM38" s="9" t="s">
        <v>0</v>
      </c>
      <c r="BN38" s="9" t="s">
        <v>0</v>
      </c>
      <c r="BO38" s="9" t="s">
        <v>0</v>
      </c>
      <c r="BP38" s="20" t="s">
        <v>0</v>
      </c>
      <c r="BQ38" s="50" t="s">
        <v>0</v>
      </c>
      <c r="BR38" s="6" t="s">
        <v>0</v>
      </c>
      <c r="BS38" s="9">
        <f t="shared" si="7"/>
        <v>0</v>
      </c>
      <c r="BT38" s="9" t="s">
        <v>0</v>
      </c>
      <c r="BU38" s="9" t="s">
        <v>0</v>
      </c>
      <c r="BV38" s="9" t="s">
        <v>0</v>
      </c>
      <c r="BW38" s="9" t="s">
        <v>0</v>
      </c>
      <c r="BX38" s="20" t="str">
        <f t="shared" si="12"/>
        <v>#</v>
      </c>
      <c r="BY38" s="104" t="s">
        <v>0</v>
      </c>
      <c r="BZ38" s="104" t="s">
        <v>0</v>
      </c>
      <c r="CA38" s="104" t="s">
        <v>380</v>
      </c>
      <c r="CB38" s="104" t="s">
        <v>362</v>
      </c>
      <c r="CC38" s="104" t="s">
        <v>0</v>
      </c>
      <c r="CD38" s="105" t="s">
        <v>365</v>
      </c>
      <c r="CE38" s="149" t="s">
        <v>0</v>
      </c>
      <c r="CF38" s="149" t="s">
        <v>0</v>
      </c>
      <c r="CG38" s="149" t="s">
        <v>0</v>
      </c>
      <c r="CH38" s="63" t="s">
        <v>0</v>
      </c>
      <c r="CI38" s="64" t="s">
        <v>0</v>
      </c>
      <c r="CJ38" s="63" t="s">
        <v>0</v>
      </c>
      <c r="CK38" s="6" t="s">
        <v>0</v>
      </c>
      <c r="CL38" s="6" t="s">
        <v>0</v>
      </c>
      <c r="CM38" s="6" t="s">
        <v>0</v>
      </c>
      <c r="CN38" s="6" t="s">
        <v>0</v>
      </c>
      <c r="CO38" s="6" t="s">
        <v>0</v>
      </c>
      <c r="CP38" s="6" t="s">
        <v>0</v>
      </c>
      <c r="CQ38" s="6" t="s">
        <v>0</v>
      </c>
      <c r="CR38" s="11" t="s">
        <v>0</v>
      </c>
      <c r="CS38" s="6" t="s">
        <v>0</v>
      </c>
      <c r="CT38" s="11" t="s">
        <v>0</v>
      </c>
      <c r="CU38" s="6" t="s">
        <v>0</v>
      </c>
      <c r="CV38" s="6" t="s">
        <v>0</v>
      </c>
      <c r="CW38" s="11" t="s">
        <v>0</v>
      </c>
      <c r="CX38" s="27" t="s">
        <v>0</v>
      </c>
      <c r="CY38" s="27" t="s">
        <v>0</v>
      </c>
      <c r="CZ38" s="27" t="s">
        <v>835</v>
      </c>
      <c r="DA38" s="27" t="s">
        <v>0</v>
      </c>
      <c r="DB38" s="27" t="s">
        <v>0</v>
      </c>
      <c r="DC38" s="27" t="s">
        <v>0</v>
      </c>
      <c r="DD38" s="148" t="s">
        <v>0</v>
      </c>
      <c r="DE38" s="13" t="s">
        <v>0</v>
      </c>
      <c r="DF38" s="168" t="s">
        <v>0</v>
      </c>
      <c r="DG38" s="27" t="s">
        <v>0</v>
      </c>
      <c r="DH38" s="36" t="s">
        <v>0</v>
      </c>
      <c r="DI38" s="177" t="s">
        <v>887</v>
      </c>
    </row>
    <row r="39" spans="1:113" ht="16">
      <c r="A39" s="13" t="s">
        <v>513</v>
      </c>
      <c r="B39" s="47" t="s">
        <v>771</v>
      </c>
      <c r="C39" s="7" t="s">
        <v>92</v>
      </c>
      <c r="D39" s="22">
        <v>44615</v>
      </c>
      <c r="E39" s="22">
        <v>44909</v>
      </c>
      <c r="F39" s="7" t="s">
        <v>109</v>
      </c>
      <c r="G39" s="7" t="s">
        <v>652</v>
      </c>
      <c r="H39" s="7" t="s">
        <v>104</v>
      </c>
      <c r="I39" s="41">
        <v>89598.86</v>
      </c>
      <c r="J39" s="18" t="s">
        <v>1</v>
      </c>
      <c r="K39" s="9" t="s">
        <v>0</v>
      </c>
      <c r="L39" s="9" t="s">
        <v>0</v>
      </c>
      <c r="M39" s="9">
        <v>5575</v>
      </c>
      <c r="N39" s="9">
        <f t="shared" si="13"/>
        <v>5575</v>
      </c>
      <c r="O39" s="11" t="s">
        <v>249</v>
      </c>
      <c r="P39" s="6">
        <v>33.9</v>
      </c>
      <c r="Q39" s="6">
        <v>15</v>
      </c>
      <c r="R39" s="6">
        <v>29</v>
      </c>
      <c r="S39" s="6" t="s">
        <v>0</v>
      </c>
      <c r="T39" s="6" t="s">
        <v>0</v>
      </c>
      <c r="U39" s="6">
        <v>18</v>
      </c>
      <c r="V39" s="6">
        <v>82.1</v>
      </c>
      <c r="W39" s="6">
        <v>3708</v>
      </c>
      <c r="X39" s="6">
        <v>1830</v>
      </c>
      <c r="Y39" s="9">
        <v>37</v>
      </c>
      <c r="Z39" s="27" t="s">
        <v>572</v>
      </c>
      <c r="AA39" s="68" t="s">
        <v>0</v>
      </c>
      <c r="AB39" s="68" t="s">
        <v>0</v>
      </c>
      <c r="AC39" s="68" t="s">
        <v>0</v>
      </c>
      <c r="AD39" s="68">
        <f t="shared" si="10"/>
        <v>0</v>
      </c>
      <c r="AE39" s="7" t="s">
        <v>0</v>
      </c>
      <c r="AF39" s="7" t="s">
        <v>0</v>
      </c>
      <c r="AG39" s="7" t="s">
        <v>465</v>
      </c>
      <c r="AH39" s="10" t="s">
        <v>470</v>
      </c>
      <c r="AI39" s="26" t="s">
        <v>0</v>
      </c>
      <c r="AJ39" s="6" t="s">
        <v>305</v>
      </c>
      <c r="AK39" s="7" t="s">
        <v>0</v>
      </c>
      <c r="AL39" s="6" t="s">
        <v>0</v>
      </c>
      <c r="AM39" s="7" t="s">
        <v>1</v>
      </c>
      <c r="AN39" s="6" t="s">
        <v>305</v>
      </c>
      <c r="AO39" s="5" t="s">
        <v>305</v>
      </c>
      <c r="AP39" s="68" t="s">
        <v>0</v>
      </c>
      <c r="AQ39" s="143" t="s">
        <v>0</v>
      </c>
      <c r="AR39" s="9" t="s">
        <v>0</v>
      </c>
      <c r="AS39" s="9" t="s">
        <v>0</v>
      </c>
      <c r="AT39" s="9">
        <v>17572</v>
      </c>
      <c r="AU39" s="7" t="s">
        <v>73</v>
      </c>
      <c r="AV39" s="7" t="s">
        <v>73</v>
      </c>
      <c r="AW39" s="7" t="s">
        <v>471</v>
      </c>
      <c r="AX39" s="11" t="s">
        <v>307</v>
      </c>
      <c r="AY39" s="9" t="s">
        <v>0</v>
      </c>
      <c r="AZ39" s="9">
        <v>1350</v>
      </c>
      <c r="BA39" s="9" t="s">
        <v>0</v>
      </c>
      <c r="BB39" s="9" t="s">
        <v>0</v>
      </c>
      <c r="BC39" s="20" t="s">
        <v>0</v>
      </c>
      <c r="BD39" s="6" t="s">
        <v>158</v>
      </c>
      <c r="BE39" s="6" t="s">
        <v>472</v>
      </c>
      <c r="BF39" s="9">
        <f t="shared" si="2"/>
        <v>7300</v>
      </c>
      <c r="BG39" s="9">
        <v>456</v>
      </c>
      <c r="BH39" s="9" t="s">
        <v>0</v>
      </c>
      <c r="BI39" s="9">
        <v>6762</v>
      </c>
      <c r="BJ39" s="9">
        <v>82</v>
      </c>
      <c r="BK39" s="56">
        <f t="shared" si="11"/>
        <v>6844</v>
      </c>
      <c r="BL39" s="9">
        <f t="shared" si="9"/>
        <v>0</v>
      </c>
      <c r="BM39" s="9" t="s">
        <v>0</v>
      </c>
      <c r="BN39" s="9" t="s">
        <v>0</v>
      </c>
      <c r="BO39" s="9" t="s">
        <v>0</v>
      </c>
      <c r="BP39" s="20" t="s">
        <v>0</v>
      </c>
      <c r="BQ39" s="71" t="s">
        <v>0</v>
      </c>
      <c r="BR39" s="5" t="s">
        <v>0</v>
      </c>
      <c r="BS39" s="9">
        <f t="shared" si="7"/>
        <v>0</v>
      </c>
      <c r="BT39" s="9" t="s">
        <v>0</v>
      </c>
      <c r="BU39" s="9" t="s">
        <v>0</v>
      </c>
      <c r="BV39" s="9" t="s">
        <v>0</v>
      </c>
      <c r="BW39" s="9" t="s">
        <v>0</v>
      </c>
      <c r="BX39" s="20" t="str">
        <f t="shared" si="12"/>
        <v>#</v>
      </c>
      <c r="BY39" s="6" t="s">
        <v>158</v>
      </c>
      <c r="BZ39" s="5" t="s">
        <v>0</v>
      </c>
      <c r="CA39" s="6" t="s">
        <v>0</v>
      </c>
      <c r="CB39" s="6" t="s">
        <v>0</v>
      </c>
      <c r="CC39" s="6" t="s">
        <v>0</v>
      </c>
      <c r="CD39" s="11" t="s">
        <v>0</v>
      </c>
      <c r="CE39" s="149" t="s">
        <v>0</v>
      </c>
      <c r="CF39" s="149" t="s">
        <v>0</v>
      </c>
      <c r="CG39" s="149" t="s">
        <v>0</v>
      </c>
      <c r="CH39" s="63" t="s">
        <v>0</v>
      </c>
      <c r="CI39" s="64" t="s">
        <v>0</v>
      </c>
      <c r="CJ39" s="63" t="s">
        <v>0</v>
      </c>
      <c r="CK39" s="6" t="s">
        <v>0</v>
      </c>
      <c r="CL39" s="6" t="s">
        <v>0</v>
      </c>
      <c r="CM39" s="6" t="s">
        <v>0</v>
      </c>
      <c r="CN39" s="6" t="s">
        <v>0</v>
      </c>
      <c r="CO39" s="6" t="s">
        <v>0</v>
      </c>
      <c r="CP39" s="6" t="s">
        <v>0</v>
      </c>
      <c r="CQ39" s="6" t="s">
        <v>0</v>
      </c>
      <c r="CR39" s="11" t="s">
        <v>0</v>
      </c>
      <c r="CS39" s="6" t="s">
        <v>0</v>
      </c>
      <c r="CT39" s="11" t="s">
        <v>0</v>
      </c>
      <c r="CU39" s="6" t="s">
        <v>0</v>
      </c>
      <c r="CV39" s="6" t="s">
        <v>0</v>
      </c>
      <c r="CW39" s="11" t="s">
        <v>0</v>
      </c>
      <c r="CX39" s="27" t="s">
        <v>0</v>
      </c>
      <c r="CY39" s="27" t="s">
        <v>0</v>
      </c>
      <c r="CZ39" s="27" t="s">
        <v>0</v>
      </c>
      <c r="DA39" s="27" t="s">
        <v>0</v>
      </c>
      <c r="DB39" s="27" t="s">
        <v>0</v>
      </c>
      <c r="DC39" s="27" t="s">
        <v>0</v>
      </c>
      <c r="DD39" s="148" t="s">
        <v>0</v>
      </c>
      <c r="DE39" s="13" t="s">
        <v>0</v>
      </c>
      <c r="DF39" s="168" t="s">
        <v>0</v>
      </c>
      <c r="DG39" s="27" t="s">
        <v>0</v>
      </c>
      <c r="DH39" s="36" t="s">
        <v>0</v>
      </c>
      <c r="DI39" s="177" t="s">
        <v>0</v>
      </c>
    </row>
    <row r="40" spans="1:113" ht="16">
      <c r="A40" s="13" t="s">
        <v>514</v>
      </c>
      <c r="B40" s="47" t="s">
        <v>753</v>
      </c>
      <c r="C40" s="7" t="s">
        <v>92</v>
      </c>
      <c r="D40" s="22">
        <v>44506</v>
      </c>
      <c r="E40" s="22">
        <v>44551</v>
      </c>
      <c r="F40" s="7" t="s">
        <v>428</v>
      </c>
      <c r="G40" s="7" t="s">
        <v>650</v>
      </c>
      <c r="H40" s="7" t="s">
        <v>1</v>
      </c>
      <c r="I40" s="41">
        <v>63279.351000000002</v>
      </c>
      <c r="J40" s="18" t="s">
        <v>431</v>
      </c>
      <c r="K40" s="9" t="s">
        <v>0</v>
      </c>
      <c r="L40" s="9" t="s">
        <v>0</v>
      </c>
      <c r="M40" s="9">
        <v>9887</v>
      </c>
      <c r="N40" s="9">
        <f t="shared" si="13"/>
        <v>9887</v>
      </c>
      <c r="O40" s="11" t="s">
        <v>249</v>
      </c>
      <c r="P40" s="6" t="s">
        <v>0</v>
      </c>
      <c r="Q40" s="6" t="s">
        <v>0</v>
      </c>
      <c r="R40" s="6" t="s">
        <v>0</v>
      </c>
      <c r="S40" s="6" t="s">
        <v>0</v>
      </c>
      <c r="T40" s="6" t="s">
        <v>0</v>
      </c>
      <c r="U40" s="6" t="s">
        <v>0</v>
      </c>
      <c r="V40" s="6" t="s">
        <v>0</v>
      </c>
      <c r="W40" s="6">
        <v>1323</v>
      </c>
      <c r="X40" s="6">
        <v>1409</v>
      </c>
      <c r="Y40" s="9">
        <v>7155</v>
      </c>
      <c r="Z40" s="6" t="s">
        <v>573</v>
      </c>
      <c r="AA40" s="68" t="s">
        <v>0</v>
      </c>
      <c r="AB40" s="68" t="s">
        <v>0</v>
      </c>
      <c r="AC40" s="68" t="s">
        <v>0</v>
      </c>
      <c r="AD40" s="61">
        <f t="shared" si="10"/>
        <v>0</v>
      </c>
      <c r="AE40" s="10" t="s">
        <v>0</v>
      </c>
      <c r="AF40" s="7" t="s">
        <v>454</v>
      </c>
      <c r="AG40" s="10" t="s">
        <v>465</v>
      </c>
      <c r="AH40" s="10" t="s">
        <v>0</v>
      </c>
      <c r="AI40" s="26" t="s">
        <v>0</v>
      </c>
      <c r="AJ40" s="6" t="s">
        <v>305</v>
      </c>
      <c r="AK40" s="7" t="s">
        <v>0</v>
      </c>
      <c r="AL40" s="6" t="s">
        <v>0</v>
      </c>
      <c r="AM40" s="7" t="s">
        <v>455</v>
      </c>
      <c r="AN40" s="7" t="s">
        <v>124</v>
      </c>
      <c r="AO40" s="10" t="s">
        <v>565</v>
      </c>
      <c r="AP40" s="68">
        <v>7</v>
      </c>
      <c r="AQ40" s="143">
        <v>1</v>
      </c>
      <c r="AR40" s="9">
        <f>AQ40*AP40*M40</f>
        <v>69209</v>
      </c>
      <c r="AS40" s="9" t="s">
        <v>0</v>
      </c>
      <c r="AT40" s="9">
        <v>35438</v>
      </c>
      <c r="AU40" s="7" t="s">
        <v>73</v>
      </c>
      <c r="AV40" s="7" t="s">
        <v>73</v>
      </c>
      <c r="AW40" s="7" t="s">
        <v>427</v>
      </c>
      <c r="AX40" s="11" t="s">
        <v>0</v>
      </c>
      <c r="AY40" s="9" t="s">
        <v>0</v>
      </c>
      <c r="AZ40" s="9" t="s">
        <v>0</v>
      </c>
      <c r="BA40" s="9" t="s">
        <v>0</v>
      </c>
      <c r="BB40" s="9" t="s">
        <v>0</v>
      </c>
      <c r="BC40" s="20" t="s">
        <v>0</v>
      </c>
      <c r="BD40" s="6" t="s">
        <v>0</v>
      </c>
      <c r="BE40" s="6" t="s">
        <v>0</v>
      </c>
      <c r="BF40" s="9">
        <f t="shared" si="2"/>
        <v>0</v>
      </c>
      <c r="BG40" s="9" t="s">
        <v>0</v>
      </c>
      <c r="BH40" s="9" t="s">
        <v>0</v>
      </c>
      <c r="BI40" s="9" t="s">
        <v>0</v>
      </c>
      <c r="BJ40" s="9" t="s">
        <v>0</v>
      </c>
      <c r="BK40" s="56" t="str">
        <f t="shared" si="11"/>
        <v>#</v>
      </c>
      <c r="BL40" s="9">
        <f t="shared" si="9"/>
        <v>70</v>
      </c>
      <c r="BM40" s="9">
        <v>70</v>
      </c>
      <c r="BN40" s="9" t="s">
        <v>0</v>
      </c>
      <c r="BO40" s="9" t="s">
        <v>0</v>
      </c>
      <c r="BP40" s="20" t="s">
        <v>0</v>
      </c>
      <c r="BQ40" s="50" t="s">
        <v>158</v>
      </c>
      <c r="BR40" s="6" t="s">
        <v>0</v>
      </c>
      <c r="BS40" s="9">
        <f t="shared" si="7"/>
        <v>856</v>
      </c>
      <c r="BT40" s="9">
        <v>2</v>
      </c>
      <c r="BU40" s="9">
        <v>4</v>
      </c>
      <c r="BV40" s="9">
        <v>844</v>
      </c>
      <c r="BW40" s="9">
        <v>6</v>
      </c>
      <c r="BX40" s="20">
        <f t="shared" si="12"/>
        <v>6</v>
      </c>
      <c r="BY40" s="6" t="s">
        <v>158</v>
      </c>
      <c r="BZ40" s="5" t="s">
        <v>0</v>
      </c>
      <c r="CA40" s="104" t="s">
        <v>380</v>
      </c>
      <c r="CB40" s="6" t="s">
        <v>676</v>
      </c>
      <c r="CC40" s="6" t="s">
        <v>190</v>
      </c>
      <c r="CD40" s="11" t="s">
        <v>692</v>
      </c>
      <c r="CE40" s="149" t="s">
        <v>0</v>
      </c>
      <c r="CF40" s="149" t="s">
        <v>0</v>
      </c>
      <c r="CG40" s="149" t="s">
        <v>0</v>
      </c>
      <c r="CH40" s="63" t="s">
        <v>0</v>
      </c>
      <c r="CI40" s="64" t="s">
        <v>0</v>
      </c>
      <c r="CJ40" s="63" t="s">
        <v>0</v>
      </c>
      <c r="CK40" s="6" t="s">
        <v>0</v>
      </c>
      <c r="CL40" s="6" t="s">
        <v>0</v>
      </c>
      <c r="CM40" s="6" t="s">
        <v>0</v>
      </c>
      <c r="CN40" s="6" t="s">
        <v>0</v>
      </c>
      <c r="CO40" s="6" t="s">
        <v>0</v>
      </c>
      <c r="CP40" s="6" t="s">
        <v>0</v>
      </c>
      <c r="CQ40" s="6" t="s">
        <v>0</v>
      </c>
      <c r="CR40" s="11" t="s">
        <v>0</v>
      </c>
      <c r="CS40" s="6" t="s">
        <v>0</v>
      </c>
      <c r="CT40" s="11" t="s">
        <v>0</v>
      </c>
      <c r="CU40" s="6" t="s">
        <v>0</v>
      </c>
      <c r="CV40" s="6" t="s">
        <v>0</v>
      </c>
      <c r="CW40" s="11" t="s">
        <v>0</v>
      </c>
      <c r="CX40" s="27" t="s">
        <v>430</v>
      </c>
      <c r="CY40" s="27" t="s">
        <v>430</v>
      </c>
      <c r="CZ40" s="27" t="s">
        <v>0</v>
      </c>
      <c r="DA40" s="27" t="s">
        <v>429</v>
      </c>
      <c r="DB40" s="27" t="s">
        <v>0</v>
      </c>
      <c r="DC40" s="27" t="s">
        <v>0</v>
      </c>
      <c r="DD40" s="148" t="s">
        <v>0</v>
      </c>
      <c r="DE40" s="13" t="s">
        <v>0</v>
      </c>
      <c r="DF40" s="168" t="s">
        <v>0</v>
      </c>
      <c r="DG40" s="27" t="s">
        <v>0</v>
      </c>
      <c r="DH40" s="36" t="s">
        <v>0</v>
      </c>
      <c r="DI40" s="177" t="s">
        <v>0</v>
      </c>
    </row>
    <row r="41" spans="1:113" ht="15" customHeight="1">
      <c r="A41" s="13" t="s">
        <v>515</v>
      </c>
      <c r="B41" s="47" t="s">
        <v>754</v>
      </c>
      <c r="C41" s="7" t="s">
        <v>278</v>
      </c>
      <c r="D41" s="22">
        <v>44668</v>
      </c>
      <c r="E41" s="22">
        <v>44676</v>
      </c>
      <c r="F41" s="10" t="s">
        <v>103</v>
      </c>
      <c r="G41" s="10" t="s">
        <v>636</v>
      </c>
      <c r="H41" s="10" t="s">
        <v>104</v>
      </c>
      <c r="I41" s="42">
        <v>56843.908000000003</v>
      </c>
      <c r="J41" s="18" t="s">
        <v>1</v>
      </c>
      <c r="K41" s="9" t="s">
        <v>0</v>
      </c>
      <c r="L41" s="9">
        <v>21769</v>
      </c>
      <c r="M41" s="9">
        <v>17096</v>
      </c>
      <c r="N41" s="9">
        <f t="shared" si="13"/>
        <v>21769</v>
      </c>
      <c r="O41" s="63" t="s">
        <v>297</v>
      </c>
      <c r="P41" s="53" t="s">
        <v>0</v>
      </c>
      <c r="Q41" s="52" t="s">
        <v>0</v>
      </c>
      <c r="R41" s="6">
        <v>56</v>
      </c>
      <c r="S41" s="6">
        <v>38</v>
      </c>
      <c r="T41" s="6">
        <v>65</v>
      </c>
      <c r="U41" s="6" t="s">
        <v>0</v>
      </c>
      <c r="V41" s="6" t="s">
        <v>0</v>
      </c>
      <c r="W41" s="6" t="s">
        <v>0</v>
      </c>
      <c r="X41" s="6" t="s">
        <v>0</v>
      </c>
      <c r="Y41" s="9" t="s">
        <v>0</v>
      </c>
      <c r="Z41" s="6" t="s">
        <v>96</v>
      </c>
      <c r="AA41" s="79" t="s">
        <v>0</v>
      </c>
      <c r="AB41" s="79" t="s">
        <v>0</v>
      </c>
      <c r="AC41" s="68" t="s">
        <v>0</v>
      </c>
      <c r="AD41" s="61">
        <f t="shared" si="10"/>
        <v>0</v>
      </c>
      <c r="AE41" s="10" t="s">
        <v>0</v>
      </c>
      <c r="AF41" s="10" t="s">
        <v>0</v>
      </c>
      <c r="AG41" s="7" t="s">
        <v>465</v>
      </c>
      <c r="AH41" s="10" t="s">
        <v>0</v>
      </c>
      <c r="AI41" s="26" t="s">
        <v>0</v>
      </c>
      <c r="AJ41" s="50" t="s">
        <v>305</v>
      </c>
      <c r="AK41" s="7" t="s">
        <v>0</v>
      </c>
      <c r="AL41" s="6" t="s">
        <v>0</v>
      </c>
      <c r="AM41" s="7" t="s">
        <v>296</v>
      </c>
      <c r="AN41" s="7" t="s">
        <v>124</v>
      </c>
      <c r="AO41" s="14" t="s">
        <v>565</v>
      </c>
      <c r="AP41" s="68">
        <v>3</v>
      </c>
      <c r="AQ41" s="143">
        <v>1</v>
      </c>
      <c r="AR41" s="9" t="s">
        <v>0</v>
      </c>
      <c r="AS41" s="9" t="s">
        <v>0</v>
      </c>
      <c r="AT41" s="9" t="s">
        <v>0</v>
      </c>
      <c r="AU41" s="7" t="s">
        <v>0</v>
      </c>
      <c r="AV41" s="7" t="s">
        <v>0</v>
      </c>
      <c r="AW41" s="5" t="s">
        <v>277</v>
      </c>
      <c r="AX41" s="119" t="s">
        <v>0</v>
      </c>
      <c r="AY41" s="9" t="s">
        <v>0</v>
      </c>
      <c r="AZ41" s="9" t="s">
        <v>0</v>
      </c>
      <c r="BA41" s="9" t="s">
        <v>0</v>
      </c>
      <c r="BB41" s="9" t="s">
        <v>0</v>
      </c>
      <c r="BC41" s="20" t="s">
        <v>0</v>
      </c>
      <c r="BD41" s="50" t="s">
        <v>0</v>
      </c>
      <c r="BE41" s="5" t="s">
        <v>0</v>
      </c>
      <c r="BF41" s="9">
        <f t="shared" si="2"/>
        <v>0</v>
      </c>
      <c r="BG41" s="9" t="s">
        <v>0</v>
      </c>
      <c r="BH41" s="9" t="s">
        <v>0</v>
      </c>
      <c r="BI41" s="9" t="s">
        <v>0</v>
      </c>
      <c r="BJ41" s="9" t="s">
        <v>0</v>
      </c>
      <c r="BK41" s="56" t="str">
        <f t="shared" si="11"/>
        <v>#</v>
      </c>
      <c r="BL41" s="9">
        <f t="shared" si="9"/>
        <v>162</v>
      </c>
      <c r="BM41" s="9">
        <v>162</v>
      </c>
      <c r="BN41" s="9" t="s">
        <v>0</v>
      </c>
      <c r="BO41" s="9" t="s">
        <v>0</v>
      </c>
      <c r="BP41" s="20" t="s">
        <v>0</v>
      </c>
      <c r="BQ41" s="73" t="s">
        <v>0</v>
      </c>
      <c r="BR41" s="5" t="s">
        <v>0</v>
      </c>
      <c r="BS41" s="9">
        <f t="shared" si="7"/>
        <v>0</v>
      </c>
      <c r="BT41" s="9" t="s">
        <v>0</v>
      </c>
      <c r="BU41" s="9" t="s">
        <v>0</v>
      </c>
      <c r="BV41" s="9" t="s">
        <v>0</v>
      </c>
      <c r="BW41" s="9" t="s">
        <v>0</v>
      </c>
      <c r="BX41" s="20" t="str">
        <f t="shared" si="12"/>
        <v>#</v>
      </c>
      <c r="BY41" s="6" t="s">
        <v>0</v>
      </c>
      <c r="BZ41" s="5" t="s">
        <v>0</v>
      </c>
      <c r="CA41" s="6" t="s">
        <v>0</v>
      </c>
      <c r="CB41" s="6" t="s">
        <v>0</v>
      </c>
      <c r="CC41" s="6" t="s">
        <v>0</v>
      </c>
      <c r="CD41" s="11" t="s">
        <v>0</v>
      </c>
      <c r="CE41" s="149" t="s">
        <v>0</v>
      </c>
      <c r="CF41" s="149" t="s">
        <v>0</v>
      </c>
      <c r="CG41" s="149" t="s">
        <v>0</v>
      </c>
      <c r="CH41" s="63" t="s">
        <v>0</v>
      </c>
      <c r="CI41" s="64" t="s">
        <v>0</v>
      </c>
      <c r="CJ41" s="63" t="s">
        <v>0</v>
      </c>
      <c r="CK41" s="6" t="s">
        <v>0</v>
      </c>
      <c r="CL41" s="6" t="s">
        <v>0</v>
      </c>
      <c r="CM41" s="6" t="s">
        <v>0</v>
      </c>
      <c r="CN41" s="6" t="s">
        <v>0</v>
      </c>
      <c r="CO41" s="6" t="s">
        <v>0</v>
      </c>
      <c r="CP41" s="6" t="s">
        <v>0</v>
      </c>
      <c r="CQ41" s="6" t="s">
        <v>0</v>
      </c>
      <c r="CR41" s="11" t="s">
        <v>0</v>
      </c>
      <c r="CS41" s="6" t="s">
        <v>0</v>
      </c>
      <c r="CT41" s="11" t="s">
        <v>0</v>
      </c>
      <c r="CU41" s="6" t="s">
        <v>0</v>
      </c>
      <c r="CV41" s="6" t="s">
        <v>0</v>
      </c>
      <c r="CW41" s="11" t="s">
        <v>0</v>
      </c>
      <c r="CX41" s="27" t="s">
        <v>0</v>
      </c>
      <c r="CY41" s="27" t="s">
        <v>0</v>
      </c>
      <c r="CZ41" s="27" t="s">
        <v>0</v>
      </c>
      <c r="DA41" s="27" t="s">
        <v>0</v>
      </c>
      <c r="DB41" s="27" t="s">
        <v>0</v>
      </c>
      <c r="DC41" s="27" t="s">
        <v>0</v>
      </c>
      <c r="DD41" s="148" t="s">
        <v>0</v>
      </c>
      <c r="DE41" s="13" t="s">
        <v>0</v>
      </c>
      <c r="DF41" s="168" t="s">
        <v>0</v>
      </c>
      <c r="DG41" s="27" t="s">
        <v>0</v>
      </c>
      <c r="DH41" s="36" t="s">
        <v>0</v>
      </c>
      <c r="DI41" s="177" t="s">
        <v>0</v>
      </c>
    </row>
    <row r="42" spans="1:113" s="13" customFormat="1" ht="16">
      <c r="A42" s="13" t="s">
        <v>713</v>
      </c>
      <c r="B42" s="21" t="s">
        <v>16</v>
      </c>
      <c r="C42" s="13" t="s">
        <v>92</v>
      </c>
      <c r="D42" s="83">
        <v>44153</v>
      </c>
      <c r="E42" s="83">
        <v>44217</v>
      </c>
      <c r="F42" s="13" t="s">
        <v>93</v>
      </c>
      <c r="G42" s="13" t="s">
        <v>614</v>
      </c>
      <c r="H42" s="13" t="s">
        <v>104</v>
      </c>
      <c r="I42" s="45">
        <v>56660.868000000002</v>
      </c>
      <c r="J42" s="46" t="s">
        <v>1</v>
      </c>
      <c r="K42" s="9">
        <v>6702</v>
      </c>
      <c r="L42" s="9" t="s">
        <v>0</v>
      </c>
      <c r="M42" s="9">
        <v>5076</v>
      </c>
      <c r="N42" s="9">
        <f t="shared" si="13"/>
        <v>6702</v>
      </c>
      <c r="O42" s="180" t="s">
        <v>242</v>
      </c>
      <c r="P42" s="48" t="s">
        <v>0</v>
      </c>
      <c r="Q42" s="14" t="s">
        <v>0</v>
      </c>
      <c r="R42" s="14" t="s">
        <v>0</v>
      </c>
      <c r="S42" s="14" t="s">
        <v>0</v>
      </c>
      <c r="T42" s="14" t="s">
        <v>0</v>
      </c>
      <c r="U42" s="14" t="s">
        <v>0</v>
      </c>
      <c r="V42" s="14" t="s">
        <v>0</v>
      </c>
      <c r="W42" s="14" t="s">
        <v>0</v>
      </c>
      <c r="X42" s="14" t="s">
        <v>0</v>
      </c>
      <c r="Y42" s="9" t="s">
        <v>0</v>
      </c>
      <c r="Z42" s="14" t="s">
        <v>571</v>
      </c>
      <c r="AA42" s="78">
        <v>95</v>
      </c>
      <c r="AB42" s="61">
        <v>50</v>
      </c>
      <c r="AC42" s="61">
        <v>4931</v>
      </c>
      <c r="AD42" s="61">
        <f t="shared" si="10"/>
        <v>0</v>
      </c>
      <c r="AE42" s="14" t="s">
        <v>0</v>
      </c>
      <c r="AF42" s="13" t="s">
        <v>0</v>
      </c>
      <c r="AG42" s="13" t="s">
        <v>465</v>
      </c>
      <c r="AH42" s="14" t="s">
        <v>0</v>
      </c>
      <c r="AI42" s="16" t="s">
        <v>1</v>
      </c>
      <c r="AJ42" s="50" t="s">
        <v>121</v>
      </c>
      <c r="AK42" s="5" t="s">
        <v>73</v>
      </c>
      <c r="AL42" s="6" t="s">
        <v>122</v>
      </c>
      <c r="AM42" s="5" t="s">
        <v>123</v>
      </c>
      <c r="AN42" s="5" t="s">
        <v>124</v>
      </c>
      <c r="AO42" s="14" t="s">
        <v>565</v>
      </c>
      <c r="AP42" s="9">
        <v>2</v>
      </c>
      <c r="AQ42" s="143">
        <f>ROUND(('Data extracted'!E42-'Data extracted'!D42)/7,0)</f>
        <v>9</v>
      </c>
      <c r="AR42" s="9">
        <f>AQ42*AP42*M42</f>
        <v>91368</v>
      </c>
      <c r="AS42" s="9" t="s">
        <v>0</v>
      </c>
      <c r="AT42" s="9">
        <v>45022</v>
      </c>
      <c r="AU42" s="5" t="s">
        <v>73</v>
      </c>
      <c r="AV42" s="5" t="s">
        <v>73</v>
      </c>
      <c r="AW42" s="5" t="s">
        <v>133</v>
      </c>
      <c r="AX42" s="11" t="s">
        <v>305</v>
      </c>
      <c r="AY42" s="9">
        <f>SUM(AZ42:BC42)</f>
        <v>45022</v>
      </c>
      <c r="AZ42" s="9">
        <v>284</v>
      </c>
      <c r="BA42" s="9">
        <v>44676</v>
      </c>
      <c r="BB42" s="9">
        <v>35</v>
      </c>
      <c r="BC42" s="56">
        <v>27</v>
      </c>
      <c r="BD42" s="50" t="s">
        <v>158</v>
      </c>
      <c r="BE42" s="6" t="s">
        <v>150</v>
      </c>
      <c r="BF42" s="9">
        <f t="shared" si="2"/>
        <v>259</v>
      </c>
      <c r="BG42" s="9">
        <v>244</v>
      </c>
      <c r="BH42" s="9" t="s">
        <v>0</v>
      </c>
      <c r="BI42" s="9" t="s">
        <v>0</v>
      </c>
      <c r="BJ42" s="9">
        <v>15</v>
      </c>
      <c r="BK42" s="56" t="str">
        <f t="shared" si="11"/>
        <v>#</v>
      </c>
      <c r="BL42" s="9">
        <f t="shared" si="9"/>
        <v>5076</v>
      </c>
      <c r="BM42" s="9">
        <v>284</v>
      </c>
      <c r="BN42" s="9">
        <f>5076-BM42-BO42-BP42</f>
        <v>4730</v>
      </c>
      <c r="BO42" s="9">
        <v>35</v>
      </c>
      <c r="BP42" s="20">
        <v>27</v>
      </c>
      <c r="BQ42" s="71" t="s">
        <v>158</v>
      </c>
      <c r="BR42" s="5" t="s">
        <v>150</v>
      </c>
      <c r="BS42" s="9">
        <f t="shared" si="7"/>
        <v>295</v>
      </c>
      <c r="BT42" s="9">
        <v>244</v>
      </c>
      <c r="BU42" s="9">
        <v>36</v>
      </c>
      <c r="BV42" s="9" t="s">
        <v>0</v>
      </c>
      <c r="BW42" s="9">
        <v>15</v>
      </c>
      <c r="BX42" s="20">
        <f t="shared" si="12"/>
        <v>280</v>
      </c>
      <c r="BY42" s="6" t="s">
        <v>158</v>
      </c>
      <c r="BZ42" s="5" t="s">
        <v>189</v>
      </c>
      <c r="CA42" s="104" t="s">
        <v>380</v>
      </c>
      <c r="CB42" s="6" t="s">
        <v>185</v>
      </c>
      <c r="CC42" s="6" t="s">
        <v>190</v>
      </c>
      <c r="CD42" s="11" t="s">
        <v>0</v>
      </c>
      <c r="CE42" s="149" t="s">
        <v>0</v>
      </c>
      <c r="CF42" s="149" t="s">
        <v>0</v>
      </c>
      <c r="CG42" s="149" t="s">
        <v>0</v>
      </c>
      <c r="CH42" s="63" t="s">
        <v>0</v>
      </c>
      <c r="CI42" s="121" t="s">
        <v>0</v>
      </c>
      <c r="CJ42" s="122" t="s">
        <v>0</v>
      </c>
      <c r="CK42" s="14" t="s">
        <v>0</v>
      </c>
      <c r="CL42" s="14" t="s">
        <v>219</v>
      </c>
      <c r="CM42" s="14" t="s">
        <v>0</v>
      </c>
      <c r="CN42" s="14" t="s">
        <v>0</v>
      </c>
      <c r="CO42" s="14" t="s">
        <v>0</v>
      </c>
      <c r="CP42" s="14" t="s">
        <v>0</v>
      </c>
      <c r="CQ42" s="14" t="s">
        <v>0</v>
      </c>
      <c r="CR42" s="21" t="s">
        <v>0</v>
      </c>
      <c r="CS42" s="14" t="s">
        <v>0</v>
      </c>
      <c r="CT42" s="21" t="s">
        <v>0</v>
      </c>
      <c r="CU42" s="14" t="s">
        <v>0</v>
      </c>
      <c r="CV42" s="14" t="s">
        <v>0</v>
      </c>
      <c r="CW42" s="16" t="s">
        <v>0</v>
      </c>
      <c r="CX42" s="27" t="s">
        <v>0</v>
      </c>
      <c r="CY42" s="27" t="s">
        <v>0</v>
      </c>
      <c r="CZ42" s="27" t="s">
        <v>0</v>
      </c>
      <c r="DA42" s="27" t="s">
        <v>0</v>
      </c>
      <c r="DB42" s="27" t="s">
        <v>0</v>
      </c>
      <c r="DC42" s="27" t="s">
        <v>0</v>
      </c>
      <c r="DD42" s="148" t="s">
        <v>0</v>
      </c>
      <c r="DE42" s="13" t="s">
        <v>0</v>
      </c>
      <c r="DF42" s="168" t="s">
        <v>0</v>
      </c>
      <c r="DG42" s="27" t="s">
        <v>0</v>
      </c>
      <c r="DH42" s="36" t="s">
        <v>0</v>
      </c>
      <c r="DI42" s="177" t="s">
        <v>0</v>
      </c>
    </row>
    <row r="43" spans="1:113" s="33" customFormat="1" ht="16">
      <c r="A43" s="13" t="s">
        <v>864</v>
      </c>
      <c r="B43" s="36" t="s">
        <v>48</v>
      </c>
      <c r="C43" s="32" t="s">
        <v>92</v>
      </c>
      <c r="D43" s="82">
        <v>44331</v>
      </c>
      <c r="E43" s="82">
        <v>44635</v>
      </c>
      <c r="F43" s="32" t="s">
        <v>111</v>
      </c>
      <c r="G43" s="32" t="s">
        <v>633</v>
      </c>
      <c r="H43" s="32" t="s">
        <v>104</v>
      </c>
      <c r="I43" s="43">
        <v>94480.797000000006</v>
      </c>
      <c r="J43" s="34" t="s">
        <v>1</v>
      </c>
      <c r="K43" s="9">
        <v>161</v>
      </c>
      <c r="L43" s="9">
        <v>161</v>
      </c>
      <c r="M43" s="9">
        <v>161</v>
      </c>
      <c r="N43" s="9">
        <f t="shared" si="13"/>
        <v>161</v>
      </c>
      <c r="O43" s="11" t="s">
        <v>249</v>
      </c>
      <c r="P43" s="51" t="s">
        <v>0</v>
      </c>
      <c r="Q43" s="27" t="s">
        <v>0</v>
      </c>
      <c r="R43" s="27" t="s">
        <v>0</v>
      </c>
      <c r="S43" s="27" t="s">
        <v>0</v>
      </c>
      <c r="T43" s="27" t="s">
        <v>0</v>
      </c>
      <c r="U43" s="27" t="s">
        <v>0</v>
      </c>
      <c r="V43" s="27" t="s">
        <v>0</v>
      </c>
      <c r="W43" s="27" t="s">
        <v>0</v>
      </c>
      <c r="X43" s="27" t="s">
        <v>0</v>
      </c>
      <c r="Y43" s="9" t="s">
        <v>0</v>
      </c>
      <c r="Z43" s="27" t="s">
        <v>96</v>
      </c>
      <c r="AA43" s="81" t="s">
        <v>0</v>
      </c>
      <c r="AB43" s="108" t="s">
        <v>0</v>
      </c>
      <c r="AC43" s="108" t="s">
        <v>0</v>
      </c>
      <c r="AD43" s="61">
        <f t="shared" si="10"/>
        <v>0</v>
      </c>
      <c r="AE43" s="30" t="s">
        <v>0</v>
      </c>
      <c r="AF43" s="30" t="s">
        <v>0</v>
      </c>
      <c r="AG43" s="7" t="s">
        <v>465</v>
      </c>
      <c r="AH43" s="30" t="s">
        <v>0</v>
      </c>
      <c r="AI43" s="31" t="s">
        <v>0</v>
      </c>
      <c r="AJ43" s="51" t="s">
        <v>159</v>
      </c>
      <c r="AK43" s="32" t="s">
        <v>73</v>
      </c>
      <c r="AL43" s="27" t="s">
        <v>122</v>
      </c>
      <c r="AM43" s="32" t="s">
        <v>123</v>
      </c>
      <c r="AN43" s="32" t="s">
        <v>124</v>
      </c>
      <c r="AO43" s="14" t="s">
        <v>565</v>
      </c>
      <c r="AP43" s="68" t="s">
        <v>305</v>
      </c>
      <c r="AQ43" s="143">
        <f>ROUND(('Data extracted'!E43-'Data extracted'!D43)/7,0)</f>
        <v>43</v>
      </c>
      <c r="AR43" s="68" t="s">
        <v>0</v>
      </c>
      <c r="AS43" s="9" t="s">
        <v>0</v>
      </c>
      <c r="AT43" s="9" t="s">
        <v>0</v>
      </c>
      <c r="AU43" s="32" t="s">
        <v>73</v>
      </c>
      <c r="AV43" s="32" t="s">
        <v>73</v>
      </c>
      <c r="AW43" s="33" t="s">
        <v>160</v>
      </c>
      <c r="AX43" s="31" t="s">
        <v>305</v>
      </c>
      <c r="AY43" s="9">
        <v>0</v>
      </c>
      <c r="AZ43" s="28">
        <v>0</v>
      </c>
      <c r="BA43" s="28" t="s">
        <v>0</v>
      </c>
      <c r="BB43" s="28" t="s">
        <v>0</v>
      </c>
      <c r="BC43" s="37" t="s">
        <v>0</v>
      </c>
      <c r="BD43" s="51" t="s">
        <v>0</v>
      </c>
      <c r="BE43" s="33" t="s">
        <v>0</v>
      </c>
      <c r="BF43" s="9" t="s">
        <v>0</v>
      </c>
      <c r="BG43" s="28" t="s">
        <v>0</v>
      </c>
      <c r="BH43" s="28" t="s">
        <v>0</v>
      </c>
      <c r="BI43" s="28" t="s">
        <v>0</v>
      </c>
      <c r="BJ43" s="28" t="s">
        <v>0</v>
      </c>
      <c r="BK43" s="56" t="str">
        <f t="shared" si="11"/>
        <v>#</v>
      </c>
      <c r="BL43" s="9">
        <f t="shared" si="9"/>
        <v>161</v>
      </c>
      <c r="BM43" s="9">
        <v>0</v>
      </c>
      <c r="BN43" s="9">
        <v>161</v>
      </c>
      <c r="BO43" s="9" t="s">
        <v>0</v>
      </c>
      <c r="BP43" s="20" t="s">
        <v>0</v>
      </c>
      <c r="BQ43" s="73" t="s">
        <v>158</v>
      </c>
      <c r="BR43" s="33" t="s">
        <v>0</v>
      </c>
      <c r="BS43" s="28">
        <f t="shared" si="7"/>
        <v>160</v>
      </c>
      <c r="BT43" s="28">
        <v>0</v>
      </c>
      <c r="BU43" s="28">
        <v>0</v>
      </c>
      <c r="BV43" s="28">
        <v>160</v>
      </c>
      <c r="BW43" s="28">
        <v>0</v>
      </c>
      <c r="BX43" s="20">
        <f t="shared" si="12"/>
        <v>0</v>
      </c>
      <c r="BY43" s="10" t="s">
        <v>0</v>
      </c>
      <c r="BZ43" s="7" t="s">
        <v>0</v>
      </c>
      <c r="CA43" s="10" t="s">
        <v>0</v>
      </c>
      <c r="CB43" s="10" t="s">
        <v>0</v>
      </c>
      <c r="CC43" s="10" t="s">
        <v>0</v>
      </c>
      <c r="CD43" s="26" t="s">
        <v>0</v>
      </c>
      <c r="CE43" s="150" t="s">
        <v>0</v>
      </c>
      <c r="CF43" s="150" t="s">
        <v>0</v>
      </c>
      <c r="CG43" s="150" t="s">
        <v>0</v>
      </c>
      <c r="CH43" s="66" t="s">
        <v>0</v>
      </c>
      <c r="CI43" s="65" t="s">
        <v>0</v>
      </c>
      <c r="CJ43" s="66" t="s">
        <v>0</v>
      </c>
      <c r="CK43" s="14" t="s">
        <v>0</v>
      </c>
      <c r="CL43" s="14" t="s">
        <v>0</v>
      </c>
      <c r="CM43" s="14" t="s">
        <v>0</v>
      </c>
      <c r="CN43" s="14" t="s">
        <v>0</v>
      </c>
      <c r="CO43" s="6" t="s">
        <v>0</v>
      </c>
      <c r="CP43" s="6" t="s">
        <v>0</v>
      </c>
      <c r="CQ43" s="6" t="s">
        <v>0</v>
      </c>
      <c r="CR43" s="21" t="s">
        <v>0</v>
      </c>
      <c r="CS43" s="14" t="s">
        <v>0</v>
      </c>
      <c r="CT43" s="21" t="s">
        <v>0</v>
      </c>
      <c r="CU43" s="14" t="s">
        <v>0</v>
      </c>
      <c r="CV43" s="14" t="s">
        <v>0</v>
      </c>
      <c r="CW43" s="16" t="s">
        <v>0</v>
      </c>
      <c r="CX43" s="27" t="s">
        <v>0</v>
      </c>
      <c r="CY43" s="27" t="s">
        <v>0</v>
      </c>
      <c r="CZ43" s="27" t="s">
        <v>0</v>
      </c>
      <c r="DA43" s="27" t="s">
        <v>0</v>
      </c>
      <c r="DB43" s="27" t="s">
        <v>0</v>
      </c>
      <c r="DC43" s="27" t="s">
        <v>0</v>
      </c>
      <c r="DD43" s="148" t="s">
        <v>0</v>
      </c>
      <c r="DE43" s="13" t="s">
        <v>0</v>
      </c>
      <c r="DF43" s="168" t="s">
        <v>0</v>
      </c>
      <c r="DG43" s="27" t="s">
        <v>695</v>
      </c>
      <c r="DH43" s="36" t="s">
        <v>695</v>
      </c>
      <c r="DI43" s="177" t="s">
        <v>0</v>
      </c>
    </row>
    <row r="44" spans="1:113" ht="15" customHeight="1">
      <c r="A44" s="13" t="s">
        <v>933</v>
      </c>
      <c r="B44" s="12" t="s">
        <v>772</v>
      </c>
      <c r="C44" s="32" t="s">
        <v>92</v>
      </c>
      <c r="D44" s="22">
        <v>44315</v>
      </c>
      <c r="E44" s="22">
        <v>44405</v>
      </c>
      <c r="F44" s="10" t="s">
        <v>93</v>
      </c>
      <c r="G44" s="44" t="s">
        <v>615</v>
      </c>
      <c r="H44" s="10" t="s">
        <v>1</v>
      </c>
      <c r="I44" s="45">
        <v>56660.868000000002</v>
      </c>
      <c r="J44" s="39" t="s">
        <v>1</v>
      </c>
      <c r="K44" s="9" t="s">
        <v>0</v>
      </c>
      <c r="L44" s="9">
        <v>26123</v>
      </c>
      <c r="M44" s="9">
        <f>26123-5328</f>
        <v>20795</v>
      </c>
      <c r="N44" s="9">
        <f t="shared" si="13"/>
        <v>26123</v>
      </c>
      <c r="O44" s="11" t="s">
        <v>242</v>
      </c>
      <c r="P44" s="53" t="s">
        <v>0</v>
      </c>
      <c r="Q44" s="52" t="s">
        <v>0</v>
      </c>
      <c r="R44" s="6">
        <v>43</v>
      </c>
      <c r="S44" s="6">
        <v>29</v>
      </c>
      <c r="T44" s="6">
        <v>53</v>
      </c>
      <c r="U44" s="6" t="s">
        <v>0</v>
      </c>
      <c r="V44" s="6" t="s">
        <v>0</v>
      </c>
      <c r="W44" s="6">
        <v>14000</v>
      </c>
      <c r="X44" s="6">
        <v>12113</v>
      </c>
      <c r="Y44" s="9" t="s">
        <v>0</v>
      </c>
      <c r="Z44" s="6" t="s">
        <v>96</v>
      </c>
      <c r="AA44" s="79">
        <v>0</v>
      </c>
      <c r="AB44" s="61">
        <v>26123</v>
      </c>
      <c r="AC44" s="68">
        <v>0</v>
      </c>
      <c r="AD44" s="61">
        <f t="shared" si="10"/>
        <v>1</v>
      </c>
      <c r="AE44" s="10" t="s">
        <v>0</v>
      </c>
      <c r="AF44" s="10" t="s">
        <v>0</v>
      </c>
      <c r="AG44" s="7" t="s">
        <v>465</v>
      </c>
      <c r="AH44" s="10" t="s">
        <v>274</v>
      </c>
      <c r="AI44" s="26" t="s">
        <v>0</v>
      </c>
      <c r="AJ44" s="50" t="s">
        <v>121</v>
      </c>
      <c r="AK44" s="7" t="s">
        <v>73</v>
      </c>
      <c r="AL44" s="6" t="s">
        <v>122</v>
      </c>
      <c r="AM44" s="7" t="s">
        <v>166</v>
      </c>
      <c r="AN44" s="7" t="s">
        <v>124</v>
      </c>
      <c r="AO44" s="14" t="s">
        <v>565</v>
      </c>
      <c r="AP44" s="68">
        <v>7</v>
      </c>
      <c r="AQ44" s="143">
        <v>1</v>
      </c>
      <c r="AR44" s="9">
        <f>AQ44*AP44*M44</f>
        <v>145565</v>
      </c>
      <c r="AS44" s="9" t="s">
        <v>0</v>
      </c>
      <c r="AT44" s="9">
        <v>124010</v>
      </c>
      <c r="AU44" s="7" t="s">
        <v>73</v>
      </c>
      <c r="AV44" s="7" t="s">
        <v>73</v>
      </c>
      <c r="AW44" s="5" t="s">
        <v>277</v>
      </c>
      <c r="AX44" s="119" t="s">
        <v>0</v>
      </c>
      <c r="AY44" s="9" t="s">
        <v>0</v>
      </c>
      <c r="AZ44" s="9" t="s">
        <v>0</v>
      </c>
      <c r="BA44" s="9" t="s">
        <v>0</v>
      </c>
      <c r="BB44" s="9" t="s">
        <v>0</v>
      </c>
      <c r="BC44" s="20" t="s">
        <v>0</v>
      </c>
      <c r="BD44" s="50" t="s">
        <v>0</v>
      </c>
      <c r="BE44" s="5" t="s">
        <v>0</v>
      </c>
      <c r="BF44" s="9">
        <f t="shared" ref="BF44:BF79" si="14">SUM(BG44:BJ44)</f>
        <v>0</v>
      </c>
      <c r="BG44" s="9" t="s">
        <v>0</v>
      </c>
      <c r="BH44" s="9" t="s">
        <v>0</v>
      </c>
      <c r="BI44" s="9" t="s">
        <v>0</v>
      </c>
      <c r="BJ44" s="9" t="s">
        <v>0</v>
      </c>
      <c r="BK44" s="56" t="str">
        <f t="shared" si="11"/>
        <v>#</v>
      </c>
      <c r="BL44" s="9">
        <f t="shared" si="9"/>
        <v>20765</v>
      </c>
      <c r="BM44" s="9">
        <v>1132</v>
      </c>
      <c r="BN44" s="9">
        <v>19633</v>
      </c>
      <c r="BO44" s="9" t="s">
        <v>0</v>
      </c>
      <c r="BP44" s="20" t="s">
        <v>0</v>
      </c>
      <c r="BQ44" s="73" t="s">
        <v>0</v>
      </c>
      <c r="BR44" s="5" t="s">
        <v>0</v>
      </c>
      <c r="BS44" s="9">
        <f t="shared" si="7"/>
        <v>0</v>
      </c>
      <c r="BT44" s="9" t="s">
        <v>0</v>
      </c>
      <c r="BU44" s="9" t="s">
        <v>0</v>
      </c>
      <c r="BV44" s="9" t="s">
        <v>0</v>
      </c>
      <c r="BW44" s="9" t="s">
        <v>0</v>
      </c>
      <c r="BX44" s="20" t="str">
        <f t="shared" si="12"/>
        <v>#</v>
      </c>
      <c r="BY44" s="6" t="s">
        <v>158</v>
      </c>
      <c r="BZ44" s="5" t="s">
        <v>0</v>
      </c>
      <c r="CA44" s="104" t="s">
        <v>380</v>
      </c>
      <c r="CB44" s="6" t="s">
        <v>291</v>
      </c>
      <c r="CC44" s="6" t="s">
        <v>408</v>
      </c>
      <c r="CD44" s="11" t="s">
        <v>192</v>
      </c>
      <c r="CE44" s="149" t="s">
        <v>0</v>
      </c>
      <c r="CF44" s="149" t="s">
        <v>0</v>
      </c>
      <c r="CG44" s="149" t="s">
        <v>0</v>
      </c>
      <c r="CH44" s="63" t="s">
        <v>0</v>
      </c>
      <c r="CI44" s="64" t="s">
        <v>0</v>
      </c>
      <c r="CJ44" s="63" t="s">
        <v>0</v>
      </c>
      <c r="CK44" s="6" t="s">
        <v>0</v>
      </c>
      <c r="CL44" s="6" t="s">
        <v>0</v>
      </c>
      <c r="CM44" s="6" t="s">
        <v>0</v>
      </c>
      <c r="CN44" s="6">
        <v>327</v>
      </c>
      <c r="CO44" s="6">
        <v>5191</v>
      </c>
      <c r="CP44" s="6">
        <v>319</v>
      </c>
      <c r="CQ44" s="6">
        <v>5129</v>
      </c>
      <c r="CR44" s="11" t="s">
        <v>275</v>
      </c>
      <c r="CS44" s="6" t="s">
        <v>0</v>
      </c>
      <c r="CT44" s="11" t="s">
        <v>0</v>
      </c>
      <c r="CU44" s="6" t="s">
        <v>0</v>
      </c>
      <c r="CV44" s="6" t="s">
        <v>0</v>
      </c>
      <c r="CW44" s="11" t="s">
        <v>0</v>
      </c>
      <c r="CX44" s="27" t="s">
        <v>292</v>
      </c>
      <c r="CY44" s="27" t="s">
        <v>220</v>
      </c>
      <c r="CZ44" s="27" t="s">
        <v>0</v>
      </c>
      <c r="DA44" s="27" t="s">
        <v>292</v>
      </c>
      <c r="DB44" s="27" t="s">
        <v>0</v>
      </c>
      <c r="DC44" s="27" t="s">
        <v>0</v>
      </c>
      <c r="DD44" s="148" t="s">
        <v>0</v>
      </c>
      <c r="DE44" s="13" t="s">
        <v>0</v>
      </c>
      <c r="DF44" s="168" t="s">
        <v>0</v>
      </c>
      <c r="DG44" s="27" t="s">
        <v>0</v>
      </c>
      <c r="DH44" s="36" t="s">
        <v>0</v>
      </c>
      <c r="DI44" s="179" t="s">
        <v>886</v>
      </c>
    </row>
    <row r="45" spans="1:113" s="13" customFormat="1" ht="16">
      <c r="A45" s="13" t="s">
        <v>516</v>
      </c>
      <c r="B45" s="12" t="s">
        <v>773</v>
      </c>
      <c r="C45" s="13" t="s">
        <v>92</v>
      </c>
      <c r="D45" s="82">
        <v>44176</v>
      </c>
      <c r="E45" s="82">
        <v>44208</v>
      </c>
      <c r="F45" s="44" t="s">
        <v>93</v>
      </c>
      <c r="G45" s="44" t="s">
        <v>615</v>
      </c>
      <c r="H45" s="13" t="s">
        <v>361</v>
      </c>
      <c r="I45" s="45">
        <v>56660.868000000002</v>
      </c>
      <c r="J45" s="18" t="s">
        <v>431</v>
      </c>
      <c r="K45" s="9">
        <v>1760</v>
      </c>
      <c r="L45" s="9">
        <v>812</v>
      </c>
      <c r="M45" s="9">
        <v>570</v>
      </c>
      <c r="N45" s="9">
        <f t="shared" si="13"/>
        <v>1760</v>
      </c>
      <c r="O45" s="11" t="s">
        <v>243</v>
      </c>
      <c r="P45" s="48" t="s">
        <v>0</v>
      </c>
      <c r="Q45" s="14" t="s">
        <v>0</v>
      </c>
      <c r="R45" s="14" t="s">
        <v>0</v>
      </c>
      <c r="S45" s="14" t="s">
        <v>0</v>
      </c>
      <c r="T45" s="14" t="s">
        <v>0</v>
      </c>
      <c r="U45" s="6" t="s">
        <v>0</v>
      </c>
      <c r="V45" s="6" t="s">
        <v>0</v>
      </c>
      <c r="W45" s="14">
        <v>864</v>
      </c>
      <c r="X45" s="14">
        <v>896</v>
      </c>
      <c r="Y45" s="9" t="s">
        <v>0</v>
      </c>
      <c r="Z45" s="14" t="s">
        <v>96</v>
      </c>
      <c r="AA45" s="78">
        <v>0</v>
      </c>
      <c r="AB45" s="61">
        <v>1760</v>
      </c>
      <c r="AC45" s="61">
        <v>0</v>
      </c>
      <c r="AD45" s="61">
        <f t="shared" si="10"/>
        <v>1</v>
      </c>
      <c r="AE45" s="14" t="s">
        <v>0</v>
      </c>
      <c r="AF45" s="13" t="s">
        <v>473</v>
      </c>
      <c r="AG45" s="13" t="s">
        <v>465</v>
      </c>
      <c r="AH45" s="14" t="s">
        <v>0</v>
      </c>
      <c r="AI45" s="16" t="s">
        <v>0</v>
      </c>
      <c r="AJ45" s="50" t="s">
        <v>121</v>
      </c>
      <c r="AK45" s="5" t="s">
        <v>73</v>
      </c>
      <c r="AL45" s="6" t="s">
        <v>122</v>
      </c>
      <c r="AM45" s="5" t="s">
        <v>134</v>
      </c>
      <c r="AN45" s="5" t="s">
        <v>124</v>
      </c>
      <c r="AO45" s="14" t="s">
        <v>565</v>
      </c>
      <c r="AP45" s="9">
        <v>6</v>
      </c>
      <c r="AQ45" s="143">
        <f>ROUND(('Data extracted'!E45-'Data extracted'!D45)/7,0)</f>
        <v>5</v>
      </c>
      <c r="AR45" s="9">
        <f>1*AP45*M45</f>
        <v>3420</v>
      </c>
      <c r="AS45" s="9" t="s">
        <v>0</v>
      </c>
      <c r="AT45" s="9">
        <v>2505</v>
      </c>
      <c r="AU45" s="5" t="s">
        <v>73</v>
      </c>
      <c r="AV45" s="5" t="s">
        <v>73</v>
      </c>
      <c r="AW45" s="5" t="s">
        <v>0</v>
      </c>
      <c r="AX45" s="11" t="s">
        <v>308</v>
      </c>
      <c r="AY45" s="9" t="s">
        <v>0</v>
      </c>
      <c r="AZ45" s="9" t="s">
        <v>0</v>
      </c>
      <c r="BA45" s="9" t="s">
        <v>0</v>
      </c>
      <c r="BB45" s="9" t="s">
        <v>0</v>
      </c>
      <c r="BC45" s="56" t="s">
        <v>0</v>
      </c>
      <c r="BD45" s="50" t="s">
        <v>0</v>
      </c>
      <c r="BE45" s="6" t="s">
        <v>0</v>
      </c>
      <c r="BF45" s="9">
        <f t="shared" si="14"/>
        <v>0</v>
      </c>
      <c r="BG45" s="9" t="s">
        <v>0</v>
      </c>
      <c r="BH45" s="9" t="s">
        <v>0</v>
      </c>
      <c r="BI45" s="9" t="s">
        <v>0</v>
      </c>
      <c r="BJ45" s="9" t="s">
        <v>0</v>
      </c>
      <c r="BK45" s="56" t="str">
        <f t="shared" si="11"/>
        <v>#</v>
      </c>
      <c r="BL45" s="9">
        <f t="shared" si="9"/>
        <v>578</v>
      </c>
      <c r="BM45" s="9">
        <v>102</v>
      </c>
      <c r="BN45" s="9">
        <v>464</v>
      </c>
      <c r="BO45" s="9">
        <v>4</v>
      </c>
      <c r="BP45" s="20">
        <v>8</v>
      </c>
      <c r="BQ45" s="71" t="s">
        <v>158</v>
      </c>
      <c r="BR45" s="5" t="s">
        <v>122</v>
      </c>
      <c r="BS45" s="9">
        <f t="shared" si="7"/>
        <v>346</v>
      </c>
      <c r="BT45" s="9">
        <v>53</v>
      </c>
      <c r="BU45" s="9">
        <v>11</v>
      </c>
      <c r="BV45" s="9">
        <v>281</v>
      </c>
      <c r="BW45" s="9">
        <v>1</v>
      </c>
      <c r="BX45" s="20">
        <f t="shared" si="12"/>
        <v>64</v>
      </c>
      <c r="BY45" s="6" t="s">
        <v>158</v>
      </c>
      <c r="BZ45" s="5" t="s">
        <v>0</v>
      </c>
      <c r="CA45" s="104" t="s">
        <v>380</v>
      </c>
      <c r="CB45" s="6" t="s">
        <v>291</v>
      </c>
      <c r="CC45" s="6" t="s">
        <v>408</v>
      </c>
      <c r="CD45" s="11" t="s">
        <v>192</v>
      </c>
      <c r="CE45" s="149" t="s">
        <v>0</v>
      </c>
      <c r="CF45" s="149" t="s">
        <v>0</v>
      </c>
      <c r="CG45" s="149" t="s">
        <v>0</v>
      </c>
      <c r="CH45" s="63" t="s">
        <v>0</v>
      </c>
      <c r="CI45" s="121" t="s">
        <v>0</v>
      </c>
      <c r="CJ45" s="122" t="s">
        <v>0</v>
      </c>
      <c r="CK45" s="14" t="s">
        <v>0</v>
      </c>
      <c r="CL45" s="14" t="s">
        <v>0</v>
      </c>
      <c r="CM45" s="14" t="s">
        <v>0</v>
      </c>
      <c r="CN45" s="14">
        <v>10</v>
      </c>
      <c r="CO45" s="14">
        <v>160</v>
      </c>
      <c r="CP45" s="14" t="s">
        <v>0</v>
      </c>
      <c r="CQ45" s="14" t="s">
        <v>0</v>
      </c>
      <c r="CR45" s="21" t="s">
        <v>0</v>
      </c>
      <c r="CS45" s="14" t="s">
        <v>0</v>
      </c>
      <c r="CT45" s="21" t="s">
        <v>0</v>
      </c>
      <c r="CU45" s="14" t="s">
        <v>0</v>
      </c>
      <c r="CV45" s="14" t="s">
        <v>0</v>
      </c>
      <c r="CW45" s="16" t="s">
        <v>0</v>
      </c>
      <c r="CX45" s="27" t="s">
        <v>0</v>
      </c>
      <c r="CY45" s="27" t="s">
        <v>220</v>
      </c>
      <c r="CZ45" s="27" t="s">
        <v>0</v>
      </c>
      <c r="DA45" s="27" t="s">
        <v>0</v>
      </c>
      <c r="DB45" s="27" t="s">
        <v>0</v>
      </c>
      <c r="DC45" s="27" t="s">
        <v>0</v>
      </c>
      <c r="DD45" s="148" t="s">
        <v>0</v>
      </c>
      <c r="DE45" s="13" t="s">
        <v>0</v>
      </c>
      <c r="DF45" s="168" t="s">
        <v>0</v>
      </c>
      <c r="DG45" s="27" t="s">
        <v>0</v>
      </c>
      <c r="DH45" s="36" t="s">
        <v>0</v>
      </c>
      <c r="DI45" s="177" t="s">
        <v>888</v>
      </c>
    </row>
    <row r="46" spans="1:113" ht="15" customHeight="1">
      <c r="A46" s="13" t="s">
        <v>934</v>
      </c>
      <c r="B46" s="47" t="s">
        <v>755</v>
      </c>
      <c r="C46" s="7" t="s">
        <v>92</v>
      </c>
      <c r="D46" s="22">
        <v>44727</v>
      </c>
      <c r="E46" s="22">
        <v>44910</v>
      </c>
      <c r="F46" s="10" t="s">
        <v>358</v>
      </c>
      <c r="G46" s="10" t="s">
        <v>668</v>
      </c>
      <c r="H46" s="10" t="s">
        <v>361</v>
      </c>
      <c r="I46" s="42">
        <v>10125.977000000001</v>
      </c>
      <c r="J46" s="18" t="s">
        <v>431</v>
      </c>
      <c r="K46" s="9">
        <v>2180</v>
      </c>
      <c r="L46" s="9">
        <v>2156</v>
      </c>
      <c r="M46" s="9" t="s">
        <v>0</v>
      </c>
      <c r="N46" s="9">
        <f t="shared" si="13"/>
        <v>2180</v>
      </c>
      <c r="O46" s="63" t="s">
        <v>297</v>
      </c>
      <c r="P46" s="52" t="s">
        <v>0</v>
      </c>
      <c r="Q46" s="52" t="s">
        <v>0</v>
      </c>
      <c r="R46" s="6" t="s">
        <v>0</v>
      </c>
      <c r="S46" s="6" t="s">
        <v>0</v>
      </c>
      <c r="T46" s="6" t="s">
        <v>0</v>
      </c>
      <c r="U46" s="6" t="s">
        <v>0</v>
      </c>
      <c r="V46" s="6" t="s">
        <v>0</v>
      </c>
      <c r="W46" s="6" t="s">
        <v>0</v>
      </c>
      <c r="X46" s="6" t="s">
        <v>0</v>
      </c>
      <c r="Y46" s="9" t="s">
        <v>0</v>
      </c>
      <c r="Z46" s="6" t="s">
        <v>305</v>
      </c>
      <c r="AA46" s="79" t="s">
        <v>0</v>
      </c>
      <c r="AB46" s="79" t="s">
        <v>0</v>
      </c>
      <c r="AC46" s="68" t="s">
        <v>0</v>
      </c>
      <c r="AD46" s="61">
        <f t="shared" si="10"/>
        <v>0</v>
      </c>
      <c r="AE46" s="10">
        <v>271</v>
      </c>
      <c r="AF46" s="10" t="s">
        <v>0</v>
      </c>
      <c r="AG46" s="10" t="s">
        <v>465</v>
      </c>
      <c r="AH46" s="10" t="s">
        <v>460</v>
      </c>
      <c r="AI46" s="26" t="s">
        <v>461</v>
      </c>
      <c r="AJ46" s="6" t="s">
        <v>359</v>
      </c>
      <c r="AK46" s="7" t="s">
        <v>73</v>
      </c>
      <c r="AL46" s="6" t="s">
        <v>122</v>
      </c>
      <c r="AM46" s="7" t="s">
        <v>166</v>
      </c>
      <c r="AN46" s="7" t="s">
        <v>234</v>
      </c>
      <c r="AO46" s="10" t="s">
        <v>565</v>
      </c>
      <c r="AP46" s="68">
        <v>1</v>
      </c>
      <c r="AQ46" s="143">
        <v>26</v>
      </c>
      <c r="AR46" s="9" t="s">
        <v>0</v>
      </c>
      <c r="AS46" s="9" t="s">
        <v>0</v>
      </c>
      <c r="AT46" s="9">
        <v>51912</v>
      </c>
      <c r="AU46" s="7" t="s">
        <v>73</v>
      </c>
      <c r="AV46" s="7" t="s">
        <v>73</v>
      </c>
      <c r="AW46" s="7" t="s">
        <v>436</v>
      </c>
      <c r="AX46" s="11" t="s">
        <v>0</v>
      </c>
      <c r="AY46" s="9">
        <v>51912</v>
      </c>
      <c r="AZ46" s="9">
        <v>289</v>
      </c>
      <c r="BA46" s="9">
        <v>51569</v>
      </c>
      <c r="BB46" s="9">
        <v>54</v>
      </c>
      <c r="BC46" s="20" t="s">
        <v>0</v>
      </c>
      <c r="BD46" s="6" t="s">
        <v>0</v>
      </c>
      <c r="BE46" s="6" t="s">
        <v>0</v>
      </c>
      <c r="BF46" s="9">
        <f t="shared" si="14"/>
        <v>0</v>
      </c>
      <c r="BG46" s="9" t="s">
        <v>0</v>
      </c>
      <c r="BH46" s="9" t="s">
        <v>0</v>
      </c>
      <c r="BI46" s="9" t="s">
        <v>0</v>
      </c>
      <c r="BJ46" s="9" t="s">
        <v>0</v>
      </c>
      <c r="BK46" s="56" t="str">
        <f t="shared" si="11"/>
        <v>#</v>
      </c>
      <c r="BL46" s="9">
        <f t="shared" si="9"/>
        <v>282</v>
      </c>
      <c r="BM46" s="9">
        <v>282</v>
      </c>
      <c r="BN46" s="9" t="s">
        <v>0</v>
      </c>
      <c r="BO46" s="9" t="s">
        <v>0</v>
      </c>
      <c r="BP46" s="20" t="s">
        <v>0</v>
      </c>
      <c r="BQ46" s="50" t="s">
        <v>0</v>
      </c>
      <c r="BR46" s="6" t="s">
        <v>0</v>
      </c>
      <c r="BS46" s="9">
        <f t="shared" si="7"/>
        <v>0</v>
      </c>
      <c r="BT46" s="9" t="s">
        <v>0</v>
      </c>
      <c r="BU46" s="9" t="s">
        <v>0</v>
      </c>
      <c r="BV46" s="9" t="s">
        <v>0</v>
      </c>
      <c r="BW46" s="9" t="s">
        <v>0</v>
      </c>
      <c r="BX46" s="20" t="str">
        <f t="shared" si="12"/>
        <v>#</v>
      </c>
      <c r="BY46" s="6" t="s">
        <v>685</v>
      </c>
      <c r="BZ46" s="5" t="s">
        <v>440</v>
      </c>
      <c r="CA46" s="104" t="s">
        <v>380</v>
      </c>
      <c r="CB46" s="6" t="s">
        <v>901</v>
      </c>
      <c r="CC46" s="6" t="s">
        <v>0</v>
      </c>
      <c r="CD46" s="11" t="s">
        <v>441</v>
      </c>
      <c r="CE46" s="149" t="s">
        <v>0</v>
      </c>
      <c r="CF46" s="149" t="s">
        <v>0</v>
      </c>
      <c r="CG46" s="149" t="s">
        <v>0</v>
      </c>
      <c r="CH46" s="63" t="s">
        <v>0</v>
      </c>
      <c r="CI46" s="64" t="s">
        <v>0</v>
      </c>
      <c r="CJ46" s="63" t="s">
        <v>0</v>
      </c>
      <c r="CK46" s="6" t="s">
        <v>0</v>
      </c>
      <c r="CL46" s="6" t="s">
        <v>0</v>
      </c>
      <c r="CM46" s="6" t="s">
        <v>0</v>
      </c>
      <c r="CN46" s="6" t="s">
        <v>0</v>
      </c>
      <c r="CO46" s="6" t="s">
        <v>0</v>
      </c>
      <c r="CP46" s="6" t="s">
        <v>0</v>
      </c>
      <c r="CQ46" s="6" t="s">
        <v>0</v>
      </c>
      <c r="CR46" s="11" t="s">
        <v>0</v>
      </c>
      <c r="CS46" s="6" t="s">
        <v>0</v>
      </c>
      <c r="CT46" s="11" t="s">
        <v>0</v>
      </c>
      <c r="CU46" s="6" t="s">
        <v>0</v>
      </c>
      <c r="CV46" s="6" t="s">
        <v>0</v>
      </c>
      <c r="CW46" s="11" t="s">
        <v>0</v>
      </c>
      <c r="CX46" s="27" t="s">
        <v>443</v>
      </c>
      <c r="CY46" s="27" t="s">
        <v>443</v>
      </c>
      <c r="CZ46" s="27" t="s">
        <v>444</v>
      </c>
      <c r="DA46" s="27" t="s">
        <v>443</v>
      </c>
      <c r="DB46" s="27" t="s">
        <v>0</v>
      </c>
      <c r="DC46" s="27" t="s">
        <v>0</v>
      </c>
      <c r="DD46" s="148" t="s">
        <v>0</v>
      </c>
      <c r="DE46" s="13" t="s">
        <v>0</v>
      </c>
      <c r="DF46" s="168" t="s">
        <v>0</v>
      </c>
      <c r="DG46" s="27" t="s">
        <v>0</v>
      </c>
      <c r="DH46" s="36" t="s">
        <v>0</v>
      </c>
      <c r="DI46" s="177" t="s">
        <v>0</v>
      </c>
    </row>
    <row r="47" spans="1:113" ht="15" customHeight="1">
      <c r="A47" s="13" t="s">
        <v>935</v>
      </c>
      <c r="B47" s="47" t="s">
        <v>755</v>
      </c>
      <c r="C47" s="7" t="s">
        <v>92</v>
      </c>
      <c r="D47" s="22">
        <v>44727</v>
      </c>
      <c r="E47" s="22">
        <v>44910</v>
      </c>
      <c r="F47" s="10" t="s">
        <v>358</v>
      </c>
      <c r="G47" s="10" t="s">
        <v>669</v>
      </c>
      <c r="H47" s="10" t="s">
        <v>361</v>
      </c>
      <c r="I47" s="42">
        <v>10125.977000000001</v>
      </c>
      <c r="J47" s="18" t="s">
        <v>431</v>
      </c>
      <c r="K47" s="9" t="s">
        <v>0</v>
      </c>
      <c r="L47" s="9">
        <v>582</v>
      </c>
      <c r="M47" s="9" t="s">
        <v>0</v>
      </c>
      <c r="N47" s="9">
        <f t="shared" si="13"/>
        <v>582</v>
      </c>
      <c r="O47" s="63" t="s">
        <v>297</v>
      </c>
      <c r="P47" s="52" t="s">
        <v>0</v>
      </c>
      <c r="Q47" s="52" t="s">
        <v>0</v>
      </c>
      <c r="R47" s="6" t="s">
        <v>0</v>
      </c>
      <c r="S47" s="6" t="s">
        <v>0</v>
      </c>
      <c r="T47" s="6" t="s">
        <v>0</v>
      </c>
      <c r="U47" s="6" t="s">
        <v>0</v>
      </c>
      <c r="V47" s="6" t="s">
        <v>0</v>
      </c>
      <c r="W47" s="6" t="s">
        <v>0</v>
      </c>
      <c r="X47" s="6" t="s">
        <v>0</v>
      </c>
      <c r="Y47" s="9" t="s">
        <v>0</v>
      </c>
      <c r="Z47" s="6" t="s">
        <v>96</v>
      </c>
      <c r="AA47" s="79" t="s">
        <v>0</v>
      </c>
      <c r="AB47" s="79" t="s">
        <v>0</v>
      </c>
      <c r="AC47" s="68" t="s">
        <v>0</v>
      </c>
      <c r="AD47" s="61">
        <f t="shared" si="10"/>
        <v>0</v>
      </c>
      <c r="AE47" s="10" t="s">
        <v>0</v>
      </c>
      <c r="AF47" s="10" t="s">
        <v>0</v>
      </c>
      <c r="AG47" s="10" t="s">
        <v>465</v>
      </c>
      <c r="AH47" s="10" t="s">
        <v>0</v>
      </c>
      <c r="AI47" s="26" t="s">
        <v>0</v>
      </c>
      <c r="AJ47" s="6" t="s">
        <v>359</v>
      </c>
      <c r="AK47" s="7" t="s">
        <v>73</v>
      </c>
      <c r="AL47" s="6" t="s">
        <v>122</v>
      </c>
      <c r="AM47" s="7" t="s">
        <v>360</v>
      </c>
      <c r="AN47" s="7" t="s">
        <v>234</v>
      </c>
      <c r="AO47" s="5" t="s">
        <v>565</v>
      </c>
      <c r="AP47" s="68" t="s">
        <v>305</v>
      </c>
      <c r="AQ47" s="143">
        <v>26</v>
      </c>
      <c r="AR47" s="144" t="s">
        <v>0</v>
      </c>
      <c r="AS47" s="9" t="s">
        <v>0</v>
      </c>
      <c r="AT47" s="9">
        <v>1073</v>
      </c>
      <c r="AU47" s="7" t="s">
        <v>73</v>
      </c>
      <c r="AV47" s="7" t="s">
        <v>73</v>
      </c>
      <c r="AW47" s="7" t="s">
        <v>0</v>
      </c>
      <c r="AX47" s="11" t="s">
        <v>0</v>
      </c>
      <c r="AY47" s="9">
        <v>1073</v>
      </c>
      <c r="AZ47" s="9">
        <v>333</v>
      </c>
      <c r="BA47" s="9">
        <v>734</v>
      </c>
      <c r="BB47" s="9">
        <v>6</v>
      </c>
      <c r="BC47" s="20" t="s">
        <v>0</v>
      </c>
      <c r="BD47" s="6" t="s">
        <v>0</v>
      </c>
      <c r="BE47" s="6" t="s">
        <v>0</v>
      </c>
      <c r="BF47" s="9">
        <f t="shared" si="14"/>
        <v>0</v>
      </c>
      <c r="BG47" s="9" t="s">
        <v>0</v>
      </c>
      <c r="BH47" s="9" t="s">
        <v>0</v>
      </c>
      <c r="BI47" s="9" t="s">
        <v>0</v>
      </c>
      <c r="BJ47" s="9" t="s">
        <v>0</v>
      </c>
      <c r="BK47" s="56" t="str">
        <f t="shared" si="11"/>
        <v>#</v>
      </c>
      <c r="BL47" s="9">
        <f t="shared" si="9"/>
        <v>319</v>
      </c>
      <c r="BM47" s="9">
        <v>319</v>
      </c>
      <c r="BN47" s="9" t="s">
        <v>0</v>
      </c>
      <c r="BO47" s="9" t="s">
        <v>0</v>
      </c>
      <c r="BP47" s="20" t="s">
        <v>0</v>
      </c>
      <c r="BQ47" s="50" t="s">
        <v>0</v>
      </c>
      <c r="BR47" s="6" t="s">
        <v>0</v>
      </c>
      <c r="BS47" s="9">
        <f t="shared" si="7"/>
        <v>0</v>
      </c>
      <c r="BT47" s="9" t="s">
        <v>0</v>
      </c>
      <c r="BU47" s="9" t="s">
        <v>0</v>
      </c>
      <c r="BV47" s="9" t="s">
        <v>0</v>
      </c>
      <c r="BW47" s="9" t="s">
        <v>0</v>
      </c>
      <c r="BX47" s="20" t="str">
        <f t="shared" si="12"/>
        <v>#</v>
      </c>
      <c r="BY47" s="6" t="s">
        <v>685</v>
      </c>
      <c r="BZ47" s="5" t="s">
        <v>440</v>
      </c>
      <c r="CA47" s="104" t="s">
        <v>380</v>
      </c>
      <c r="CB47" s="6" t="s">
        <v>901</v>
      </c>
      <c r="CC47" s="6" t="s">
        <v>0</v>
      </c>
      <c r="CD47" s="11" t="s">
        <v>442</v>
      </c>
      <c r="CE47" s="149" t="s">
        <v>0</v>
      </c>
      <c r="CF47" s="149" t="s">
        <v>0</v>
      </c>
      <c r="CG47" s="149" t="s">
        <v>0</v>
      </c>
      <c r="CH47" s="63" t="s">
        <v>0</v>
      </c>
      <c r="CI47" s="64" t="s">
        <v>0</v>
      </c>
      <c r="CJ47" s="63" t="s">
        <v>0</v>
      </c>
      <c r="CK47" s="6" t="s">
        <v>0</v>
      </c>
      <c r="CL47" s="6" t="s">
        <v>0</v>
      </c>
      <c r="CM47" s="6" t="s">
        <v>0</v>
      </c>
      <c r="CN47" s="6" t="s">
        <v>0</v>
      </c>
      <c r="CO47" s="6" t="s">
        <v>0</v>
      </c>
      <c r="CP47" s="6" t="s">
        <v>0</v>
      </c>
      <c r="CQ47" s="6" t="s">
        <v>0</v>
      </c>
      <c r="CR47" s="11" t="s">
        <v>0</v>
      </c>
      <c r="CS47" s="6" t="s">
        <v>0</v>
      </c>
      <c r="CT47" s="11" t="s">
        <v>0</v>
      </c>
      <c r="CU47" s="6" t="s">
        <v>0</v>
      </c>
      <c r="CV47" s="6" t="s">
        <v>0</v>
      </c>
      <c r="CW47" s="11" t="s">
        <v>0</v>
      </c>
      <c r="CX47" s="27" t="s">
        <v>0</v>
      </c>
      <c r="CY47" s="27" t="s">
        <v>0</v>
      </c>
      <c r="CZ47" s="27" t="s">
        <v>0</v>
      </c>
      <c r="DA47" s="27" t="s">
        <v>0</v>
      </c>
      <c r="DB47" s="27" t="s">
        <v>0</v>
      </c>
      <c r="DC47" s="27" t="s">
        <v>0</v>
      </c>
      <c r="DD47" s="148" t="s">
        <v>0</v>
      </c>
      <c r="DE47" s="13" t="s">
        <v>0</v>
      </c>
      <c r="DF47" s="168" t="s">
        <v>0</v>
      </c>
      <c r="DG47" s="27" t="s">
        <v>0</v>
      </c>
      <c r="DH47" s="36" t="s">
        <v>0</v>
      </c>
      <c r="DI47" s="177" t="s">
        <v>0</v>
      </c>
    </row>
    <row r="48" spans="1:113" ht="16">
      <c r="A48" s="44" t="s">
        <v>706</v>
      </c>
      <c r="B48" s="47" t="s">
        <v>756</v>
      </c>
      <c r="C48" s="7" t="s">
        <v>92</v>
      </c>
      <c r="D48" s="22">
        <v>44500</v>
      </c>
      <c r="E48" s="22">
        <v>44584</v>
      </c>
      <c r="F48" s="7" t="s">
        <v>109</v>
      </c>
      <c r="G48" s="7" t="s">
        <v>653</v>
      </c>
      <c r="H48" s="7" t="s">
        <v>104</v>
      </c>
      <c r="I48" s="41">
        <v>89598.86</v>
      </c>
      <c r="J48" s="18" t="s">
        <v>1</v>
      </c>
      <c r="K48" s="142" t="s">
        <v>0</v>
      </c>
      <c r="L48" s="9">
        <v>159</v>
      </c>
      <c r="M48" s="9">
        <v>93</v>
      </c>
      <c r="N48" s="9">
        <f t="shared" si="13"/>
        <v>159</v>
      </c>
      <c r="O48" s="11" t="s">
        <v>249</v>
      </c>
      <c r="P48" s="6" t="s">
        <v>0</v>
      </c>
      <c r="Q48" s="6" t="s">
        <v>0</v>
      </c>
      <c r="R48" s="6" t="s">
        <v>0</v>
      </c>
      <c r="S48" s="6" t="s">
        <v>0</v>
      </c>
      <c r="T48" s="6" t="s">
        <v>0</v>
      </c>
      <c r="U48" s="6" t="s">
        <v>0</v>
      </c>
      <c r="V48" s="6" t="s">
        <v>0</v>
      </c>
      <c r="W48" s="6" t="s">
        <v>0</v>
      </c>
      <c r="X48" s="6" t="s">
        <v>0</v>
      </c>
      <c r="Y48" s="9" t="s">
        <v>0</v>
      </c>
      <c r="Z48" s="6" t="s">
        <v>573</v>
      </c>
      <c r="AA48" s="68" t="s">
        <v>0</v>
      </c>
      <c r="AB48" s="68" t="s">
        <v>0</v>
      </c>
      <c r="AC48" s="68" t="s">
        <v>0</v>
      </c>
      <c r="AD48" s="68">
        <f t="shared" si="10"/>
        <v>0</v>
      </c>
      <c r="AE48" s="7" t="s">
        <v>0</v>
      </c>
      <c r="AF48" s="7" t="s">
        <v>0</v>
      </c>
      <c r="AG48" s="7" t="s">
        <v>465</v>
      </c>
      <c r="AH48" s="7" t="s">
        <v>0</v>
      </c>
      <c r="AI48" s="17" t="s">
        <v>0</v>
      </c>
      <c r="AJ48" s="6" t="s">
        <v>305</v>
      </c>
      <c r="AK48" s="7" t="s">
        <v>0</v>
      </c>
      <c r="AL48" s="6" t="s">
        <v>0</v>
      </c>
      <c r="AM48" s="7" t="s">
        <v>0</v>
      </c>
      <c r="AN48" s="6" t="s">
        <v>124</v>
      </c>
      <c r="AO48" s="7" t="s">
        <v>565</v>
      </c>
      <c r="AP48" s="67">
        <v>1</v>
      </c>
      <c r="AQ48" s="143">
        <f>ROUND(('Data extracted'!E48-'Data extracted'!D48)/7,0)</f>
        <v>12</v>
      </c>
      <c r="AR48" s="9">
        <f>8+47+55+62+69+78+98+105+108+111+117+144+159</f>
        <v>1161</v>
      </c>
      <c r="AS48" s="9" t="s">
        <v>0</v>
      </c>
      <c r="AT48" s="9">
        <f>5+26+37+27+48+45+45+34+43+52+73+88+93</f>
        <v>616</v>
      </c>
      <c r="AU48" s="7" t="s">
        <v>73</v>
      </c>
      <c r="AV48" s="7" t="s">
        <v>73</v>
      </c>
      <c r="AW48" s="7" t="s">
        <v>586</v>
      </c>
      <c r="AX48" s="11" t="s">
        <v>0</v>
      </c>
      <c r="AY48" s="9" t="s">
        <v>0</v>
      </c>
      <c r="AZ48" s="9" t="s">
        <v>0</v>
      </c>
      <c r="BA48" s="9" t="s">
        <v>0</v>
      </c>
      <c r="BB48" s="9" t="s">
        <v>0</v>
      </c>
      <c r="BC48" s="20" t="s">
        <v>0</v>
      </c>
      <c r="BD48" s="6" t="s">
        <v>0</v>
      </c>
      <c r="BE48" s="6" t="s">
        <v>0</v>
      </c>
      <c r="BF48" s="9">
        <f t="shared" si="14"/>
        <v>0</v>
      </c>
      <c r="BG48" s="9" t="s">
        <v>0</v>
      </c>
      <c r="BH48" s="9" t="s">
        <v>0</v>
      </c>
      <c r="BI48" s="9" t="s">
        <v>0</v>
      </c>
      <c r="BJ48" s="9" t="s">
        <v>0</v>
      </c>
      <c r="BK48" s="56" t="str">
        <f t="shared" si="11"/>
        <v>#</v>
      </c>
      <c r="BL48" s="9" t="s">
        <v>0</v>
      </c>
      <c r="BM48" s="9" t="s">
        <v>0</v>
      </c>
      <c r="BN48" s="9" t="s">
        <v>0</v>
      </c>
      <c r="BO48" s="9" t="s">
        <v>0</v>
      </c>
      <c r="BP48" s="20" t="s">
        <v>0</v>
      </c>
      <c r="BQ48" s="5" t="s">
        <v>0</v>
      </c>
      <c r="BR48" s="5" t="s">
        <v>0</v>
      </c>
      <c r="BS48" s="9">
        <f t="shared" si="7"/>
        <v>0</v>
      </c>
      <c r="BT48" s="9" t="s">
        <v>0</v>
      </c>
      <c r="BU48" s="9" t="s">
        <v>0</v>
      </c>
      <c r="BV48" s="9" t="s">
        <v>0</v>
      </c>
      <c r="BW48" s="9" t="s">
        <v>0</v>
      </c>
      <c r="BX48" s="20" t="str">
        <f t="shared" si="12"/>
        <v>#</v>
      </c>
      <c r="BY48" s="6" t="s">
        <v>0</v>
      </c>
      <c r="BZ48" s="5" t="s">
        <v>0</v>
      </c>
      <c r="CA48" s="6" t="s">
        <v>0</v>
      </c>
      <c r="CB48" s="6" t="s">
        <v>962</v>
      </c>
      <c r="CC48" s="6" t="s">
        <v>679</v>
      </c>
      <c r="CD48" s="11" t="s">
        <v>0</v>
      </c>
      <c r="CE48" s="149" t="s">
        <v>0</v>
      </c>
      <c r="CF48" s="149" t="s">
        <v>0</v>
      </c>
      <c r="CG48" s="149" t="s">
        <v>0</v>
      </c>
      <c r="CH48" s="63" t="s">
        <v>0</v>
      </c>
      <c r="CI48" s="64" t="s">
        <v>0</v>
      </c>
      <c r="CJ48" s="63" t="s">
        <v>0</v>
      </c>
      <c r="CK48" s="6" t="s">
        <v>0</v>
      </c>
      <c r="CL48" s="6" t="s">
        <v>0</v>
      </c>
      <c r="CM48" s="6" t="s">
        <v>0</v>
      </c>
      <c r="CN48" s="6" t="s">
        <v>0</v>
      </c>
      <c r="CO48" s="6" t="s">
        <v>0</v>
      </c>
      <c r="CP48" s="6" t="s">
        <v>0</v>
      </c>
      <c r="CQ48" s="6" t="s">
        <v>0</v>
      </c>
      <c r="CR48" s="11" t="s">
        <v>0</v>
      </c>
      <c r="CS48" s="6" t="s">
        <v>0</v>
      </c>
      <c r="CT48" s="11" t="s">
        <v>0</v>
      </c>
      <c r="CU48" s="6" t="s">
        <v>0</v>
      </c>
      <c r="CV48" s="6" t="s">
        <v>0</v>
      </c>
      <c r="CW48" s="11" t="s">
        <v>0</v>
      </c>
      <c r="CX48" s="27" t="s">
        <v>0</v>
      </c>
      <c r="CY48" s="27" t="s">
        <v>0</v>
      </c>
      <c r="CZ48" s="27" t="s">
        <v>0</v>
      </c>
      <c r="DA48" s="27" t="s">
        <v>0</v>
      </c>
      <c r="DB48" s="27" t="s">
        <v>0</v>
      </c>
      <c r="DC48" s="27" t="s">
        <v>0</v>
      </c>
      <c r="DD48" s="148" t="s">
        <v>0</v>
      </c>
      <c r="DE48" s="13" t="s">
        <v>0</v>
      </c>
      <c r="DF48" s="168" t="s">
        <v>0</v>
      </c>
      <c r="DG48" s="27" t="s">
        <v>0</v>
      </c>
      <c r="DH48" s="36" t="s">
        <v>0</v>
      </c>
      <c r="DI48" s="177" t="s">
        <v>0</v>
      </c>
    </row>
    <row r="49" spans="1:113" ht="15" customHeight="1">
      <c r="A49" s="13" t="s">
        <v>856</v>
      </c>
      <c r="B49" s="47" t="s">
        <v>774</v>
      </c>
      <c r="C49" s="7" t="s">
        <v>92</v>
      </c>
      <c r="D49" s="22">
        <v>44197</v>
      </c>
      <c r="E49" s="22">
        <v>44651</v>
      </c>
      <c r="F49" s="10" t="s">
        <v>109</v>
      </c>
      <c r="G49" s="10" t="s">
        <v>639</v>
      </c>
      <c r="H49" s="10" t="s">
        <v>1</v>
      </c>
      <c r="I49" s="41">
        <v>89598.86</v>
      </c>
      <c r="J49" s="18" t="s">
        <v>1</v>
      </c>
      <c r="K49" s="9">
        <v>15923</v>
      </c>
      <c r="L49" s="9" t="s">
        <v>0</v>
      </c>
      <c r="M49" s="9" t="s">
        <v>0</v>
      </c>
      <c r="N49" s="9">
        <f t="shared" si="13"/>
        <v>15923</v>
      </c>
      <c r="O49" s="63" t="s">
        <v>242</v>
      </c>
      <c r="P49" s="52" t="s">
        <v>0</v>
      </c>
      <c r="Q49" s="52" t="s">
        <v>0</v>
      </c>
      <c r="R49" s="6" t="s">
        <v>0</v>
      </c>
      <c r="S49" s="6" t="s">
        <v>0</v>
      </c>
      <c r="T49" s="6" t="s">
        <v>0</v>
      </c>
      <c r="U49" s="6" t="s">
        <v>0</v>
      </c>
      <c r="V49" s="6" t="s">
        <v>0</v>
      </c>
      <c r="W49" s="6" t="s">
        <v>0</v>
      </c>
      <c r="X49" s="6" t="s">
        <v>0</v>
      </c>
      <c r="Y49" s="9" t="s">
        <v>0</v>
      </c>
      <c r="Z49" s="6" t="s">
        <v>96</v>
      </c>
      <c r="AA49" s="79" t="s">
        <v>0</v>
      </c>
      <c r="AB49" s="79" t="s">
        <v>0</v>
      </c>
      <c r="AC49" s="68" t="s">
        <v>0</v>
      </c>
      <c r="AD49" s="61">
        <f t="shared" si="10"/>
        <v>0</v>
      </c>
      <c r="AE49" s="10" t="s">
        <v>0</v>
      </c>
      <c r="AF49" s="10" t="s">
        <v>0</v>
      </c>
      <c r="AG49" s="10" t="s">
        <v>465</v>
      </c>
      <c r="AH49" s="10" t="s">
        <v>0</v>
      </c>
      <c r="AI49" s="26" t="s">
        <v>0</v>
      </c>
      <c r="AJ49" s="6" t="s">
        <v>305</v>
      </c>
      <c r="AK49" s="13" t="s">
        <v>73</v>
      </c>
      <c r="AL49" s="6" t="s">
        <v>0</v>
      </c>
      <c r="AM49" s="7" t="s">
        <v>0</v>
      </c>
      <c r="AN49" s="7" t="s">
        <v>305</v>
      </c>
      <c r="AO49" s="13" t="s">
        <v>305</v>
      </c>
      <c r="AP49" s="68" t="s">
        <v>0</v>
      </c>
      <c r="AQ49" s="143">
        <f>ROUND(('Data extracted'!E49-'Data extracted'!D49)/7,0)</f>
        <v>65</v>
      </c>
      <c r="AR49" s="9" t="s">
        <v>0</v>
      </c>
      <c r="AS49" s="9" t="s">
        <v>0</v>
      </c>
      <c r="AT49" s="9" t="s">
        <v>0</v>
      </c>
      <c r="AU49" s="13" t="s">
        <v>73</v>
      </c>
      <c r="AV49" s="13" t="s">
        <v>73</v>
      </c>
      <c r="AW49" s="7" t="s">
        <v>0</v>
      </c>
      <c r="AX49" s="11" t="s">
        <v>0</v>
      </c>
      <c r="AY49" s="9" t="s">
        <v>0</v>
      </c>
      <c r="AZ49" s="9" t="s">
        <v>0</v>
      </c>
      <c r="BA49" s="9" t="s">
        <v>0</v>
      </c>
      <c r="BB49" s="9" t="s">
        <v>0</v>
      </c>
      <c r="BC49" s="20" t="s">
        <v>0</v>
      </c>
      <c r="BD49" s="6" t="s">
        <v>0</v>
      </c>
      <c r="BE49" s="6" t="s">
        <v>0</v>
      </c>
      <c r="BF49" s="9">
        <f t="shared" si="14"/>
        <v>0</v>
      </c>
      <c r="BG49" s="9" t="s">
        <v>0</v>
      </c>
      <c r="BH49" s="9" t="s">
        <v>0</v>
      </c>
      <c r="BI49" s="9" t="s">
        <v>0</v>
      </c>
      <c r="BJ49" s="9" t="s">
        <v>0</v>
      </c>
      <c r="BK49" s="56" t="str">
        <f t="shared" si="11"/>
        <v>#</v>
      </c>
      <c r="BL49" s="9">
        <f t="shared" ref="BL49:BL63" si="15">SUM(BM49:BP49)</f>
        <v>0</v>
      </c>
      <c r="BM49" s="9" t="s">
        <v>0</v>
      </c>
      <c r="BN49" s="9" t="s">
        <v>0</v>
      </c>
      <c r="BO49" s="9" t="s">
        <v>0</v>
      </c>
      <c r="BP49" s="20" t="s">
        <v>0</v>
      </c>
      <c r="BQ49" s="50" t="s">
        <v>0</v>
      </c>
      <c r="BR49" s="6" t="s">
        <v>0</v>
      </c>
      <c r="BS49" s="9">
        <f t="shared" si="7"/>
        <v>0</v>
      </c>
      <c r="BT49" s="9" t="s">
        <v>0</v>
      </c>
      <c r="BU49" s="9" t="s">
        <v>0</v>
      </c>
      <c r="BV49" s="9" t="s">
        <v>0</v>
      </c>
      <c r="BW49" s="9" t="s">
        <v>0</v>
      </c>
      <c r="BX49" s="20" t="str">
        <f t="shared" si="12"/>
        <v>#</v>
      </c>
      <c r="BY49" s="6" t="s">
        <v>0</v>
      </c>
      <c r="BZ49" s="5" t="s">
        <v>0</v>
      </c>
      <c r="CA49" s="104" t="s">
        <v>380</v>
      </c>
      <c r="CB49" s="6" t="s">
        <v>675</v>
      </c>
      <c r="CC49" s="6" t="s">
        <v>0</v>
      </c>
      <c r="CD49" s="11" t="s">
        <v>0</v>
      </c>
      <c r="CE49" s="149" t="s">
        <v>0</v>
      </c>
      <c r="CF49" s="149" t="s">
        <v>0</v>
      </c>
      <c r="CG49" s="149" t="s">
        <v>0</v>
      </c>
      <c r="CH49" s="63" t="s">
        <v>0</v>
      </c>
      <c r="CI49" s="64" t="s">
        <v>0</v>
      </c>
      <c r="CJ49" s="63" t="s">
        <v>0</v>
      </c>
      <c r="CK49" s="6" t="s">
        <v>0</v>
      </c>
      <c r="CL49" s="6" t="s">
        <v>0</v>
      </c>
      <c r="CM49" s="6" t="s">
        <v>0</v>
      </c>
      <c r="CN49" s="6" t="s">
        <v>0</v>
      </c>
      <c r="CO49" s="6" t="s">
        <v>0</v>
      </c>
      <c r="CP49" s="6" t="s">
        <v>0</v>
      </c>
      <c r="CQ49" s="6" t="s">
        <v>0</v>
      </c>
      <c r="CR49" s="11" t="s">
        <v>363</v>
      </c>
      <c r="CS49" s="6" t="s">
        <v>0</v>
      </c>
      <c r="CT49" s="11" t="s">
        <v>0</v>
      </c>
      <c r="CU49" s="6" t="s">
        <v>0</v>
      </c>
      <c r="CV49" s="6" t="s">
        <v>0</v>
      </c>
      <c r="CW49" s="11" t="s">
        <v>0</v>
      </c>
      <c r="CX49" s="27" t="s">
        <v>0</v>
      </c>
      <c r="CY49" s="27" t="s">
        <v>364</v>
      </c>
      <c r="CZ49" s="27" t="s">
        <v>0</v>
      </c>
      <c r="DA49" s="27" t="s">
        <v>0</v>
      </c>
      <c r="DB49" s="27" t="s">
        <v>0</v>
      </c>
      <c r="DC49" s="27" t="s">
        <v>0</v>
      </c>
      <c r="DD49" s="148" t="s">
        <v>0</v>
      </c>
      <c r="DE49" s="13" t="s">
        <v>0</v>
      </c>
      <c r="DF49" s="168" t="s">
        <v>0</v>
      </c>
      <c r="DG49" s="27" t="s">
        <v>0</v>
      </c>
      <c r="DH49" s="36" t="s">
        <v>0</v>
      </c>
      <c r="DI49" s="177" t="s">
        <v>889</v>
      </c>
    </row>
    <row r="50" spans="1:113" ht="15" customHeight="1">
      <c r="A50" s="13" t="s">
        <v>517</v>
      </c>
      <c r="B50" s="47" t="s">
        <v>757</v>
      </c>
      <c r="C50" s="7" t="s">
        <v>92</v>
      </c>
      <c r="D50" s="22">
        <v>44824</v>
      </c>
      <c r="E50" s="22">
        <v>45223</v>
      </c>
      <c r="F50" s="10" t="s">
        <v>323</v>
      </c>
      <c r="G50" s="10" t="s">
        <v>638</v>
      </c>
      <c r="H50" s="10" t="s">
        <v>104</v>
      </c>
      <c r="I50" s="42">
        <v>34713.248</v>
      </c>
      <c r="J50" s="18" t="s">
        <v>1</v>
      </c>
      <c r="K50" s="9">
        <v>1481</v>
      </c>
      <c r="L50" s="9" t="s">
        <v>0</v>
      </c>
      <c r="M50" s="9" t="s">
        <v>0</v>
      </c>
      <c r="N50" s="9">
        <f t="shared" si="13"/>
        <v>1481</v>
      </c>
      <c r="O50" s="63" t="s">
        <v>243</v>
      </c>
      <c r="P50" s="52" t="s">
        <v>0</v>
      </c>
      <c r="Q50" s="52" t="s">
        <v>0</v>
      </c>
      <c r="R50" s="6" t="s">
        <v>0</v>
      </c>
      <c r="S50" s="6" t="s">
        <v>0</v>
      </c>
      <c r="T50" s="6" t="s">
        <v>0</v>
      </c>
      <c r="U50" s="6" t="s">
        <v>0</v>
      </c>
      <c r="V50" s="6" t="s">
        <v>0</v>
      </c>
      <c r="W50" s="6" t="s">
        <v>0</v>
      </c>
      <c r="X50" s="6" t="s">
        <v>0</v>
      </c>
      <c r="Y50" s="9" t="s">
        <v>0</v>
      </c>
      <c r="Z50" s="6" t="s">
        <v>571</v>
      </c>
      <c r="AA50" s="79" t="s">
        <v>0</v>
      </c>
      <c r="AB50" s="79" t="s">
        <v>0</v>
      </c>
      <c r="AC50" s="68" t="s">
        <v>0</v>
      </c>
      <c r="AD50" s="61">
        <f t="shared" si="10"/>
        <v>0</v>
      </c>
      <c r="AE50" s="10" t="s">
        <v>0</v>
      </c>
      <c r="AF50" s="10" t="s">
        <v>0</v>
      </c>
      <c r="AG50" s="10" t="s">
        <v>465</v>
      </c>
      <c r="AH50" s="10" t="s">
        <v>0</v>
      </c>
      <c r="AI50" s="26" t="s">
        <v>0</v>
      </c>
      <c r="AJ50" s="6" t="s">
        <v>324</v>
      </c>
      <c r="AK50" s="7" t="s">
        <v>73</v>
      </c>
      <c r="AL50" s="6" t="s">
        <v>0</v>
      </c>
      <c r="AM50" s="7" t="s">
        <v>0</v>
      </c>
      <c r="AN50" s="7" t="s">
        <v>124</v>
      </c>
      <c r="AO50" s="14" t="s">
        <v>565</v>
      </c>
      <c r="AP50" s="68" t="s">
        <v>305</v>
      </c>
      <c r="AQ50" s="143">
        <f>ROUND(('Data extracted'!E50-'Data extracted'!D50)/7,0)-1</f>
        <v>56</v>
      </c>
      <c r="AR50" s="9" t="s">
        <v>0</v>
      </c>
      <c r="AS50" s="9" t="s">
        <v>0</v>
      </c>
      <c r="AT50" s="9" t="s">
        <v>0</v>
      </c>
      <c r="AU50" s="7" t="s">
        <v>73</v>
      </c>
      <c r="AV50" s="7" t="s">
        <v>73</v>
      </c>
      <c r="AW50" s="7" t="s">
        <v>325</v>
      </c>
      <c r="AX50" s="11" t="s">
        <v>0</v>
      </c>
      <c r="AY50" s="9" t="s">
        <v>0</v>
      </c>
      <c r="AZ50" s="9" t="s">
        <v>0</v>
      </c>
      <c r="BA50" s="9" t="s">
        <v>0</v>
      </c>
      <c r="BB50" s="9" t="s">
        <v>0</v>
      </c>
      <c r="BC50" s="9" t="s">
        <v>0</v>
      </c>
      <c r="BD50" s="50" t="s">
        <v>0</v>
      </c>
      <c r="BE50" s="5" t="s">
        <v>0</v>
      </c>
      <c r="BF50" s="9">
        <f t="shared" si="14"/>
        <v>0</v>
      </c>
      <c r="BG50" s="9" t="s">
        <v>0</v>
      </c>
      <c r="BH50" s="9" t="s">
        <v>0</v>
      </c>
      <c r="BI50" s="9" t="s">
        <v>0</v>
      </c>
      <c r="BJ50" s="9" t="s">
        <v>0</v>
      </c>
      <c r="BK50" s="56" t="str">
        <f t="shared" si="11"/>
        <v>#</v>
      </c>
      <c r="BL50" s="9">
        <f t="shared" si="15"/>
        <v>0</v>
      </c>
      <c r="BM50" s="9" t="s">
        <v>0</v>
      </c>
      <c r="BN50" s="9" t="s">
        <v>0</v>
      </c>
      <c r="BO50" s="9" t="s">
        <v>0</v>
      </c>
      <c r="BP50" s="20" t="s">
        <v>0</v>
      </c>
      <c r="BQ50" s="50" t="s">
        <v>1</v>
      </c>
      <c r="BR50" s="6" t="s">
        <v>1</v>
      </c>
      <c r="BS50" s="9" t="s">
        <v>1</v>
      </c>
      <c r="BT50" s="9" t="s">
        <v>0</v>
      </c>
      <c r="BU50" s="9" t="s">
        <v>0</v>
      </c>
      <c r="BV50" s="9" t="s">
        <v>0</v>
      </c>
      <c r="BW50" s="9" t="s">
        <v>0</v>
      </c>
      <c r="BX50" s="20" t="str">
        <f t="shared" si="12"/>
        <v>#</v>
      </c>
      <c r="BY50" s="6" t="s">
        <v>0</v>
      </c>
      <c r="BZ50" s="5" t="s">
        <v>0</v>
      </c>
      <c r="CA50" s="104" t="s">
        <v>380</v>
      </c>
      <c r="CB50" s="6" t="s">
        <v>674</v>
      </c>
      <c r="CC50" s="6" t="s">
        <v>0</v>
      </c>
      <c r="CD50" s="11" t="s">
        <v>326</v>
      </c>
      <c r="CE50" s="149" t="s">
        <v>0</v>
      </c>
      <c r="CF50" s="149" t="s">
        <v>0</v>
      </c>
      <c r="CG50" s="149" t="s">
        <v>0</v>
      </c>
      <c r="CH50" s="63" t="s">
        <v>0</v>
      </c>
      <c r="CI50" s="64" t="s">
        <v>0</v>
      </c>
      <c r="CJ50" s="63" t="s">
        <v>0</v>
      </c>
      <c r="CK50" s="6" t="s">
        <v>0</v>
      </c>
      <c r="CL50" s="6" t="s">
        <v>0</v>
      </c>
      <c r="CM50" s="6" t="s">
        <v>0</v>
      </c>
      <c r="CN50" s="6" t="s">
        <v>0</v>
      </c>
      <c r="CO50" s="6" t="s">
        <v>0</v>
      </c>
      <c r="CP50" s="6" t="s">
        <v>0</v>
      </c>
      <c r="CQ50" s="6" t="s">
        <v>0</v>
      </c>
      <c r="CR50" s="11" t="s">
        <v>0</v>
      </c>
      <c r="CS50" s="6" t="s">
        <v>0</v>
      </c>
      <c r="CT50" s="11" t="s">
        <v>0</v>
      </c>
      <c r="CU50" s="6" t="s">
        <v>0</v>
      </c>
      <c r="CV50" s="6" t="s">
        <v>0</v>
      </c>
      <c r="CW50" s="11" t="s">
        <v>0</v>
      </c>
      <c r="CX50" s="27" t="s">
        <v>327</v>
      </c>
      <c r="CY50" s="27" t="s">
        <v>0</v>
      </c>
      <c r="CZ50" s="27" t="s">
        <v>0</v>
      </c>
      <c r="DA50" s="27" t="s">
        <v>327</v>
      </c>
      <c r="DB50" s="27" t="s">
        <v>0</v>
      </c>
      <c r="DC50" s="27" t="s">
        <v>0</v>
      </c>
      <c r="DD50" s="148" t="s">
        <v>0</v>
      </c>
      <c r="DE50" s="13" t="s">
        <v>0</v>
      </c>
      <c r="DF50" s="168" t="s">
        <v>0</v>
      </c>
      <c r="DG50" s="27" t="s">
        <v>0</v>
      </c>
      <c r="DH50" s="36" t="s">
        <v>0</v>
      </c>
      <c r="DI50" s="177" t="s">
        <v>0</v>
      </c>
    </row>
    <row r="51" spans="1:113" ht="15" customHeight="1">
      <c r="A51" s="13" t="s">
        <v>595</v>
      </c>
      <c r="B51" s="47" t="s">
        <v>758</v>
      </c>
      <c r="C51" s="7" t="s">
        <v>92</v>
      </c>
      <c r="D51" s="22">
        <v>44545</v>
      </c>
      <c r="E51" s="22">
        <v>44635</v>
      </c>
      <c r="F51" s="10" t="s">
        <v>405</v>
      </c>
      <c r="G51" s="10" t="s">
        <v>647</v>
      </c>
      <c r="H51" s="10" t="s">
        <v>104</v>
      </c>
      <c r="I51" s="42">
        <v>7942.299</v>
      </c>
      <c r="J51" s="18" t="s">
        <v>1</v>
      </c>
      <c r="K51" s="9">
        <v>164</v>
      </c>
      <c r="L51" s="9">
        <v>133</v>
      </c>
      <c r="M51" s="9">
        <v>133</v>
      </c>
      <c r="N51" s="9">
        <f t="shared" si="13"/>
        <v>164</v>
      </c>
      <c r="O51" s="63" t="s">
        <v>297</v>
      </c>
      <c r="P51" s="52" t="s">
        <v>0</v>
      </c>
      <c r="Q51" s="52" t="s">
        <v>0</v>
      </c>
      <c r="R51" s="6" t="s">
        <v>0</v>
      </c>
      <c r="S51" s="6" t="s">
        <v>0</v>
      </c>
      <c r="T51" s="6" t="s">
        <v>0</v>
      </c>
      <c r="U51" s="6" t="s">
        <v>0</v>
      </c>
      <c r="V51" s="6" t="s">
        <v>0</v>
      </c>
      <c r="W51" s="6">
        <v>66</v>
      </c>
      <c r="X51" s="6">
        <v>67</v>
      </c>
      <c r="Y51" s="9" t="s">
        <v>0</v>
      </c>
      <c r="Z51" s="6" t="s">
        <v>573</v>
      </c>
      <c r="AA51" s="79" t="s">
        <v>0</v>
      </c>
      <c r="AB51" s="79" t="s">
        <v>0</v>
      </c>
      <c r="AC51" s="68" t="s">
        <v>0</v>
      </c>
      <c r="AD51" s="61">
        <f t="shared" si="10"/>
        <v>0</v>
      </c>
      <c r="AE51" s="10" t="s">
        <v>0</v>
      </c>
      <c r="AF51" s="10" t="s">
        <v>0</v>
      </c>
      <c r="AG51" s="10" t="s">
        <v>465</v>
      </c>
      <c r="AH51" s="10" t="s">
        <v>451</v>
      </c>
      <c r="AI51" s="26" t="s">
        <v>0</v>
      </c>
      <c r="AJ51" s="6" t="s">
        <v>406</v>
      </c>
      <c r="AK51" s="7" t="s">
        <v>73</v>
      </c>
      <c r="AL51" s="6" t="s">
        <v>407</v>
      </c>
      <c r="AM51" s="7" t="s">
        <v>130</v>
      </c>
      <c r="AN51" s="7" t="s">
        <v>130</v>
      </c>
      <c r="AO51" s="10" t="s">
        <v>565</v>
      </c>
      <c r="AP51" s="68">
        <v>2</v>
      </c>
      <c r="AQ51" s="143">
        <v>13</v>
      </c>
      <c r="AR51" s="9">
        <f>AQ51*AP51*M51</f>
        <v>3458</v>
      </c>
      <c r="AS51" s="9">
        <v>1095</v>
      </c>
      <c r="AT51" s="9">
        <v>1095</v>
      </c>
      <c r="AU51" s="7" t="s">
        <v>73</v>
      </c>
      <c r="AV51" s="7" t="s">
        <v>72</v>
      </c>
      <c r="AW51" s="7" t="s">
        <v>452</v>
      </c>
      <c r="AX51" s="11" t="s">
        <v>0</v>
      </c>
      <c r="AY51" s="9">
        <v>1095</v>
      </c>
      <c r="AZ51" s="9">
        <v>0</v>
      </c>
      <c r="BA51" s="9">
        <v>1095</v>
      </c>
      <c r="BB51" s="9" t="s">
        <v>0</v>
      </c>
      <c r="BC51" s="20" t="s">
        <v>0</v>
      </c>
      <c r="BD51" s="6" t="s">
        <v>0</v>
      </c>
      <c r="BE51" s="6" t="s">
        <v>0</v>
      </c>
      <c r="BF51" s="9">
        <f t="shared" si="14"/>
        <v>0</v>
      </c>
      <c r="BG51" s="9" t="s">
        <v>0</v>
      </c>
      <c r="BH51" s="9" t="s">
        <v>0</v>
      </c>
      <c r="BI51" s="9" t="s">
        <v>0</v>
      </c>
      <c r="BJ51" s="9" t="s">
        <v>0</v>
      </c>
      <c r="BK51" s="56" t="str">
        <f t="shared" si="11"/>
        <v>#</v>
      </c>
      <c r="BL51" s="9">
        <f t="shared" si="15"/>
        <v>133</v>
      </c>
      <c r="BM51" s="9">
        <v>0</v>
      </c>
      <c r="BN51" s="9">
        <v>133</v>
      </c>
      <c r="BO51" s="9" t="s">
        <v>0</v>
      </c>
      <c r="BP51" s="20" t="s">
        <v>0</v>
      </c>
      <c r="BQ51" s="50" t="s">
        <v>410</v>
      </c>
      <c r="BR51" s="6" t="s">
        <v>416</v>
      </c>
      <c r="BS51" s="9">
        <f t="shared" ref="BS51:BS79" si="16">SUM(BT51:BW51)</f>
        <v>2</v>
      </c>
      <c r="BT51" s="9" t="s">
        <v>0</v>
      </c>
      <c r="BU51" s="9">
        <v>2</v>
      </c>
      <c r="BV51" s="9" t="s">
        <v>0</v>
      </c>
      <c r="BW51" s="9" t="s">
        <v>0</v>
      </c>
      <c r="BX51" s="20" t="str">
        <f t="shared" si="12"/>
        <v>#</v>
      </c>
      <c r="BY51" s="6" t="s">
        <v>158</v>
      </c>
      <c r="BZ51" s="5" t="s">
        <v>0</v>
      </c>
      <c r="CA51" s="6" t="s">
        <v>0</v>
      </c>
      <c r="CB51" s="6" t="s">
        <v>453</v>
      </c>
      <c r="CC51" s="6" t="s">
        <v>408</v>
      </c>
      <c r="CD51" s="11" t="s">
        <v>409</v>
      </c>
      <c r="CE51" s="149" t="s">
        <v>0</v>
      </c>
      <c r="CF51" s="149" t="s">
        <v>0</v>
      </c>
      <c r="CG51" s="149" t="s">
        <v>0</v>
      </c>
      <c r="CH51" s="63" t="s">
        <v>0</v>
      </c>
      <c r="CI51" s="64" t="s">
        <v>0</v>
      </c>
      <c r="CJ51" s="63" t="s">
        <v>0</v>
      </c>
      <c r="CK51" s="6" t="s">
        <v>0</v>
      </c>
      <c r="CL51" s="6" t="s">
        <v>0</v>
      </c>
      <c r="CM51" s="6" t="s">
        <v>0</v>
      </c>
      <c r="CN51" s="6" t="s">
        <v>0</v>
      </c>
      <c r="CO51" s="6" t="s">
        <v>0</v>
      </c>
      <c r="CP51" s="6" t="s">
        <v>0</v>
      </c>
      <c r="CQ51" s="6" t="s">
        <v>0</v>
      </c>
      <c r="CR51" s="11" t="s">
        <v>0</v>
      </c>
      <c r="CS51" s="6" t="s">
        <v>0</v>
      </c>
      <c r="CT51" s="11" t="s">
        <v>0</v>
      </c>
      <c r="CU51" s="6" t="s">
        <v>0</v>
      </c>
      <c r="CV51" s="6" t="s">
        <v>0</v>
      </c>
      <c r="CW51" s="11" t="s">
        <v>0</v>
      </c>
      <c r="CX51" s="27" t="s">
        <v>0</v>
      </c>
      <c r="CY51" s="27" t="s">
        <v>0</v>
      </c>
      <c r="CZ51" s="27" t="s">
        <v>0</v>
      </c>
      <c r="DA51" s="27" t="s">
        <v>0</v>
      </c>
      <c r="DB51" s="27" t="s">
        <v>0</v>
      </c>
      <c r="DC51" s="27" t="s">
        <v>0</v>
      </c>
      <c r="DD51" s="148" t="s">
        <v>0</v>
      </c>
      <c r="DE51" s="13" t="s">
        <v>0</v>
      </c>
      <c r="DF51" s="168" t="s">
        <v>0</v>
      </c>
      <c r="DG51" s="27" t="s">
        <v>0</v>
      </c>
      <c r="DH51" s="36" t="s">
        <v>695</v>
      </c>
      <c r="DI51" s="177" t="s">
        <v>0</v>
      </c>
    </row>
    <row r="52" spans="1:113" ht="15" customHeight="1">
      <c r="A52" s="13" t="s">
        <v>710</v>
      </c>
      <c r="B52" s="47" t="s">
        <v>775</v>
      </c>
      <c r="C52" s="7" t="s">
        <v>92</v>
      </c>
      <c r="D52" s="22">
        <v>44737</v>
      </c>
      <c r="E52" s="22">
        <v>45046</v>
      </c>
      <c r="F52" s="10" t="s">
        <v>109</v>
      </c>
      <c r="G52" s="10" t="s">
        <v>666</v>
      </c>
      <c r="H52" s="10" t="s">
        <v>1</v>
      </c>
      <c r="I52" s="41">
        <v>89598.86</v>
      </c>
      <c r="J52" s="18" t="s">
        <v>1</v>
      </c>
      <c r="K52" s="9">
        <v>2189</v>
      </c>
      <c r="L52" s="9">
        <v>1013</v>
      </c>
      <c r="M52" s="9">
        <v>367</v>
      </c>
      <c r="N52" s="9">
        <f t="shared" si="13"/>
        <v>2189</v>
      </c>
      <c r="O52" s="63" t="s">
        <v>297</v>
      </c>
      <c r="P52" s="6">
        <v>42.9</v>
      </c>
      <c r="Q52" s="6">
        <v>13.3</v>
      </c>
      <c r="R52" s="6" t="s">
        <v>0</v>
      </c>
      <c r="S52" s="6" t="s">
        <v>0</v>
      </c>
      <c r="T52" s="6" t="s">
        <v>0</v>
      </c>
      <c r="U52" s="6" t="s">
        <v>0</v>
      </c>
      <c r="V52" s="6" t="s">
        <v>0</v>
      </c>
      <c r="W52" s="6">
        <v>792</v>
      </c>
      <c r="X52" s="6">
        <v>167</v>
      </c>
      <c r="Y52" s="9">
        <v>54</v>
      </c>
      <c r="Z52" s="6" t="s">
        <v>96</v>
      </c>
      <c r="AA52" s="79" t="s">
        <v>0</v>
      </c>
      <c r="AB52" s="79" t="s">
        <v>0</v>
      </c>
      <c r="AC52" s="68" t="s">
        <v>0</v>
      </c>
      <c r="AD52" s="61">
        <f t="shared" si="10"/>
        <v>0</v>
      </c>
      <c r="AE52" s="10" t="s">
        <v>0</v>
      </c>
      <c r="AF52" s="10" t="s">
        <v>0</v>
      </c>
      <c r="AG52" s="10" t="s">
        <v>465</v>
      </c>
      <c r="AH52" s="10">
        <v>851</v>
      </c>
      <c r="AI52" s="26" t="s">
        <v>0</v>
      </c>
      <c r="AJ52" s="6" t="s">
        <v>354</v>
      </c>
      <c r="AK52" s="7" t="s">
        <v>73</v>
      </c>
      <c r="AL52" s="6" t="s">
        <v>122</v>
      </c>
      <c r="AM52" s="7" t="s">
        <v>166</v>
      </c>
      <c r="AN52" s="7" t="s">
        <v>124</v>
      </c>
      <c r="AO52" s="5" t="s">
        <v>305</v>
      </c>
      <c r="AP52" s="68" t="s">
        <v>0</v>
      </c>
      <c r="AQ52" s="143">
        <f>ROUND(('Data extracted'!E52-'Data extracted'!D52)/7,0)</f>
        <v>44</v>
      </c>
      <c r="AR52" s="9" t="s">
        <v>0</v>
      </c>
      <c r="AS52" s="9" t="s">
        <v>0</v>
      </c>
      <c r="AT52" s="9">
        <v>676</v>
      </c>
      <c r="AU52" s="7" t="s">
        <v>73</v>
      </c>
      <c r="AV52" s="7" t="s">
        <v>73</v>
      </c>
      <c r="AW52" s="7" t="s">
        <v>382</v>
      </c>
      <c r="AX52" s="11" t="s">
        <v>0</v>
      </c>
      <c r="AY52" s="9" t="s">
        <v>0</v>
      </c>
      <c r="AZ52" s="9" t="s">
        <v>0</v>
      </c>
      <c r="BA52" s="9" t="s">
        <v>0</v>
      </c>
      <c r="BB52" s="9" t="s">
        <v>0</v>
      </c>
      <c r="BC52" s="20" t="s">
        <v>0</v>
      </c>
      <c r="BD52" s="6" t="s">
        <v>0</v>
      </c>
      <c r="BE52" s="6" t="s">
        <v>0</v>
      </c>
      <c r="BF52" s="9">
        <f t="shared" si="14"/>
        <v>0</v>
      </c>
      <c r="BG52" s="9" t="s">
        <v>0</v>
      </c>
      <c r="BH52" s="9" t="s">
        <v>0</v>
      </c>
      <c r="BI52" s="9" t="s">
        <v>0</v>
      </c>
      <c r="BJ52" s="9" t="s">
        <v>0</v>
      </c>
      <c r="BK52" s="56" t="str">
        <f t="shared" si="11"/>
        <v>#</v>
      </c>
      <c r="BL52" s="9">
        <f t="shared" si="15"/>
        <v>0</v>
      </c>
      <c r="BM52" s="9" t="s">
        <v>0</v>
      </c>
      <c r="BN52" s="9" t="s">
        <v>0</v>
      </c>
      <c r="BO52" s="9" t="s">
        <v>0</v>
      </c>
      <c r="BP52" s="20" t="s">
        <v>0</v>
      </c>
      <c r="BQ52" s="50" t="s">
        <v>0</v>
      </c>
      <c r="BR52" s="6" t="s">
        <v>0</v>
      </c>
      <c r="BS52" s="9">
        <f t="shared" si="16"/>
        <v>0</v>
      </c>
      <c r="BT52" s="9" t="s">
        <v>0</v>
      </c>
      <c r="BU52" s="9" t="s">
        <v>0</v>
      </c>
      <c r="BV52" s="9" t="s">
        <v>0</v>
      </c>
      <c r="BW52" s="9" t="s">
        <v>0</v>
      </c>
      <c r="BX52" s="20" t="str">
        <f t="shared" si="12"/>
        <v>#</v>
      </c>
      <c r="BY52" s="6" t="s">
        <v>0</v>
      </c>
      <c r="BZ52" s="5" t="s">
        <v>0</v>
      </c>
      <c r="CA52" s="6" t="s">
        <v>0</v>
      </c>
      <c r="CB52" s="6" t="s">
        <v>198</v>
      </c>
      <c r="CC52" s="6" t="s">
        <v>0</v>
      </c>
      <c r="CD52" s="11" t="s">
        <v>0</v>
      </c>
      <c r="CE52" s="149" t="s">
        <v>0</v>
      </c>
      <c r="CF52" s="149" t="s">
        <v>0</v>
      </c>
      <c r="CG52" s="149" t="s">
        <v>0</v>
      </c>
      <c r="CH52" s="63" t="s">
        <v>0</v>
      </c>
      <c r="CI52" s="64" t="s">
        <v>0</v>
      </c>
      <c r="CJ52" s="63" t="s">
        <v>0</v>
      </c>
      <c r="CK52" s="6" t="s">
        <v>0</v>
      </c>
      <c r="CL52" s="6" t="s">
        <v>0</v>
      </c>
      <c r="CM52" s="6" t="s">
        <v>0</v>
      </c>
      <c r="CN52" s="6" t="s">
        <v>0</v>
      </c>
      <c r="CO52" s="6" t="s">
        <v>0</v>
      </c>
      <c r="CP52" s="6" t="s">
        <v>0</v>
      </c>
      <c r="CQ52" s="6" t="s">
        <v>0</v>
      </c>
      <c r="CR52" s="11" t="s">
        <v>0</v>
      </c>
      <c r="CS52" s="6" t="s">
        <v>0</v>
      </c>
      <c r="CT52" s="11" t="s">
        <v>0</v>
      </c>
      <c r="CU52" s="6" t="s">
        <v>0</v>
      </c>
      <c r="CV52" s="6" t="s">
        <v>0</v>
      </c>
      <c r="CW52" s="11" t="s">
        <v>0</v>
      </c>
      <c r="CX52" s="27" t="s">
        <v>432</v>
      </c>
      <c r="CY52" s="27" t="s">
        <v>383</v>
      </c>
      <c r="CZ52" s="27" t="s">
        <v>0</v>
      </c>
      <c r="DA52" s="27" t="s">
        <v>383</v>
      </c>
      <c r="DB52" s="27" t="s">
        <v>0</v>
      </c>
      <c r="DC52" s="27" t="s">
        <v>0</v>
      </c>
      <c r="DD52" s="148" t="s">
        <v>0</v>
      </c>
      <c r="DE52" s="13" t="s">
        <v>0</v>
      </c>
      <c r="DF52" s="168" t="s">
        <v>0</v>
      </c>
      <c r="DG52" s="27" t="s">
        <v>0</v>
      </c>
      <c r="DH52" s="36" t="s">
        <v>0</v>
      </c>
      <c r="DI52" s="177" t="s">
        <v>0</v>
      </c>
    </row>
    <row r="53" spans="1:113" s="33" customFormat="1" ht="16">
      <c r="A53" s="13" t="s">
        <v>712</v>
      </c>
      <c r="B53" s="57" t="s">
        <v>51</v>
      </c>
      <c r="C53" s="32" t="s">
        <v>92</v>
      </c>
      <c r="D53" s="29">
        <v>44384</v>
      </c>
      <c r="E53" s="29">
        <v>44477</v>
      </c>
      <c r="F53" s="32" t="s">
        <v>110</v>
      </c>
      <c r="G53" s="32" t="s">
        <v>667</v>
      </c>
      <c r="H53" s="32" t="s">
        <v>104</v>
      </c>
      <c r="I53" s="40">
        <v>54934.843000000001</v>
      </c>
      <c r="J53" s="34" t="s">
        <v>1</v>
      </c>
      <c r="K53" s="9">
        <v>647</v>
      </c>
      <c r="L53" s="9">
        <v>278</v>
      </c>
      <c r="M53" s="9">
        <v>278</v>
      </c>
      <c r="N53" s="9">
        <f t="shared" si="13"/>
        <v>647</v>
      </c>
      <c r="O53" s="11" t="s">
        <v>249</v>
      </c>
      <c r="P53" s="51" t="s">
        <v>0</v>
      </c>
      <c r="Q53" s="27" t="s">
        <v>0</v>
      </c>
      <c r="R53" s="27">
        <v>43</v>
      </c>
      <c r="S53" s="27">
        <v>31</v>
      </c>
      <c r="T53" s="27">
        <v>55</v>
      </c>
      <c r="U53" s="27" t="s">
        <v>0</v>
      </c>
      <c r="V53" s="27" t="s">
        <v>0</v>
      </c>
      <c r="W53" s="27">
        <v>109</v>
      </c>
      <c r="X53" s="27">
        <v>156</v>
      </c>
      <c r="Y53" s="9">
        <v>13</v>
      </c>
      <c r="Z53" s="27" t="s">
        <v>305</v>
      </c>
      <c r="AA53" s="81" t="s">
        <v>0</v>
      </c>
      <c r="AB53" s="108">
        <v>199</v>
      </c>
      <c r="AC53" s="108" t="s">
        <v>0</v>
      </c>
      <c r="AD53" s="61">
        <f t="shared" si="10"/>
        <v>0</v>
      </c>
      <c r="AE53" s="30" t="s">
        <v>0</v>
      </c>
      <c r="AF53" s="32" t="s">
        <v>0</v>
      </c>
      <c r="AG53" s="7" t="s">
        <v>465</v>
      </c>
      <c r="AH53" s="30">
        <v>237</v>
      </c>
      <c r="AI53" s="31" t="s">
        <v>0</v>
      </c>
      <c r="AJ53" s="51" t="s">
        <v>161</v>
      </c>
      <c r="AK53" s="32" t="s">
        <v>73</v>
      </c>
      <c r="AL53" s="27" t="s">
        <v>122</v>
      </c>
      <c r="AM53" s="32" t="s">
        <v>136</v>
      </c>
      <c r="AN53" s="32" t="s">
        <v>136</v>
      </c>
      <c r="AO53" s="14" t="s">
        <v>565</v>
      </c>
      <c r="AP53" s="68">
        <v>2</v>
      </c>
      <c r="AQ53" s="68" t="s">
        <v>0</v>
      </c>
      <c r="AR53" s="68">
        <f>278*2</f>
        <v>556</v>
      </c>
      <c r="AS53" s="9" t="s">
        <v>0</v>
      </c>
      <c r="AT53" s="9">
        <v>451</v>
      </c>
      <c r="AU53" s="32" t="s">
        <v>73</v>
      </c>
      <c r="AV53" s="32" t="s">
        <v>72</v>
      </c>
      <c r="AW53" s="33" t="s">
        <v>162</v>
      </c>
      <c r="AX53" s="119" t="s">
        <v>0</v>
      </c>
      <c r="AY53" s="9" t="s">
        <v>0</v>
      </c>
      <c r="AZ53" s="28" t="s">
        <v>0</v>
      </c>
      <c r="BA53" s="28" t="s">
        <v>0</v>
      </c>
      <c r="BB53" s="28" t="s">
        <v>0</v>
      </c>
      <c r="BC53" s="37" t="s">
        <v>0</v>
      </c>
      <c r="BD53" s="51" t="s">
        <v>0</v>
      </c>
      <c r="BE53" s="33" t="s">
        <v>0</v>
      </c>
      <c r="BF53" s="9">
        <f t="shared" si="14"/>
        <v>0</v>
      </c>
      <c r="BG53" s="28" t="s">
        <v>0</v>
      </c>
      <c r="BH53" s="28" t="s">
        <v>0</v>
      </c>
      <c r="BI53" s="28" t="s">
        <v>0</v>
      </c>
      <c r="BJ53" s="28" t="s">
        <v>0</v>
      </c>
      <c r="BK53" s="56" t="str">
        <f t="shared" si="11"/>
        <v>#</v>
      </c>
      <c r="BL53" s="9">
        <f t="shared" si="15"/>
        <v>0</v>
      </c>
      <c r="BM53" s="28" t="s">
        <v>0</v>
      </c>
      <c r="BN53" s="28" t="s">
        <v>0</v>
      </c>
      <c r="BO53" s="28" t="s">
        <v>0</v>
      </c>
      <c r="BP53" s="37" t="s">
        <v>0</v>
      </c>
      <c r="BQ53" s="73" t="s">
        <v>0</v>
      </c>
      <c r="BR53" s="33" t="s">
        <v>0</v>
      </c>
      <c r="BS53" s="28">
        <f t="shared" si="16"/>
        <v>0</v>
      </c>
      <c r="BT53" s="28" t="s">
        <v>0</v>
      </c>
      <c r="BU53" s="28" t="s">
        <v>0</v>
      </c>
      <c r="BV53" s="28" t="s">
        <v>0</v>
      </c>
      <c r="BW53" s="28" t="s">
        <v>0</v>
      </c>
      <c r="BX53" s="20" t="str">
        <f t="shared" si="12"/>
        <v>#</v>
      </c>
      <c r="BY53" s="10" t="s">
        <v>0</v>
      </c>
      <c r="BZ53" s="7" t="s">
        <v>0</v>
      </c>
      <c r="CA53" s="10" t="s">
        <v>0</v>
      </c>
      <c r="CB53" s="10" t="s">
        <v>0</v>
      </c>
      <c r="CC53" s="10" t="s">
        <v>0</v>
      </c>
      <c r="CD53" s="26" t="s">
        <v>0</v>
      </c>
      <c r="CE53" s="150" t="s">
        <v>0</v>
      </c>
      <c r="CF53" s="150" t="s">
        <v>0</v>
      </c>
      <c r="CG53" s="150" t="s">
        <v>0</v>
      </c>
      <c r="CH53" s="66" t="s">
        <v>0</v>
      </c>
      <c r="CI53" s="65" t="s">
        <v>0</v>
      </c>
      <c r="CJ53" s="66" t="s">
        <v>0</v>
      </c>
      <c r="CK53" s="14" t="s">
        <v>0</v>
      </c>
      <c r="CL53" s="14" t="s">
        <v>0</v>
      </c>
      <c r="CM53" s="14" t="s">
        <v>0</v>
      </c>
      <c r="CN53" s="14" t="s">
        <v>0</v>
      </c>
      <c r="CO53" s="6" t="s">
        <v>0</v>
      </c>
      <c r="CP53" s="6" t="s">
        <v>0</v>
      </c>
      <c r="CQ53" s="6" t="s">
        <v>0</v>
      </c>
      <c r="CR53" s="21" t="s">
        <v>0</v>
      </c>
      <c r="CS53" s="14" t="s">
        <v>0</v>
      </c>
      <c r="CT53" s="21" t="s">
        <v>0</v>
      </c>
      <c r="CU53" s="14" t="s">
        <v>0</v>
      </c>
      <c r="CV53" s="14" t="s">
        <v>0</v>
      </c>
      <c r="CW53" s="16" t="s">
        <v>0</v>
      </c>
      <c r="CX53" s="27" t="s">
        <v>0</v>
      </c>
      <c r="CY53" s="27" t="s">
        <v>0</v>
      </c>
      <c r="CZ53" s="27" t="s">
        <v>0</v>
      </c>
      <c r="DA53" s="27" t="s">
        <v>0</v>
      </c>
      <c r="DB53" s="27" t="s">
        <v>0</v>
      </c>
      <c r="DC53" s="27" t="s">
        <v>0</v>
      </c>
      <c r="DD53" s="148" t="s">
        <v>0</v>
      </c>
      <c r="DE53" s="13" t="s">
        <v>0</v>
      </c>
      <c r="DF53" s="168" t="s">
        <v>0</v>
      </c>
      <c r="DG53" s="27" t="s">
        <v>0</v>
      </c>
      <c r="DH53" s="36" t="s">
        <v>695</v>
      </c>
      <c r="DI53" s="177" t="s">
        <v>0</v>
      </c>
    </row>
    <row r="54" spans="1:113" ht="15" customHeight="1">
      <c r="A54" s="13" t="s">
        <v>711</v>
      </c>
      <c r="B54" s="47" t="s">
        <v>759</v>
      </c>
      <c r="C54" s="7" t="s">
        <v>92</v>
      </c>
      <c r="D54" s="22">
        <v>44420</v>
      </c>
      <c r="E54" s="22">
        <v>44433</v>
      </c>
      <c r="F54" s="10" t="s">
        <v>94</v>
      </c>
      <c r="G54" s="10" t="s">
        <v>657</v>
      </c>
      <c r="H54" s="10" t="s">
        <v>1</v>
      </c>
      <c r="I54" s="41">
        <v>59925.317000000003</v>
      </c>
      <c r="J54" s="18" t="s">
        <v>1</v>
      </c>
      <c r="K54" s="9">
        <v>130</v>
      </c>
      <c r="L54" s="9">
        <v>126</v>
      </c>
      <c r="M54" s="9">
        <v>126</v>
      </c>
      <c r="N54" s="9">
        <f t="shared" si="13"/>
        <v>130</v>
      </c>
      <c r="O54" s="63" t="s">
        <v>249</v>
      </c>
      <c r="P54" s="52" t="s">
        <v>0</v>
      </c>
      <c r="Q54" s="52" t="s">
        <v>0</v>
      </c>
      <c r="R54" s="6" t="s">
        <v>0</v>
      </c>
      <c r="S54" s="6" t="s">
        <v>0</v>
      </c>
      <c r="T54" s="6" t="s">
        <v>0</v>
      </c>
      <c r="U54" s="6" t="s">
        <v>0</v>
      </c>
      <c r="V54" s="6" t="s">
        <v>0</v>
      </c>
      <c r="W54" s="6">
        <v>64</v>
      </c>
      <c r="X54" s="6">
        <v>59</v>
      </c>
      <c r="Y54" s="9">
        <v>3</v>
      </c>
      <c r="Z54" s="6" t="s">
        <v>573</v>
      </c>
      <c r="AA54" s="79">
        <v>36</v>
      </c>
      <c r="AB54" s="79" t="s">
        <v>0</v>
      </c>
      <c r="AC54" s="68">
        <f>90</f>
        <v>90</v>
      </c>
      <c r="AD54" s="61">
        <f t="shared" si="10"/>
        <v>0</v>
      </c>
      <c r="AE54" s="10" t="s">
        <v>0</v>
      </c>
      <c r="AF54" s="10">
        <v>3</v>
      </c>
      <c r="AG54" s="10" t="s">
        <v>465</v>
      </c>
      <c r="AH54" s="10" t="s">
        <v>600</v>
      </c>
      <c r="AI54" s="26" t="s">
        <v>0</v>
      </c>
      <c r="AJ54" s="6" t="s">
        <v>305</v>
      </c>
      <c r="AK54" s="7" t="s">
        <v>0</v>
      </c>
      <c r="AL54" s="6" t="s">
        <v>0</v>
      </c>
      <c r="AM54" s="7" t="s">
        <v>0</v>
      </c>
      <c r="AN54" s="7" t="s">
        <v>305</v>
      </c>
      <c r="AO54" s="13" t="s">
        <v>565</v>
      </c>
      <c r="AP54" s="68">
        <v>3.5</v>
      </c>
      <c r="AQ54" s="143" t="s">
        <v>0</v>
      </c>
      <c r="AR54" s="9" t="s">
        <v>0</v>
      </c>
      <c r="AS54" s="9" t="s">
        <v>0</v>
      </c>
      <c r="AT54" s="9" t="s">
        <v>0</v>
      </c>
      <c r="AU54" s="7" t="s">
        <v>73</v>
      </c>
      <c r="AV54" s="7" t="s">
        <v>73</v>
      </c>
      <c r="AW54" s="7" t="s">
        <v>604</v>
      </c>
      <c r="AX54" s="11" t="s">
        <v>0</v>
      </c>
      <c r="AY54" s="9" t="s">
        <v>0</v>
      </c>
      <c r="AZ54" s="9">
        <v>0</v>
      </c>
      <c r="BA54" s="9" t="s">
        <v>0</v>
      </c>
      <c r="BB54" s="9" t="s">
        <v>0</v>
      </c>
      <c r="BC54" s="20" t="s">
        <v>0</v>
      </c>
      <c r="BD54" s="6" t="s">
        <v>0</v>
      </c>
      <c r="BE54" s="6" t="s">
        <v>0</v>
      </c>
      <c r="BF54" s="9">
        <f t="shared" si="14"/>
        <v>0</v>
      </c>
      <c r="BG54" s="9" t="s">
        <v>0</v>
      </c>
      <c r="BH54" s="9" t="s">
        <v>0</v>
      </c>
      <c r="BI54" s="9" t="s">
        <v>0</v>
      </c>
      <c r="BJ54" s="9" t="s">
        <v>0</v>
      </c>
      <c r="BK54" s="56" t="str">
        <f t="shared" si="11"/>
        <v>#</v>
      </c>
      <c r="BL54" s="9">
        <f t="shared" si="15"/>
        <v>124</v>
      </c>
      <c r="BM54" s="9">
        <v>0</v>
      </c>
      <c r="BN54" s="9">
        <v>124</v>
      </c>
      <c r="BO54" s="9" t="s">
        <v>0</v>
      </c>
      <c r="BP54" s="20" t="s">
        <v>0</v>
      </c>
      <c r="BQ54" s="73" t="s">
        <v>0</v>
      </c>
      <c r="BR54" s="5" t="s">
        <v>0</v>
      </c>
      <c r="BS54" s="9">
        <f t="shared" si="16"/>
        <v>0</v>
      </c>
      <c r="BT54" s="9" t="s">
        <v>0</v>
      </c>
      <c r="BU54" s="9" t="s">
        <v>0</v>
      </c>
      <c r="BV54" s="9" t="s">
        <v>0</v>
      </c>
      <c r="BW54" s="9" t="s">
        <v>0</v>
      </c>
      <c r="BX54" s="20" t="str">
        <f t="shared" si="12"/>
        <v>#</v>
      </c>
      <c r="BY54" s="6" t="s">
        <v>0</v>
      </c>
      <c r="BZ54" s="104" t="s">
        <v>0</v>
      </c>
      <c r="CA54" s="104" t="s">
        <v>380</v>
      </c>
      <c r="CB54" s="104" t="s">
        <v>0</v>
      </c>
      <c r="CC54" s="104" t="s">
        <v>0</v>
      </c>
      <c r="CD54" s="105" t="s">
        <v>605</v>
      </c>
      <c r="CE54" s="149" t="s">
        <v>0</v>
      </c>
      <c r="CF54" s="149" t="s">
        <v>0</v>
      </c>
      <c r="CG54" s="149" t="s">
        <v>0</v>
      </c>
      <c r="CH54" s="63" t="s">
        <v>0</v>
      </c>
      <c r="CI54" s="64" t="s">
        <v>0</v>
      </c>
      <c r="CJ54" s="63" t="s">
        <v>0</v>
      </c>
      <c r="CK54" s="6" t="s">
        <v>0</v>
      </c>
      <c r="CL54" s="6" t="s">
        <v>0</v>
      </c>
      <c r="CM54" s="6" t="s">
        <v>0</v>
      </c>
      <c r="CN54" s="6" t="s">
        <v>0</v>
      </c>
      <c r="CO54" s="6" t="s">
        <v>0</v>
      </c>
      <c r="CP54" s="6" t="s">
        <v>0</v>
      </c>
      <c r="CQ54" s="6" t="s">
        <v>0</v>
      </c>
      <c r="CR54" s="11" t="s">
        <v>0</v>
      </c>
      <c r="CS54" s="6" t="s">
        <v>0</v>
      </c>
      <c r="CT54" s="11" t="s">
        <v>0</v>
      </c>
      <c r="CU54" s="6" t="s">
        <v>0</v>
      </c>
      <c r="CV54" s="6" t="s">
        <v>0</v>
      </c>
      <c r="CW54" s="11" t="s">
        <v>0</v>
      </c>
      <c r="CX54" s="27" t="s">
        <v>607</v>
      </c>
      <c r="CY54" s="27" t="s">
        <v>0</v>
      </c>
      <c r="CZ54" s="27" t="s">
        <v>606</v>
      </c>
      <c r="DA54" s="27" t="s">
        <v>0</v>
      </c>
      <c r="DB54" s="27" t="s">
        <v>0</v>
      </c>
      <c r="DC54" s="27" t="s">
        <v>0</v>
      </c>
      <c r="DD54" s="148" t="s">
        <v>0</v>
      </c>
      <c r="DE54" s="13" t="s">
        <v>0</v>
      </c>
      <c r="DF54" s="168" t="s">
        <v>0</v>
      </c>
      <c r="DG54" s="27" t="s">
        <v>0</v>
      </c>
      <c r="DH54" s="36" t="s">
        <v>0</v>
      </c>
      <c r="DI54" s="177" t="s">
        <v>0</v>
      </c>
    </row>
    <row r="55" spans="1:113" ht="15" customHeight="1">
      <c r="A55" s="13" t="s">
        <v>707</v>
      </c>
      <c r="B55" s="47" t="s">
        <v>760</v>
      </c>
      <c r="C55" s="7" t="s">
        <v>447</v>
      </c>
      <c r="D55" s="22">
        <v>44189</v>
      </c>
      <c r="E55" s="22">
        <v>44314</v>
      </c>
      <c r="F55" s="10" t="s">
        <v>93</v>
      </c>
      <c r="G55" s="10" t="s">
        <v>644</v>
      </c>
      <c r="H55" s="10" t="s">
        <v>1</v>
      </c>
      <c r="I55" s="45">
        <v>56660.868000000002</v>
      </c>
      <c r="J55" s="18" t="s">
        <v>1</v>
      </c>
      <c r="K55" s="9" t="s">
        <v>0</v>
      </c>
      <c r="L55" s="9" t="s">
        <v>0</v>
      </c>
      <c r="M55" s="9">
        <v>189364</v>
      </c>
      <c r="N55" s="9">
        <f t="shared" si="13"/>
        <v>189364</v>
      </c>
      <c r="O55" s="63" t="s">
        <v>297</v>
      </c>
      <c r="P55" s="52" t="s">
        <v>0</v>
      </c>
      <c r="Q55" s="52" t="s">
        <v>0</v>
      </c>
      <c r="R55" s="6">
        <v>45</v>
      </c>
      <c r="S55" s="6">
        <v>33</v>
      </c>
      <c r="T55" s="6">
        <v>55</v>
      </c>
      <c r="U55" s="6">
        <v>18</v>
      </c>
      <c r="V55" s="6">
        <v>65</v>
      </c>
      <c r="W55" s="6" t="s">
        <v>0</v>
      </c>
      <c r="X55" s="6" t="s">
        <v>0</v>
      </c>
      <c r="Y55" s="9" t="s">
        <v>0</v>
      </c>
      <c r="Z55" s="6" t="s">
        <v>571</v>
      </c>
      <c r="AA55" s="79">
        <v>0</v>
      </c>
      <c r="AB55" s="9">
        <v>189364</v>
      </c>
      <c r="AC55" s="68">
        <v>0</v>
      </c>
      <c r="AD55" s="61">
        <f t="shared" si="10"/>
        <v>1</v>
      </c>
      <c r="AE55" s="10" t="s">
        <v>0</v>
      </c>
      <c r="AF55" s="10" t="s">
        <v>0</v>
      </c>
      <c r="AG55" s="10" t="s">
        <v>465</v>
      </c>
      <c r="AH55" s="10" t="s">
        <v>0</v>
      </c>
      <c r="AI55" s="26" t="s">
        <v>0</v>
      </c>
      <c r="AJ55" s="6" t="s">
        <v>387</v>
      </c>
      <c r="AK55" s="7" t="s">
        <v>73</v>
      </c>
      <c r="AL55" s="6" t="s">
        <v>375</v>
      </c>
      <c r="AM55" s="7" t="s">
        <v>305</v>
      </c>
      <c r="AN55" s="7" t="s">
        <v>305</v>
      </c>
      <c r="AO55" s="10" t="s">
        <v>565</v>
      </c>
      <c r="AP55" s="68">
        <v>2</v>
      </c>
      <c r="AQ55" s="143">
        <f>ROUND(('Data extracted'!E55-'Data extracted'!D55)/7,0)</f>
        <v>18</v>
      </c>
      <c r="AR55" s="9">
        <f>AQ55*AP55*M55</f>
        <v>6817104</v>
      </c>
      <c r="AS55" s="9" t="s">
        <v>0</v>
      </c>
      <c r="AT55" s="9">
        <v>1094413</v>
      </c>
      <c r="AU55" s="7" t="s">
        <v>73</v>
      </c>
      <c r="AV55" s="7" t="s">
        <v>73</v>
      </c>
      <c r="AW55" s="7" t="s">
        <v>141</v>
      </c>
      <c r="AX55" s="11" t="s">
        <v>307</v>
      </c>
      <c r="AY55" s="9">
        <v>1094413</v>
      </c>
      <c r="AZ55" s="9">
        <v>1142</v>
      </c>
      <c r="BA55" s="9">
        <f>AY55-AZ55</f>
        <v>1093271</v>
      </c>
      <c r="BB55" s="9" t="s">
        <v>0</v>
      </c>
      <c r="BC55" s="20" t="s">
        <v>0</v>
      </c>
      <c r="BD55" s="6" t="s">
        <v>158</v>
      </c>
      <c r="BE55" s="6" t="s">
        <v>388</v>
      </c>
      <c r="BF55" s="9">
        <f t="shared" si="14"/>
        <v>644480</v>
      </c>
      <c r="BG55" s="9">
        <v>440</v>
      </c>
      <c r="BH55" s="9">
        <v>1053</v>
      </c>
      <c r="BI55" s="9">
        <v>642672</v>
      </c>
      <c r="BJ55" s="9">
        <v>315</v>
      </c>
      <c r="BK55" s="56">
        <f t="shared" si="11"/>
        <v>642987</v>
      </c>
      <c r="BL55" s="9">
        <f t="shared" si="15"/>
        <v>0</v>
      </c>
      <c r="BM55" s="9" t="s">
        <v>0</v>
      </c>
      <c r="BN55" s="9" t="s">
        <v>0</v>
      </c>
      <c r="BO55" s="9" t="s">
        <v>0</v>
      </c>
      <c r="BP55" s="20" t="s">
        <v>0</v>
      </c>
      <c r="BQ55" s="50" t="s">
        <v>0</v>
      </c>
      <c r="BR55" s="6" t="s">
        <v>0</v>
      </c>
      <c r="BS55" s="9">
        <f t="shared" si="16"/>
        <v>0</v>
      </c>
      <c r="BT55" s="9" t="s">
        <v>0</v>
      </c>
      <c r="BU55" s="9" t="s">
        <v>0</v>
      </c>
      <c r="BV55" s="9" t="s">
        <v>0</v>
      </c>
      <c r="BW55" s="9" t="s">
        <v>0</v>
      </c>
      <c r="BX55" s="20" t="str">
        <f t="shared" si="12"/>
        <v>#</v>
      </c>
      <c r="BY55" s="6" t="s">
        <v>158</v>
      </c>
      <c r="BZ55" s="5" t="s">
        <v>0</v>
      </c>
      <c r="CA55" s="6" t="s">
        <v>380</v>
      </c>
      <c r="CB55" s="6" t="s">
        <v>389</v>
      </c>
      <c r="CC55" s="6" t="s">
        <v>677</v>
      </c>
      <c r="CD55" s="11" t="s">
        <v>390</v>
      </c>
      <c r="CE55" s="149" t="s">
        <v>0</v>
      </c>
      <c r="CF55" s="149" t="s">
        <v>0</v>
      </c>
      <c r="CG55" s="149" t="s">
        <v>0</v>
      </c>
      <c r="CH55" s="63" t="s">
        <v>0</v>
      </c>
      <c r="CI55" s="64" t="s">
        <v>0</v>
      </c>
      <c r="CJ55" s="63" t="s">
        <v>0</v>
      </c>
      <c r="CK55" s="6" t="s">
        <v>0</v>
      </c>
      <c r="CL55" s="6" t="s">
        <v>0</v>
      </c>
      <c r="CM55" s="6" t="s">
        <v>0</v>
      </c>
      <c r="CN55" s="6" t="s">
        <v>0</v>
      </c>
      <c r="CO55" s="6" t="s">
        <v>0</v>
      </c>
      <c r="CP55" s="6" t="s">
        <v>0</v>
      </c>
      <c r="CQ55" s="6" t="s">
        <v>0</v>
      </c>
      <c r="CR55" s="11" t="s">
        <v>0</v>
      </c>
      <c r="CS55" s="6" t="s">
        <v>0</v>
      </c>
      <c r="CT55" s="11" t="s">
        <v>0</v>
      </c>
      <c r="CU55" s="6" t="s">
        <v>0</v>
      </c>
      <c r="CV55" s="6" t="s">
        <v>0</v>
      </c>
      <c r="CW55" s="11" t="s">
        <v>0</v>
      </c>
      <c r="CX55" s="27" t="s">
        <v>0</v>
      </c>
      <c r="CY55" s="27" t="s">
        <v>0</v>
      </c>
      <c r="CZ55" s="27" t="s">
        <v>0</v>
      </c>
      <c r="DA55" s="27" t="s">
        <v>0</v>
      </c>
      <c r="DB55" s="27" t="s">
        <v>0</v>
      </c>
      <c r="DC55" s="27" t="s">
        <v>0</v>
      </c>
      <c r="DD55" s="148" t="s">
        <v>0</v>
      </c>
      <c r="DE55" s="13" t="s">
        <v>0</v>
      </c>
      <c r="DF55" s="168" t="s">
        <v>0</v>
      </c>
      <c r="DG55" s="27" t="s">
        <v>0</v>
      </c>
      <c r="DH55" s="36" t="s">
        <v>0</v>
      </c>
      <c r="DI55" s="177" t="s">
        <v>0</v>
      </c>
    </row>
    <row r="56" spans="1:113" ht="15" customHeight="1">
      <c r="A56" s="13" t="s">
        <v>714</v>
      </c>
      <c r="B56" s="47" t="s">
        <v>761</v>
      </c>
      <c r="C56" s="7" t="s">
        <v>92</v>
      </c>
      <c r="D56" s="22">
        <v>44837</v>
      </c>
      <c r="E56" s="22">
        <v>45067</v>
      </c>
      <c r="F56" s="10" t="s">
        <v>97</v>
      </c>
      <c r="G56" s="10" t="s">
        <v>643</v>
      </c>
      <c r="H56" s="10" t="s">
        <v>1</v>
      </c>
      <c r="I56" s="45">
        <v>73173.714999999997</v>
      </c>
      <c r="J56" s="18" t="s">
        <v>1</v>
      </c>
      <c r="K56" s="9" t="s">
        <v>0</v>
      </c>
      <c r="L56" s="9">
        <v>17030</v>
      </c>
      <c r="M56" s="9" t="s">
        <v>0</v>
      </c>
      <c r="N56" s="9">
        <f t="shared" si="13"/>
        <v>17030</v>
      </c>
      <c r="O56" s="63" t="s">
        <v>297</v>
      </c>
      <c r="P56" s="52" t="s">
        <v>0</v>
      </c>
      <c r="Q56" s="52" t="s">
        <v>0</v>
      </c>
      <c r="R56" s="6" t="s">
        <v>0</v>
      </c>
      <c r="S56" s="6" t="s">
        <v>0</v>
      </c>
      <c r="T56" s="6" t="s">
        <v>0</v>
      </c>
      <c r="U56" s="6" t="s">
        <v>0</v>
      </c>
      <c r="V56" s="6" t="s">
        <v>0</v>
      </c>
      <c r="W56" s="6">
        <v>9726</v>
      </c>
      <c r="X56" s="6">
        <v>7271</v>
      </c>
      <c r="Y56" s="9">
        <v>33</v>
      </c>
      <c r="Z56" s="6" t="s">
        <v>96</v>
      </c>
      <c r="AA56" s="79" t="s">
        <v>0</v>
      </c>
      <c r="AB56" s="79" t="s">
        <v>0</v>
      </c>
      <c r="AC56" s="68" t="s">
        <v>0</v>
      </c>
      <c r="AD56" s="61">
        <f t="shared" si="10"/>
        <v>0</v>
      </c>
      <c r="AE56" s="10" t="s">
        <v>0</v>
      </c>
      <c r="AF56" s="10" t="s">
        <v>0</v>
      </c>
      <c r="AG56" s="10" t="s">
        <v>465</v>
      </c>
      <c r="AH56" s="10" t="s">
        <v>0</v>
      </c>
      <c r="AI56" s="26" t="s">
        <v>0</v>
      </c>
      <c r="AJ56" s="6" t="s">
        <v>372</v>
      </c>
      <c r="AK56" s="7" t="s">
        <v>73</v>
      </c>
      <c r="AL56" s="6" t="s">
        <v>0</v>
      </c>
      <c r="AM56" s="7" t="s">
        <v>166</v>
      </c>
      <c r="AN56" s="7" t="s">
        <v>124</v>
      </c>
      <c r="AO56" s="10" t="s">
        <v>565</v>
      </c>
      <c r="AP56" s="68" t="s">
        <v>305</v>
      </c>
      <c r="AQ56" s="143">
        <f>ROUND(('Data extracted'!E56-'Data extracted'!D56)/7,0)</f>
        <v>33</v>
      </c>
      <c r="AR56" s="9" t="s">
        <v>0</v>
      </c>
      <c r="AS56" s="9" t="s">
        <v>0</v>
      </c>
      <c r="AT56" s="9" t="s">
        <v>0</v>
      </c>
      <c r="AU56" s="7" t="s">
        <v>73</v>
      </c>
      <c r="AV56" s="7" t="s">
        <v>73</v>
      </c>
      <c r="AW56" s="7" t="s">
        <v>0</v>
      </c>
      <c r="AX56" s="11" t="s">
        <v>307</v>
      </c>
      <c r="AY56" s="9">
        <v>5571</v>
      </c>
      <c r="AZ56" s="9">
        <v>1475</v>
      </c>
      <c r="BA56" s="9">
        <v>4096</v>
      </c>
      <c r="BB56" s="9" t="s">
        <v>0</v>
      </c>
      <c r="BC56" s="20" t="s">
        <v>0</v>
      </c>
      <c r="BD56" s="6" t="s">
        <v>158</v>
      </c>
      <c r="BE56" s="6" t="s">
        <v>445</v>
      </c>
      <c r="BF56" s="9">
        <f t="shared" si="14"/>
        <v>5571</v>
      </c>
      <c r="BG56" s="9">
        <v>1417</v>
      </c>
      <c r="BH56" s="9">
        <v>295</v>
      </c>
      <c r="BI56" s="9">
        <v>3801</v>
      </c>
      <c r="BJ56" s="9">
        <v>58</v>
      </c>
      <c r="BK56" s="56">
        <f t="shared" si="11"/>
        <v>3859</v>
      </c>
      <c r="BL56" s="9">
        <f t="shared" si="15"/>
        <v>0</v>
      </c>
      <c r="BM56" s="9" t="s">
        <v>0</v>
      </c>
      <c r="BN56" s="9" t="s">
        <v>0</v>
      </c>
      <c r="BO56" s="9" t="s">
        <v>0</v>
      </c>
      <c r="BP56" s="20" t="s">
        <v>0</v>
      </c>
      <c r="BQ56" s="50" t="s">
        <v>0</v>
      </c>
      <c r="BR56" s="6" t="s">
        <v>0</v>
      </c>
      <c r="BS56" s="9">
        <f t="shared" si="16"/>
        <v>0</v>
      </c>
      <c r="BT56" s="9" t="s">
        <v>0</v>
      </c>
      <c r="BU56" s="9" t="s">
        <v>0</v>
      </c>
      <c r="BV56" s="9" t="s">
        <v>0</v>
      </c>
      <c r="BW56" s="9" t="s">
        <v>0</v>
      </c>
      <c r="BX56" s="20" t="str">
        <f t="shared" si="12"/>
        <v>#</v>
      </c>
      <c r="BY56" s="6" t="s">
        <v>158</v>
      </c>
      <c r="BZ56" s="5" t="s">
        <v>0</v>
      </c>
      <c r="CA56" s="6" t="s">
        <v>0</v>
      </c>
      <c r="CB56" s="6" t="s">
        <v>373</v>
      </c>
      <c r="CC56" s="6" t="s">
        <v>408</v>
      </c>
      <c r="CD56" s="6" t="s">
        <v>446</v>
      </c>
      <c r="CE56" s="149" t="s">
        <v>0</v>
      </c>
      <c r="CF56" s="149" t="s">
        <v>0</v>
      </c>
      <c r="CG56" s="149" t="s">
        <v>0</v>
      </c>
      <c r="CH56" s="63" t="s">
        <v>0</v>
      </c>
      <c r="CI56" s="64" t="s">
        <v>0</v>
      </c>
      <c r="CJ56" s="63" t="s">
        <v>0</v>
      </c>
      <c r="CK56" s="6" t="s">
        <v>0</v>
      </c>
      <c r="CL56" s="6" t="s">
        <v>0</v>
      </c>
      <c r="CM56" s="6" t="s">
        <v>0</v>
      </c>
      <c r="CN56" s="6" t="s">
        <v>0</v>
      </c>
      <c r="CO56" s="6" t="s">
        <v>0</v>
      </c>
      <c r="CP56" s="6" t="s">
        <v>0</v>
      </c>
      <c r="CQ56" s="6" t="s">
        <v>0</v>
      </c>
      <c r="CR56" s="11" t="s">
        <v>0</v>
      </c>
      <c r="CS56" s="6" t="s">
        <v>0</v>
      </c>
      <c r="CT56" s="11" t="s">
        <v>0</v>
      </c>
      <c r="CU56" s="6" t="s">
        <v>0</v>
      </c>
      <c r="CV56" s="6" t="s">
        <v>0</v>
      </c>
      <c r="CW56" s="11" t="s">
        <v>0</v>
      </c>
      <c r="CX56" s="27" t="s">
        <v>0</v>
      </c>
      <c r="CY56" s="27" t="s">
        <v>0</v>
      </c>
      <c r="CZ56" s="27" t="s">
        <v>0</v>
      </c>
      <c r="DA56" s="27" t="s">
        <v>0</v>
      </c>
      <c r="DB56" s="27" t="s">
        <v>0</v>
      </c>
      <c r="DC56" s="27" t="s">
        <v>0</v>
      </c>
      <c r="DD56" s="148" t="s">
        <v>0</v>
      </c>
      <c r="DE56" s="13" t="s">
        <v>695</v>
      </c>
      <c r="DF56" s="168" t="s">
        <v>0</v>
      </c>
      <c r="DG56" s="27" t="s">
        <v>0</v>
      </c>
      <c r="DH56" s="36" t="s">
        <v>0</v>
      </c>
      <c r="DI56" s="177" t="s">
        <v>0</v>
      </c>
    </row>
    <row r="57" spans="1:113" ht="16">
      <c r="A57" s="13" t="s">
        <v>865</v>
      </c>
      <c r="B57" s="12" t="s">
        <v>762</v>
      </c>
      <c r="C57" s="32" t="s">
        <v>92</v>
      </c>
      <c r="D57" s="38">
        <v>44351</v>
      </c>
      <c r="E57" s="38">
        <v>44419</v>
      </c>
      <c r="F57" s="10" t="s">
        <v>109</v>
      </c>
      <c r="G57" s="10" t="s">
        <v>635</v>
      </c>
      <c r="H57" s="13" t="s">
        <v>597</v>
      </c>
      <c r="I57" s="41">
        <v>89598.86</v>
      </c>
      <c r="J57" s="39" t="s">
        <v>1</v>
      </c>
      <c r="K57" s="9" t="s">
        <v>0</v>
      </c>
      <c r="L57" s="9" t="s">
        <v>0</v>
      </c>
      <c r="M57" s="9" t="s">
        <v>0</v>
      </c>
      <c r="N57" s="9" t="s">
        <v>0</v>
      </c>
      <c r="O57" s="11" t="s">
        <v>223</v>
      </c>
      <c r="P57" s="50" t="s">
        <v>0</v>
      </c>
      <c r="Q57" s="6" t="s">
        <v>0</v>
      </c>
      <c r="R57" s="6" t="s">
        <v>0</v>
      </c>
      <c r="S57" s="6" t="s">
        <v>0</v>
      </c>
      <c r="T57" s="6" t="s">
        <v>0</v>
      </c>
      <c r="U57" s="6" t="s">
        <v>0</v>
      </c>
      <c r="V57" s="6" t="s">
        <v>0</v>
      </c>
      <c r="W57" s="6" t="s">
        <v>0</v>
      </c>
      <c r="X57" s="6" t="s">
        <v>0</v>
      </c>
      <c r="Y57" s="9" t="s">
        <v>0</v>
      </c>
      <c r="Z57" s="6" t="s">
        <v>96</v>
      </c>
      <c r="AA57" s="79" t="s">
        <v>0</v>
      </c>
      <c r="AB57" s="68" t="s">
        <v>0</v>
      </c>
      <c r="AC57" s="68" t="s">
        <v>0</v>
      </c>
      <c r="AD57" s="61">
        <f t="shared" si="10"/>
        <v>0</v>
      </c>
      <c r="AE57" s="10" t="s">
        <v>0</v>
      </c>
      <c r="AF57" s="10" t="s">
        <v>0</v>
      </c>
      <c r="AG57" s="7" t="s">
        <v>465</v>
      </c>
      <c r="AH57" s="10" t="s">
        <v>0</v>
      </c>
      <c r="AI57" s="26" t="s">
        <v>0</v>
      </c>
      <c r="AJ57" s="50" t="s">
        <v>151</v>
      </c>
      <c r="AK57" s="6" t="s">
        <v>73</v>
      </c>
      <c r="AL57" s="6" t="s">
        <v>122</v>
      </c>
      <c r="AM57" s="7" t="s">
        <v>166</v>
      </c>
      <c r="AN57" s="6" t="s">
        <v>305</v>
      </c>
      <c r="AO57" s="14" t="s">
        <v>565</v>
      </c>
      <c r="AP57" s="68">
        <v>3</v>
      </c>
      <c r="AQ57" s="143">
        <f>ROUND(('Data extracted'!E57-'Data extracted'!D57)/7,0)</f>
        <v>10</v>
      </c>
      <c r="AR57" s="68" t="s">
        <v>0</v>
      </c>
      <c r="AS57" s="9" t="s">
        <v>0</v>
      </c>
      <c r="AT57" s="9" t="s">
        <v>0</v>
      </c>
      <c r="AU57" s="6" t="s">
        <v>73</v>
      </c>
      <c r="AV57" s="6" t="s">
        <v>73</v>
      </c>
      <c r="AW57" s="7" t="s">
        <v>237</v>
      </c>
      <c r="AX57" s="119" t="s">
        <v>0</v>
      </c>
      <c r="AY57" s="9" t="s">
        <v>0</v>
      </c>
      <c r="AZ57" s="9" t="s">
        <v>0</v>
      </c>
      <c r="BA57" s="9" t="s">
        <v>0</v>
      </c>
      <c r="BB57" s="9" t="s">
        <v>0</v>
      </c>
      <c r="BC57" s="20" t="s">
        <v>0</v>
      </c>
      <c r="BD57" s="50" t="s">
        <v>0</v>
      </c>
      <c r="BE57" s="5" t="s">
        <v>0</v>
      </c>
      <c r="BF57" s="9">
        <f t="shared" si="14"/>
        <v>0</v>
      </c>
      <c r="BG57" s="9" t="s">
        <v>0</v>
      </c>
      <c r="BH57" s="9" t="s">
        <v>0</v>
      </c>
      <c r="BI57" s="9" t="s">
        <v>0</v>
      </c>
      <c r="BJ57" s="9" t="s">
        <v>0</v>
      </c>
      <c r="BK57" s="56" t="str">
        <f t="shared" si="11"/>
        <v>#</v>
      </c>
      <c r="BL57" s="9">
        <f t="shared" si="15"/>
        <v>0</v>
      </c>
      <c r="BM57" s="9" t="s">
        <v>0</v>
      </c>
      <c r="BN57" s="9" t="s">
        <v>0</v>
      </c>
      <c r="BO57" s="9" t="s">
        <v>0</v>
      </c>
      <c r="BP57" s="20" t="s">
        <v>0</v>
      </c>
      <c r="BQ57" s="71" t="s">
        <v>0</v>
      </c>
      <c r="BR57" s="5" t="s">
        <v>0</v>
      </c>
      <c r="BS57" s="9">
        <f t="shared" si="16"/>
        <v>0</v>
      </c>
      <c r="BT57" s="9" t="s">
        <v>0</v>
      </c>
      <c r="BU57" s="9" t="s">
        <v>0</v>
      </c>
      <c r="BV57" s="9" t="s">
        <v>0</v>
      </c>
      <c r="BW57" s="9" t="s">
        <v>0</v>
      </c>
      <c r="BX57" s="20" t="str">
        <f t="shared" si="12"/>
        <v>#</v>
      </c>
      <c r="BY57" s="5" t="s">
        <v>0</v>
      </c>
      <c r="BZ57" s="5" t="s">
        <v>0</v>
      </c>
      <c r="CA57" s="6" t="s">
        <v>235</v>
      </c>
      <c r="CB57" s="6" t="s">
        <v>289</v>
      </c>
      <c r="CC57" s="6" t="s">
        <v>0</v>
      </c>
      <c r="CD57" s="11" t="s">
        <v>236</v>
      </c>
      <c r="CE57" s="149" t="s">
        <v>0</v>
      </c>
      <c r="CF57" s="149" t="s">
        <v>0</v>
      </c>
      <c r="CG57" s="149" t="s">
        <v>0</v>
      </c>
      <c r="CH57" s="63" t="s">
        <v>0</v>
      </c>
      <c r="CI57" s="64" t="s">
        <v>0</v>
      </c>
      <c r="CJ57" s="63" t="s">
        <v>0</v>
      </c>
      <c r="CK57" s="70" t="s">
        <v>0</v>
      </c>
      <c r="CL57" s="6" t="s">
        <v>0</v>
      </c>
      <c r="CM57" s="6" t="s">
        <v>233</v>
      </c>
      <c r="CN57" s="6" t="s">
        <v>0</v>
      </c>
      <c r="CO57" s="6" t="s">
        <v>0</v>
      </c>
      <c r="CP57" s="6" t="s">
        <v>0</v>
      </c>
      <c r="CQ57" s="6" t="s">
        <v>0</v>
      </c>
      <c r="CR57" s="11" t="s">
        <v>0</v>
      </c>
      <c r="CS57" s="6" t="s">
        <v>0</v>
      </c>
      <c r="CT57" s="11" t="s">
        <v>0</v>
      </c>
      <c r="CU57" s="6" t="s">
        <v>0</v>
      </c>
      <c r="CV57" s="6" t="s">
        <v>0</v>
      </c>
      <c r="CW57" s="11" t="s">
        <v>0</v>
      </c>
      <c r="CX57" s="27" t="s">
        <v>0</v>
      </c>
      <c r="CY57" s="27" t="s">
        <v>0</v>
      </c>
      <c r="CZ57" s="27" t="s">
        <v>0</v>
      </c>
      <c r="DA57" s="27" t="s">
        <v>0</v>
      </c>
      <c r="DB57" s="27" t="s">
        <v>0</v>
      </c>
      <c r="DC57" s="27" t="s">
        <v>0</v>
      </c>
      <c r="DD57" s="148" t="s">
        <v>0</v>
      </c>
      <c r="DE57" s="13" t="s">
        <v>0</v>
      </c>
      <c r="DF57" s="168" t="s">
        <v>0</v>
      </c>
      <c r="DG57" s="27" t="s">
        <v>0</v>
      </c>
      <c r="DH57" s="36" t="s">
        <v>0</v>
      </c>
      <c r="DI57" s="177" t="s">
        <v>0</v>
      </c>
    </row>
    <row r="58" spans="1:113" ht="15" customHeight="1">
      <c r="A58" s="13" t="s">
        <v>936</v>
      </c>
      <c r="B58" s="47" t="s">
        <v>769</v>
      </c>
      <c r="C58" s="7" t="s">
        <v>92</v>
      </c>
      <c r="D58" s="22">
        <v>44487</v>
      </c>
      <c r="E58" s="22">
        <v>44607</v>
      </c>
      <c r="F58" s="10" t="s">
        <v>109</v>
      </c>
      <c r="G58" s="10" t="s">
        <v>645</v>
      </c>
      <c r="H58" s="10" t="s">
        <v>1</v>
      </c>
      <c r="I58" s="41">
        <v>89598.86</v>
      </c>
      <c r="J58" s="18" t="s">
        <v>1</v>
      </c>
      <c r="K58" s="9" t="s">
        <v>0</v>
      </c>
      <c r="L58" s="9">
        <v>7303</v>
      </c>
      <c r="M58" s="9">
        <v>6711</v>
      </c>
      <c r="N58" s="9">
        <f t="shared" ref="N58:N67" si="17">MAX(K58:M58)</f>
        <v>7303</v>
      </c>
      <c r="O58" s="63" t="s">
        <v>242</v>
      </c>
      <c r="P58" s="52" t="s">
        <v>0</v>
      </c>
      <c r="Q58" s="52" t="s">
        <v>0</v>
      </c>
      <c r="R58" s="6" t="s">
        <v>0</v>
      </c>
      <c r="S58" s="6" t="s">
        <v>0</v>
      </c>
      <c r="T58" s="6" t="s">
        <v>0</v>
      </c>
      <c r="U58" s="6" t="s">
        <v>0</v>
      </c>
      <c r="V58" s="6" t="s">
        <v>0</v>
      </c>
      <c r="W58" s="6" t="s">
        <v>0</v>
      </c>
      <c r="X58" s="6" t="s">
        <v>0</v>
      </c>
      <c r="Y58" s="9" t="s">
        <v>0</v>
      </c>
      <c r="Z58" s="6" t="s">
        <v>96</v>
      </c>
      <c r="AA58" s="79">
        <v>0</v>
      </c>
      <c r="AB58" s="79">
        <v>7303</v>
      </c>
      <c r="AC58" s="68">
        <v>0</v>
      </c>
      <c r="AD58" s="61">
        <f t="shared" si="10"/>
        <v>1</v>
      </c>
      <c r="AE58" s="10" t="s">
        <v>0</v>
      </c>
      <c r="AF58" s="10" t="s">
        <v>0</v>
      </c>
      <c r="AG58" s="10" t="s">
        <v>465</v>
      </c>
      <c r="AH58" s="10" t="s">
        <v>0</v>
      </c>
      <c r="AI58" s="26" t="s">
        <v>0</v>
      </c>
      <c r="AJ58" s="6" t="s">
        <v>392</v>
      </c>
      <c r="AK58" s="7" t="s">
        <v>72</v>
      </c>
      <c r="AL58" s="6" t="s">
        <v>122</v>
      </c>
      <c r="AM58" s="7" t="s">
        <v>166</v>
      </c>
      <c r="AN58" s="7" t="s">
        <v>124</v>
      </c>
      <c r="AO58" s="10" t="s">
        <v>565</v>
      </c>
      <c r="AP58" s="145">
        <v>3.5</v>
      </c>
      <c r="AQ58" s="143">
        <v>2.1428571428571428</v>
      </c>
      <c r="AR58" s="143">
        <f>8*M58</f>
        <v>53688</v>
      </c>
      <c r="AS58" s="9" t="s">
        <v>0</v>
      </c>
      <c r="AT58" s="9" t="s">
        <v>0</v>
      </c>
      <c r="AU58" s="7" t="s">
        <v>73</v>
      </c>
      <c r="AV58" s="7" t="s">
        <v>73</v>
      </c>
      <c r="AW58" s="7" t="s">
        <v>393</v>
      </c>
      <c r="AX58" s="11" t="s">
        <v>307</v>
      </c>
      <c r="AY58" s="9" t="s">
        <v>0</v>
      </c>
      <c r="AZ58" s="9" t="s">
        <v>0</v>
      </c>
      <c r="BA58" s="9" t="s">
        <v>0</v>
      </c>
      <c r="BB58" s="9" t="s">
        <v>0</v>
      </c>
      <c r="BC58" s="20" t="s">
        <v>0</v>
      </c>
      <c r="BD58" s="6" t="s">
        <v>158</v>
      </c>
      <c r="BE58" s="6" t="s">
        <v>0</v>
      </c>
      <c r="BF58" s="9">
        <f t="shared" si="14"/>
        <v>0</v>
      </c>
      <c r="BG58" s="9" t="s">
        <v>0</v>
      </c>
      <c r="BH58" s="9" t="s">
        <v>0</v>
      </c>
      <c r="BI58" s="9" t="s">
        <v>0</v>
      </c>
      <c r="BJ58" s="9" t="s">
        <v>0</v>
      </c>
      <c r="BK58" s="56" t="str">
        <f t="shared" si="11"/>
        <v>#</v>
      </c>
      <c r="BL58" s="9">
        <f t="shared" si="15"/>
        <v>5989</v>
      </c>
      <c r="BM58" s="9" t="s">
        <v>0</v>
      </c>
      <c r="BN58" s="9">
        <v>5989</v>
      </c>
      <c r="BO58" s="9" t="s">
        <v>0</v>
      </c>
      <c r="BP58" s="20" t="s">
        <v>0</v>
      </c>
      <c r="BQ58" s="50" t="s">
        <v>158</v>
      </c>
      <c r="BR58" s="6" t="s">
        <v>0</v>
      </c>
      <c r="BS58" s="9">
        <f t="shared" si="16"/>
        <v>5989</v>
      </c>
      <c r="BT58" s="9" t="s">
        <v>0</v>
      </c>
      <c r="BU58" s="9" t="s">
        <v>0</v>
      </c>
      <c r="BV58" s="9">
        <v>5989</v>
      </c>
      <c r="BW58" s="9" t="s">
        <v>0</v>
      </c>
      <c r="BX58" s="20" t="str">
        <f t="shared" si="12"/>
        <v>#</v>
      </c>
      <c r="BY58" s="6" t="s">
        <v>0</v>
      </c>
      <c r="BZ58" s="5" t="s">
        <v>0</v>
      </c>
      <c r="CA58" s="6" t="s">
        <v>0</v>
      </c>
      <c r="CB58" s="6" t="s">
        <v>448</v>
      </c>
      <c r="CC58" s="6" t="s">
        <v>0</v>
      </c>
      <c r="CD58" s="11" t="s">
        <v>409</v>
      </c>
      <c r="CE58" s="149" t="s">
        <v>0</v>
      </c>
      <c r="CF58" s="149" t="s">
        <v>0</v>
      </c>
      <c r="CG58" s="149" t="s">
        <v>0</v>
      </c>
      <c r="CH58" s="63" t="s">
        <v>0</v>
      </c>
      <c r="CI58" s="64" t="s">
        <v>0</v>
      </c>
      <c r="CJ58" s="63" t="s">
        <v>0</v>
      </c>
      <c r="CK58" s="6" t="s">
        <v>0</v>
      </c>
      <c r="CL58" s="6" t="s">
        <v>0</v>
      </c>
      <c r="CM58" s="6" t="s">
        <v>0</v>
      </c>
      <c r="CN58" s="6" t="s">
        <v>0</v>
      </c>
      <c r="CO58" s="6" t="s">
        <v>0</v>
      </c>
      <c r="CP58" s="6" t="s">
        <v>0</v>
      </c>
      <c r="CQ58" s="6" t="s">
        <v>0</v>
      </c>
      <c r="CR58" s="11" t="s">
        <v>0</v>
      </c>
      <c r="CS58" s="6" t="s">
        <v>0</v>
      </c>
      <c r="CT58" s="11" t="s">
        <v>0</v>
      </c>
      <c r="CU58" s="6" t="s">
        <v>0</v>
      </c>
      <c r="CV58" s="6" t="s">
        <v>0</v>
      </c>
      <c r="CW58" s="11" t="s">
        <v>0</v>
      </c>
      <c r="CX58" s="27" t="s">
        <v>0</v>
      </c>
      <c r="CY58" s="27" t="s">
        <v>0</v>
      </c>
      <c r="CZ58" s="27" t="s">
        <v>0</v>
      </c>
      <c r="DA58" s="27" t="s">
        <v>0</v>
      </c>
      <c r="DB58" s="27" t="s">
        <v>394</v>
      </c>
      <c r="DC58" s="27" t="s">
        <v>0</v>
      </c>
      <c r="DD58" s="148" t="s">
        <v>0</v>
      </c>
      <c r="DE58" s="13" t="s">
        <v>0</v>
      </c>
      <c r="DF58" s="168" t="s">
        <v>0</v>
      </c>
      <c r="DG58" s="27" t="s">
        <v>0</v>
      </c>
      <c r="DH58" s="36" t="s">
        <v>0</v>
      </c>
      <c r="DI58" s="177" t="s">
        <v>0</v>
      </c>
    </row>
    <row r="59" spans="1:113" ht="16">
      <c r="A59" s="13" t="s">
        <v>709</v>
      </c>
      <c r="B59" s="12" t="s">
        <v>763</v>
      </c>
      <c r="C59" s="32" t="s">
        <v>92</v>
      </c>
      <c r="D59" s="22">
        <v>44735</v>
      </c>
      <c r="E59" s="22">
        <v>44750</v>
      </c>
      <c r="F59" s="10" t="s">
        <v>94</v>
      </c>
      <c r="G59" s="10" t="s">
        <v>634</v>
      </c>
      <c r="H59" s="10" t="s">
        <v>1</v>
      </c>
      <c r="I59" s="41">
        <v>59925.317000000003</v>
      </c>
      <c r="J59" s="39" t="s">
        <v>1</v>
      </c>
      <c r="K59" s="9">
        <v>2400</v>
      </c>
      <c r="L59" s="9">
        <v>500</v>
      </c>
      <c r="M59" s="9">
        <v>419</v>
      </c>
      <c r="N59" s="9">
        <f t="shared" si="17"/>
        <v>2400</v>
      </c>
      <c r="O59" s="11" t="s">
        <v>244</v>
      </c>
      <c r="P59" s="50" t="s">
        <v>0</v>
      </c>
      <c r="Q59" s="6" t="s">
        <v>0</v>
      </c>
      <c r="R59" s="6">
        <v>44</v>
      </c>
      <c r="S59" s="6">
        <v>34</v>
      </c>
      <c r="T59" s="6">
        <v>57</v>
      </c>
      <c r="U59" s="6">
        <v>12</v>
      </c>
      <c r="V59" s="6">
        <v>80</v>
      </c>
      <c r="W59" s="52">
        <v>239</v>
      </c>
      <c r="X59" s="6">
        <v>180</v>
      </c>
      <c r="Y59" s="9" t="s">
        <v>0</v>
      </c>
      <c r="Z59" s="6" t="s">
        <v>96</v>
      </c>
      <c r="AA59" s="79" t="s">
        <v>0</v>
      </c>
      <c r="AB59" s="68" t="s">
        <v>0</v>
      </c>
      <c r="AC59" s="68" t="s">
        <v>0</v>
      </c>
      <c r="AD59" s="61">
        <f t="shared" si="10"/>
        <v>0</v>
      </c>
      <c r="AE59" s="10" t="s">
        <v>0</v>
      </c>
      <c r="AF59" s="10" t="s">
        <v>0</v>
      </c>
      <c r="AG59" s="7" t="s">
        <v>465</v>
      </c>
      <c r="AH59" s="10" t="s">
        <v>0</v>
      </c>
      <c r="AI59" s="26" t="s">
        <v>0</v>
      </c>
      <c r="AJ59" s="60" t="s">
        <v>165</v>
      </c>
      <c r="AK59" s="7" t="s">
        <v>73</v>
      </c>
      <c r="AL59" s="6" t="s">
        <v>0</v>
      </c>
      <c r="AM59" s="7" t="s">
        <v>166</v>
      </c>
      <c r="AN59" s="7" t="s">
        <v>124</v>
      </c>
      <c r="AO59" s="5" t="s">
        <v>564</v>
      </c>
      <c r="AP59" s="68" t="s">
        <v>0</v>
      </c>
      <c r="AQ59" s="68" t="s">
        <v>0</v>
      </c>
      <c r="AR59" s="68">
        <v>500</v>
      </c>
      <c r="AS59" s="9" t="s">
        <v>0</v>
      </c>
      <c r="AT59" s="9">
        <v>419</v>
      </c>
      <c r="AU59" s="7" t="s">
        <v>73</v>
      </c>
      <c r="AV59" s="7" t="s">
        <v>73</v>
      </c>
      <c r="AW59" s="5" t="s">
        <v>0</v>
      </c>
      <c r="AX59" s="119" t="s">
        <v>0</v>
      </c>
      <c r="AY59" s="9">
        <f>SUM(AZ59:BC59)</f>
        <v>425</v>
      </c>
      <c r="AZ59" s="9">
        <v>7</v>
      </c>
      <c r="BA59" s="9">
        <v>412</v>
      </c>
      <c r="BB59" s="9">
        <v>6</v>
      </c>
      <c r="BC59" s="20" t="s">
        <v>0</v>
      </c>
      <c r="BD59" s="50" t="s">
        <v>158</v>
      </c>
      <c r="BE59" s="5" t="s">
        <v>0</v>
      </c>
      <c r="BF59" s="9">
        <f t="shared" si="14"/>
        <v>4</v>
      </c>
      <c r="BG59" s="9">
        <v>4</v>
      </c>
      <c r="BH59" s="9" t="s">
        <v>0</v>
      </c>
      <c r="BI59" s="9" t="s">
        <v>0</v>
      </c>
      <c r="BJ59" s="9" t="s">
        <v>0</v>
      </c>
      <c r="BK59" s="56" t="str">
        <f t="shared" si="11"/>
        <v>#</v>
      </c>
      <c r="BL59" s="9">
        <f t="shared" si="15"/>
        <v>425</v>
      </c>
      <c r="BM59" s="9">
        <v>7</v>
      </c>
      <c r="BN59" s="9">
        <v>412</v>
      </c>
      <c r="BO59" s="9">
        <v>6</v>
      </c>
      <c r="BP59" s="20" t="s">
        <v>0</v>
      </c>
      <c r="BQ59" s="71" t="s">
        <v>158</v>
      </c>
      <c r="BR59" s="5" t="s">
        <v>0</v>
      </c>
      <c r="BS59" s="9">
        <f t="shared" si="16"/>
        <v>4</v>
      </c>
      <c r="BT59" s="9">
        <v>4</v>
      </c>
      <c r="BU59" s="9" t="s">
        <v>0</v>
      </c>
      <c r="BV59" s="9" t="s">
        <v>0</v>
      </c>
      <c r="BW59" s="9" t="s">
        <v>0</v>
      </c>
      <c r="BX59" s="20" t="str">
        <f t="shared" si="12"/>
        <v>#</v>
      </c>
      <c r="BY59" s="5" t="s">
        <v>0</v>
      </c>
      <c r="BZ59" s="5" t="s">
        <v>0</v>
      </c>
      <c r="CA59" s="6" t="s">
        <v>0</v>
      </c>
      <c r="CB59" s="6" t="s">
        <v>0</v>
      </c>
      <c r="CC59" s="6" t="s">
        <v>0</v>
      </c>
      <c r="CD59" s="11" t="s">
        <v>0</v>
      </c>
      <c r="CE59" s="149" t="s">
        <v>0</v>
      </c>
      <c r="CF59" s="149" t="s">
        <v>0</v>
      </c>
      <c r="CG59" s="149" t="s">
        <v>0</v>
      </c>
      <c r="CH59" s="63" t="s">
        <v>0</v>
      </c>
      <c r="CI59" s="64" t="s">
        <v>0</v>
      </c>
      <c r="CJ59" s="63" t="s">
        <v>0</v>
      </c>
      <c r="CK59" s="70" t="s">
        <v>0</v>
      </c>
      <c r="CL59" s="6" t="s">
        <v>0</v>
      </c>
      <c r="CM59" s="6" t="s">
        <v>0</v>
      </c>
      <c r="CN59" s="6" t="s">
        <v>0</v>
      </c>
      <c r="CO59" s="6" t="s">
        <v>0</v>
      </c>
      <c r="CP59" s="6" t="s">
        <v>0</v>
      </c>
      <c r="CQ59" s="6" t="s">
        <v>0</v>
      </c>
      <c r="CR59" s="11" t="s">
        <v>0</v>
      </c>
      <c r="CS59" s="6" t="s">
        <v>0</v>
      </c>
      <c r="CT59" s="11" t="s">
        <v>0</v>
      </c>
      <c r="CU59" s="6" t="s">
        <v>0</v>
      </c>
      <c r="CV59" s="6" t="s">
        <v>0</v>
      </c>
      <c r="CW59" s="11" t="s">
        <v>0</v>
      </c>
      <c r="CX59" s="27" t="s">
        <v>0</v>
      </c>
      <c r="CY59" s="27" t="s">
        <v>0</v>
      </c>
      <c r="CZ59" s="27" t="s">
        <v>0</v>
      </c>
      <c r="DA59" s="27" t="s">
        <v>0</v>
      </c>
      <c r="DB59" s="27" t="s">
        <v>0</v>
      </c>
      <c r="DC59" s="27" t="s">
        <v>0</v>
      </c>
      <c r="DD59" s="148" t="s">
        <v>0</v>
      </c>
      <c r="DE59" s="13" t="s">
        <v>0</v>
      </c>
      <c r="DF59" s="168" t="s">
        <v>0</v>
      </c>
      <c r="DG59" s="27" t="s">
        <v>0</v>
      </c>
      <c r="DH59" s="36" t="s">
        <v>0</v>
      </c>
      <c r="DI59" s="177" t="s">
        <v>0</v>
      </c>
    </row>
    <row r="60" spans="1:113" s="13" customFormat="1" ht="16">
      <c r="A60" s="13" t="s">
        <v>937</v>
      </c>
      <c r="B60" s="21" t="s">
        <v>776</v>
      </c>
      <c r="C60" s="13" t="s">
        <v>92</v>
      </c>
      <c r="D60" s="82">
        <v>44188</v>
      </c>
      <c r="E60" s="82">
        <v>44213</v>
      </c>
      <c r="F60" s="44" t="s">
        <v>97</v>
      </c>
      <c r="G60" s="44" t="s">
        <v>616</v>
      </c>
      <c r="H60" s="13" t="s">
        <v>104</v>
      </c>
      <c r="I60" s="45">
        <v>73173.714999999997</v>
      </c>
      <c r="J60" s="46" t="s">
        <v>1</v>
      </c>
      <c r="K60" s="9" t="s">
        <v>0</v>
      </c>
      <c r="L60" s="61">
        <v>1758</v>
      </c>
      <c r="M60" s="9">
        <v>1595</v>
      </c>
      <c r="N60" s="9">
        <f t="shared" si="17"/>
        <v>1758</v>
      </c>
      <c r="O60" s="11" t="s">
        <v>249</v>
      </c>
      <c r="P60" s="49" t="s">
        <v>0</v>
      </c>
      <c r="Q60" s="14" t="s">
        <v>0</v>
      </c>
      <c r="R60" s="14">
        <v>41</v>
      </c>
      <c r="S60" s="14">
        <v>29</v>
      </c>
      <c r="T60" s="14">
        <v>54</v>
      </c>
      <c r="U60" s="14" t="s">
        <v>0</v>
      </c>
      <c r="V60" s="14" t="s">
        <v>0</v>
      </c>
      <c r="W60" s="14">
        <v>877</v>
      </c>
      <c r="X60" s="14">
        <v>718</v>
      </c>
      <c r="Y60" s="9" t="s">
        <v>0</v>
      </c>
      <c r="Z60" s="14" t="s">
        <v>96</v>
      </c>
      <c r="AA60" s="78">
        <v>1114</v>
      </c>
      <c r="AB60" s="61">
        <v>481</v>
      </c>
      <c r="AC60" s="61">
        <v>0</v>
      </c>
      <c r="AD60" s="61">
        <f t="shared" si="10"/>
        <v>0</v>
      </c>
      <c r="AE60" s="14" t="s">
        <v>0</v>
      </c>
      <c r="AF60" s="13" t="s">
        <v>0</v>
      </c>
      <c r="AG60" s="13" t="s">
        <v>465</v>
      </c>
      <c r="AH60" s="14" t="s">
        <v>0</v>
      </c>
      <c r="AI60" s="16" t="s">
        <v>0</v>
      </c>
      <c r="AJ60" s="50" t="s">
        <v>135</v>
      </c>
      <c r="AK60" s="5" t="s">
        <v>73</v>
      </c>
      <c r="AL60" s="6" t="s">
        <v>122</v>
      </c>
      <c r="AM60" s="5" t="s">
        <v>136</v>
      </c>
      <c r="AN60" s="5" t="s">
        <v>124</v>
      </c>
      <c r="AO60" s="5" t="s">
        <v>564</v>
      </c>
      <c r="AP60" s="9" t="s">
        <v>0</v>
      </c>
      <c r="AQ60" s="9" t="s">
        <v>0</v>
      </c>
      <c r="AR60" s="9">
        <v>1758</v>
      </c>
      <c r="AS60" s="9" t="s">
        <v>0</v>
      </c>
      <c r="AT60" s="9">
        <v>1595</v>
      </c>
      <c r="AU60" s="5" t="s">
        <v>73</v>
      </c>
      <c r="AV60" s="5" t="s">
        <v>73</v>
      </c>
      <c r="AW60" s="5" t="s">
        <v>137</v>
      </c>
      <c r="AX60" s="11" t="s">
        <v>309</v>
      </c>
      <c r="AY60" s="9">
        <f>SUM(AZ60:BC60)</f>
        <v>1595</v>
      </c>
      <c r="AZ60" s="9">
        <v>88</v>
      </c>
      <c r="BA60" s="9">
        <v>1476</v>
      </c>
      <c r="BB60" s="9">
        <v>31</v>
      </c>
      <c r="BC60" s="56" t="s">
        <v>0</v>
      </c>
      <c r="BD60" s="50" t="s">
        <v>158</v>
      </c>
      <c r="BE60" s="6" t="s">
        <v>126</v>
      </c>
      <c r="BF60" s="9">
        <f t="shared" si="14"/>
        <v>1556</v>
      </c>
      <c r="BG60" s="9">
        <v>86</v>
      </c>
      <c r="BH60" s="9">
        <v>89</v>
      </c>
      <c r="BI60" s="9">
        <v>1379</v>
      </c>
      <c r="BJ60" s="9">
        <v>2</v>
      </c>
      <c r="BK60" s="56">
        <f t="shared" si="11"/>
        <v>1381</v>
      </c>
      <c r="BL60" s="9">
        <f t="shared" si="15"/>
        <v>1595</v>
      </c>
      <c r="BM60" s="9">
        <v>88</v>
      </c>
      <c r="BN60" s="9">
        <v>1476</v>
      </c>
      <c r="BO60" s="9">
        <v>31</v>
      </c>
      <c r="BP60" s="20" t="s">
        <v>0</v>
      </c>
      <c r="BQ60" s="71" t="s">
        <v>158</v>
      </c>
      <c r="BR60" s="5" t="s">
        <v>126</v>
      </c>
      <c r="BS60" s="9">
        <f t="shared" si="16"/>
        <v>1556</v>
      </c>
      <c r="BT60" s="9">
        <v>86</v>
      </c>
      <c r="BU60" s="9">
        <v>89</v>
      </c>
      <c r="BV60" s="9">
        <v>1379</v>
      </c>
      <c r="BW60" s="9">
        <v>2</v>
      </c>
      <c r="BX60" s="20">
        <f t="shared" si="12"/>
        <v>175</v>
      </c>
      <c r="BY60" s="6" t="s">
        <v>158</v>
      </c>
      <c r="BZ60" s="5" t="s">
        <v>0</v>
      </c>
      <c r="CA60" s="6" t="s">
        <v>0</v>
      </c>
      <c r="CB60" s="6" t="s">
        <v>0</v>
      </c>
      <c r="CC60" s="6" t="s">
        <v>0</v>
      </c>
      <c r="CD60" s="11" t="s">
        <v>0</v>
      </c>
      <c r="CE60" s="149" t="s">
        <v>0</v>
      </c>
      <c r="CF60" s="149" t="s">
        <v>0</v>
      </c>
      <c r="CG60" s="149" t="s">
        <v>0</v>
      </c>
      <c r="CH60" s="63" t="s">
        <v>0</v>
      </c>
      <c r="CI60" s="121" t="s">
        <v>0</v>
      </c>
      <c r="CJ60" s="122" t="s">
        <v>0</v>
      </c>
      <c r="CK60" s="14" t="s">
        <v>0</v>
      </c>
      <c r="CL60" s="14" t="s">
        <v>0</v>
      </c>
      <c r="CM60" s="14" t="s">
        <v>0</v>
      </c>
      <c r="CN60" s="14" t="s">
        <v>0</v>
      </c>
      <c r="CO60" s="14" t="s">
        <v>0</v>
      </c>
      <c r="CP60" s="14" t="s">
        <v>0</v>
      </c>
      <c r="CQ60" s="14" t="s">
        <v>0</v>
      </c>
      <c r="CR60" s="21" t="s">
        <v>0</v>
      </c>
      <c r="CS60" s="14" t="s">
        <v>0</v>
      </c>
      <c r="CT60" s="21" t="s">
        <v>0</v>
      </c>
      <c r="CU60" s="14" t="s">
        <v>0</v>
      </c>
      <c r="CV60" s="14" t="s">
        <v>0</v>
      </c>
      <c r="CW60" s="16" t="s">
        <v>0</v>
      </c>
      <c r="CX60" s="27" t="s">
        <v>0</v>
      </c>
      <c r="CY60" s="27" t="s">
        <v>0</v>
      </c>
      <c r="CZ60" s="27" t="s">
        <v>0</v>
      </c>
      <c r="DA60" s="27" t="s">
        <v>0</v>
      </c>
      <c r="DB60" s="27" t="s">
        <v>0</v>
      </c>
      <c r="DC60" s="27" t="s">
        <v>0</v>
      </c>
      <c r="DD60" s="148" t="s">
        <v>0</v>
      </c>
      <c r="DE60" s="13" t="s">
        <v>695</v>
      </c>
      <c r="DF60" s="168" t="s">
        <v>695</v>
      </c>
      <c r="DG60" s="27" t="s">
        <v>0</v>
      </c>
      <c r="DH60" s="36" t="s">
        <v>0</v>
      </c>
      <c r="DI60" s="177" t="s">
        <v>0</v>
      </c>
    </row>
    <row r="61" spans="1:113" s="13" customFormat="1" ht="16">
      <c r="A61" s="13" t="s">
        <v>938</v>
      </c>
      <c r="B61" s="21" t="s">
        <v>776</v>
      </c>
      <c r="C61" s="13" t="s">
        <v>92</v>
      </c>
      <c r="D61" s="82">
        <v>44188</v>
      </c>
      <c r="E61" s="82">
        <v>44213</v>
      </c>
      <c r="F61" s="44" t="s">
        <v>97</v>
      </c>
      <c r="G61" s="44" t="s">
        <v>616</v>
      </c>
      <c r="H61" s="13" t="s">
        <v>104</v>
      </c>
      <c r="I61" s="45">
        <v>73173.714999999997</v>
      </c>
      <c r="J61" s="46" t="s">
        <v>1</v>
      </c>
      <c r="K61" s="9" t="s">
        <v>0</v>
      </c>
      <c r="L61" s="61">
        <v>1771</v>
      </c>
      <c r="M61" s="9">
        <v>1606</v>
      </c>
      <c r="N61" s="9">
        <f t="shared" si="17"/>
        <v>1771</v>
      </c>
      <c r="O61" s="11" t="s">
        <v>249</v>
      </c>
      <c r="P61" s="49" t="s">
        <v>0</v>
      </c>
      <c r="Q61" s="14" t="s">
        <v>0</v>
      </c>
      <c r="R61" s="14">
        <v>41</v>
      </c>
      <c r="S61" s="14">
        <v>29</v>
      </c>
      <c r="T61" s="14">
        <v>54</v>
      </c>
      <c r="U61" s="14" t="s">
        <v>0</v>
      </c>
      <c r="V61" s="14" t="s">
        <v>0</v>
      </c>
      <c r="W61" s="14">
        <v>918</v>
      </c>
      <c r="X61" s="14">
        <v>688</v>
      </c>
      <c r="Y61" s="9" t="s">
        <v>0</v>
      </c>
      <c r="Z61" s="14" t="s">
        <v>96</v>
      </c>
      <c r="AA61" s="78">
        <v>1102</v>
      </c>
      <c r="AB61" s="61">
        <v>504</v>
      </c>
      <c r="AC61" s="61">
        <v>0</v>
      </c>
      <c r="AD61" s="61">
        <f t="shared" si="10"/>
        <v>0</v>
      </c>
      <c r="AE61" s="14" t="s">
        <v>0</v>
      </c>
      <c r="AF61" s="13" t="s">
        <v>0</v>
      </c>
      <c r="AG61" s="13" t="s">
        <v>465</v>
      </c>
      <c r="AH61" s="14" t="s">
        <v>0</v>
      </c>
      <c r="AI61" s="16" t="s">
        <v>0</v>
      </c>
      <c r="AJ61" s="50" t="s">
        <v>139</v>
      </c>
      <c r="AK61" s="5" t="s">
        <v>73</v>
      </c>
      <c r="AL61" s="6" t="s">
        <v>122</v>
      </c>
      <c r="AM61" s="5" t="s">
        <v>136</v>
      </c>
      <c r="AN61" s="5" t="s">
        <v>124</v>
      </c>
      <c r="AO61" s="5" t="s">
        <v>564</v>
      </c>
      <c r="AP61" s="9" t="s">
        <v>0</v>
      </c>
      <c r="AQ61" s="9" t="s">
        <v>0</v>
      </c>
      <c r="AR61" s="9">
        <v>1771</v>
      </c>
      <c r="AS61" s="9" t="s">
        <v>0</v>
      </c>
      <c r="AT61" s="9">
        <v>1606</v>
      </c>
      <c r="AU61" s="5" t="s">
        <v>73</v>
      </c>
      <c r="AV61" s="5" t="s">
        <v>73</v>
      </c>
      <c r="AW61" s="5" t="s">
        <v>137</v>
      </c>
      <c r="AX61" s="11" t="s">
        <v>309</v>
      </c>
      <c r="AY61" s="9">
        <f>SUM(AZ61:BC61)</f>
        <v>1606</v>
      </c>
      <c r="AZ61" s="9">
        <v>122</v>
      </c>
      <c r="BA61" s="9">
        <v>1467</v>
      </c>
      <c r="BB61" s="9">
        <v>17</v>
      </c>
      <c r="BC61" s="56" t="s">
        <v>0</v>
      </c>
      <c r="BD61" s="50" t="s">
        <v>158</v>
      </c>
      <c r="BE61" s="6" t="s">
        <v>126</v>
      </c>
      <c r="BF61" s="9">
        <f t="shared" si="14"/>
        <v>1583</v>
      </c>
      <c r="BG61" s="9">
        <v>118</v>
      </c>
      <c r="BH61" s="9">
        <v>74</v>
      </c>
      <c r="BI61" s="9">
        <v>1387</v>
      </c>
      <c r="BJ61" s="9">
        <v>4</v>
      </c>
      <c r="BK61" s="56">
        <f t="shared" si="11"/>
        <v>1391</v>
      </c>
      <c r="BL61" s="9">
        <f t="shared" si="15"/>
        <v>1606</v>
      </c>
      <c r="BM61" s="9">
        <v>122</v>
      </c>
      <c r="BN61" s="9">
        <v>1467</v>
      </c>
      <c r="BO61" s="9">
        <v>17</v>
      </c>
      <c r="BP61" s="20" t="s">
        <v>0</v>
      </c>
      <c r="BQ61" s="71" t="s">
        <v>158</v>
      </c>
      <c r="BR61" s="5" t="s">
        <v>126</v>
      </c>
      <c r="BS61" s="9">
        <f t="shared" si="16"/>
        <v>1583</v>
      </c>
      <c r="BT61" s="9">
        <v>118</v>
      </c>
      <c r="BU61" s="9">
        <v>74</v>
      </c>
      <c r="BV61" s="9">
        <v>1387</v>
      </c>
      <c r="BW61" s="9">
        <v>4</v>
      </c>
      <c r="BX61" s="20">
        <f t="shared" si="12"/>
        <v>192</v>
      </c>
      <c r="BY61" s="6" t="s">
        <v>158</v>
      </c>
      <c r="BZ61" s="5" t="s">
        <v>0</v>
      </c>
      <c r="CA61" s="6" t="s">
        <v>0</v>
      </c>
      <c r="CB61" s="6" t="s">
        <v>0</v>
      </c>
      <c r="CC61" s="6" t="s">
        <v>0</v>
      </c>
      <c r="CD61" s="11" t="s">
        <v>0</v>
      </c>
      <c r="CE61" s="149" t="s">
        <v>0</v>
      </c>
      <c r="CF61" s="149" t="s">
        <v>0</v>
      </c>
      <c r="CG61" s="149" t="s">
        <v>0</v>
      </c>
      <c r="CH61" s="63" t="s">
        <v>0</v>
      </c>
      <c r="CI61" s="121" t="s">
        <v>0</v>
      </c>
      <c r="CJ61" s="122" t="s">
        <v>0</v>
      </c>
      <c r="CK61" s="14" t="s">
        <v>0</v>
      </c>
      <c r="CL61" s="14" t="s">
        <v>0</v>
      </c>
      <c r="CM61" s="14" t="s">
        <v>0</v>
      </c>
      <c r="CN61" s="14" t="s">
        <v>0</v>
      </c>
      <c r="CO61" s="14" t="s">
        <v>0</v>
      </c>
      <c r="CP61" s="14" t="s">
        <v>0</v>
      </c>
      <c r="CQ61" s="14" t="s">
        <v>0</v>
      </c>
      <c r="CR61" s="21" t="s">
        <v>0</v>
      </c>
      <c r="CS61" s="14" t="s">
        <v>0</v>
      </c>
      <c r="CT61" s="21" t="s">
        <v>0</v>
      </c>
      <c r="CU61" s="14" t="s">
        <v>0</v>
      </c>
      <c r="CV61" s="14" t="s">
        <v>0</v>
      </c>
      <c r="CW61" s="16" t="s">
        <v>0</v>
      </c>
      <c r="CX61" s="27" t="s">
        <v>0</v>
      </c>
      <c r="CY61" s="27" t="s">
        <v>0</v>
      </c>
      <c r="CZ61" s="27" t="s">
        <v>0</v>
      </c>
      <c r="DA61" s="27" t="s">
        <v>0</v>
      </c>
      <c r="DB61" s="27" t="s">
        <v>0</v>
      </c>
      <c r="DC61" s="27" t="s">
        <v>0</v>
      </c>
      <c r="DD61" s="148" t="s">
        <v>0</v>
      </c>
      <c r="DE61" s="13" t="s">
        <v>695</v>
      </c>
      <c r="DF61" s="168" t="s">
        <v>695</v>
      </c>
      <c r="DG61" s="27" t="s">
        <v>0</v>
      </c>
      <c r="DH61" s="36" t="s">
        <v>0</v>
      </c>
      <c r="DI61" s="177" t="s">
        <v>0</v>
      </c>
    </row>
    <row r="62" spans="1:113" s="33" customFormat="1" ht="16">
      <c r="A62" s="13" t="s">
        <v>708</v>
      </c>
      <c r="B62" s="57" t="s">
        <v>54</v>
      </c>
      <c r="C62" s="32" t="s">
        <v>92</v>
      </c>
      <c r="D62" s="29">
        <v>44249</v>
      </c>
      <c r="E62" s="29">
        <v>44306</v>
      </c>
      <c r="F62" s="32" t="s">
        <v>109</v>
      </c>
      <c r="G62" s="32" t="s">
        <v>665</v>
      </c>
      <c r="H62" s="32" t="s">
        <v>104</v>
      </c>
      <c r="I62" s="41">
        <v>89598.86</v>
      </c>
      <c r="J62" s="34" t="s">
        <v>1</v>
      </c>
      <c r="K62" s="9" t="s">
        <v>0</v>
      </c>
      <c r="L62" s="9" t="s">
        <v>0</v>
      </c>
      <c r="M62" s="9">
        <v>1347</v>
      </c>
      <c r="N62" s="9">
        <f t="shared" si="17"/>
        <v>1347</v>
      </c>
      <c r="O62" s="11" t="s">
        <v>249</v>
      </c>
      <c r="P62" s="51" t="s">
        <v>0</v>
      </c>
      <c r="Q62" s="27" t="s">
        <v>0</v>
      </c>
      <c r="R62" s="27" t="s">
        <v>0</v>
      </c>
      <c r="S62" s="27" t="s">
        <v>0</v>
      </c>
      <c r="T62" s="27" t="s">
        <v>0</v>
      </c>
      <c r="U62" s="27" t="s">
        <v>0</v>
      </c>
      <c r="V62" s="27" t="s">
        <v>0</v>
      </c>
      <c r="W62" s="27">
        <v>955</v>
      </c>
      <c r="X62" s="27">
        <v>392</v>
      </c>
      <c r="Y62" s="9" t="s">
        <v>0</v>
      </c>
      <c r="Z62" s="27" t="s">
        <v>572</v>
      </c>
      <c r="AA62" s="81">
        <v>0</v>
      </c>
      <c r="AB62" s="108">
        <v>1347</v>
      </c>
      <c r="AC62" s="108">
        <v>0</v>
      </c>
      <c r="AD62" s="61">
        <f t="shared" si="10"/>
        <v>1</v>
      </c>
      <c r="AE62" s="30" t="s">
        <v>0</v>
      </c>
      <c r="AF62" s="32" t="s">
        <v>0</v>
      </c>
      <c r="AG62" s="7" t="s">
        <v>465</v>
      </c>
      <c r="AH62" s="30" t="s">
        <v>0</v>
      </c>
      <c r="AI62" s="31" t="s">
        <v>112</v>
      </c>
      <c r="AJ62" s="51" t="s">
        <v>163</v>
      </c>
      <c r="AK62" s="32" t="s">
        <v>73</v>
      </c>
      <c r="AL62" s="27" t="s">
        <v>122</v>
      </c>
      <c r="AM62" s="32" t="s">
        <v>1</v>
      </c>
      <c r="AN62" s="32" t="s">
        <v>124</v>
      </c>
      <c r="AO62" s="14" t="s">
        <v>565</v>
      </c>
      <c r="AP62" s="68">
        <v>2</v>
      </c>
      <c r="AQ62" s="143">
        <v>7</v>
      </c>
      <c r="AR62" s="9">
        <f>AQ62*AP62*M62</f>
        <v>18858</v>
      </c>
      <c r="AS62" s="9" t="s">
        <v>0</v>
      </c>
      <c r="AT62" s="9">
        <v>9971</v>
      </c>
      <c r="AU62" s="32" t="s">
        <v>73</v>
      </c>
      <c r="AV62" s="32" t="s">
        <v>73</v>
      </c>
      <c r="AW62" s="33" t="s">
        <v>164</v>
      </c>
      <c r="AX62" s="31" t="s">
        <v>305</v>
      </c>
      <c r="AY62" s="9">
        <f>SUM(AZ62:BC62)</f>
        <v>2</v>
      </c>
      <c r="AZ62" s="28">
        <v>2</v>
      </c>
      <c r="BA62" s="28" t="s">
        <v>0</v>
      </c>
      <c r="BB62" s="28" t="s">
        <v>0</v>
      </c>
      <c r="BC62" s="37" t="s">
        <v>0</v>
      </c>
      <c r="BD62" s="51" t="s">
        <v>158</v>
      </c>
      <c r="BE62" s="33" t="s">
        <v>0</v>
      </c>
      <c r="BF62" s="9">
        <f t="shared" si="14"/>
        <v>663</v>
      </c>
      <c r="BG62" s="28">
        <v>2</v>
      </c>
      <c r="BH62" s="28" t="s">
        <v>0</v>
      </c>
      <c r="BI62" s="28">
        <v>661</v>
      </c>
      <c r="BJ62" s="28">
        <v>0</v>
      </c>
      <c r="BK62" s="56">
        <f t="shared" si="11"/>
        <v>661</v>
      </c>
      <c r="BL62" s="9">
        <f t="shared" si="15"/>
        <v>11</v>
      </c>
      <c r="BM62" s="28">
        <v>11</v>
      </c>
      <c r="BN62" s="28" t="s">
        <v>0</v>
      </c>
      <c r="BO62" s="28">
        <v>0</v>
      </c>
      <c r="BP62" s="37" t="s">
        <v>0</v>
      </c>
      <c r="BQ62" s="73" t="s">
        <v>271</v>
      </c>
      <c r="BR62" s="33" t="s">
        <v>1</v>
      </c>
      <c r="BS62" s="28">
        <f t="shared" si="16"/>
        <v>332</v>
      </c>
      <c r="BT62" s="28">
        <v>3</v>
      </c>
      <c r="BU62" s="28">
        <v>4</v>
      </c>
      <c r="BV62" s="28">
        <f>324-3-4</f>
        <v>317</v>
      </c>
      <c r="BW62" s="28">
        <v>8</v>
      </c>
      <c r="BX62" s="20">
        <f t="shared" si="12"/>
        <v>7</v>
      </c>
      <c r="BY62" s="10" t="s">
        <v>138</v>
      </c>
      <c r="BZ62" s="7" t="s">
        <v>0</v>
      </c>
      <c r="CA62" s="10" t="s">
        <v>900</v>
      </c>
      <c r="CB62" s="10" t="s">
        <v>185</v>
      </c>
      <c r="CC62" s="6" t="s">
        <v>408</v>
      </c>
      <c r="CD62" s="26" t="s">
        <v>199</v>
      </c>
      <c r="CE62" s="150" t="s">
        <v>0</v>
      </c>
      <c r="CF62" s="150" t="s">
        <v>0</v>
      </c>
      <c r="CG62" s="150" t="s">
        <v>0</v>
      </c>
      <c r="CH62" s="66" t="s">
        <v>0</v>
      </c>
      <c r="CI62" s="65" t="s">
        <v>0</v>
      </c>
      <c r="CJ62" s="66" t="s">
        <v>0</v>
      </c>
      <c r="CK62" s="14" t="s">
        <v>0</v>
      </c>
      <c r="CL62" s="14" t="s">
        <v>0</v>
      </c>
      <c r="CM62" s="14" t="s">
        <v>0</v>
      </c>
      <c r="CN62" s="14" t="s">
        <v>0</v>
      </c>
      <c r="CO62" s="6" t="s">
        <v>0</v>
      </c>
      <c r="CP62" s="6" t="s">
        <v>0</v>
      </c>
      <c r="CQ62" s="6" t="s">
        <v>0</v>
      </c>
      <c r="CR62" s="21" t="s">
        <v>0</v>
      </c>
      <c r="CS62" s="14" t="s">
        <v>0</v>
      </c>
      <c r="CT62" s="21" t="s">
        <v>0</v>
      </c>
      <c r="CU62" s="14" t="s">
        <v>0</v>
      </c>
      <c r="CV62" s="14" t="s">
        <v>0</v>
      </c>
      <c r="CW62" s="16" t="s">
        <v>0</v>
      </c>
      <c r="CX62" s="27" t="s">
        <v>0</v>
      </c>
      <c r="CY62" s="27" t="s">
        <v>0</v>
      </c>
      <c r="CZ62" s="27" t="s">
        <v>0</v>
      </c>
      <c r="DA62" s="27" t="s">
        <v>0</v>
      </c>
      <c r="DB62" s="27" t="s">
        <v>0</v>
      </c>
      <c r="DC62" s="27" t="s">
        <v>0</v>
      </c>
      <c r="DD62" s="148" t="s">
        <v>0</v>
      </c>
      <c r="DE62" s="13" t="s">
        <v>0</v>
      </c>
      <c r="DF62" s="168" t="s">
        <v>0</v>
      </c>
      <c r="DG62" s="27" t="s">
        <v>0</v>
      </c>
      <c r="DH62" s="36" t="s">
        <v>0</v>
      </c>
      <c r="DI62" s="177" t="s">
        <v>0</v>
      </c>
    </row>
    <row r="63" spans="1:113" ht="15" customHeight="1">
      <c r="A63" s="13" t="s">
        <v>857</v>
      </c>
      <c r="B63" s="47" t="s">
        <v>779</v>
      </c>
      <c r="C63" s="7" t="s">
        <v>92</v>
      </c>
      <c r="D63" s="22">
        <v>44621</v>
      </c>
      <c r="E63" s="22">
        <v>44666</v>
      </c>
      <c r="F63" s="10" t="s">
        <v>103</v>
      </c>
      <c r="G63" s="10" t="s">
        <v>646</v>
      </c>
      <c r="H63" s="10" t="s">
        <v>104</v>
      </c>
      <c r="I63" s="42">
        <v>56843.908000000003</v>
      </c>
      <c r="J63" s="18" t="s">
        <v>1</v>
      </c>
      <c r="K63" s="9">
        <v>8636</v>
      </c>
      <c r="L63" s="9">
        <v>8636</v>
      </c>
      <c r="M63" s="9">
        <v>8636</v>
      </c>
      <c r="N63" s="9">
        <f t="shared" si="17"/>
        <v>8636</v>
      </c>
      <c r="O63" s="63" t="s">
        <v>242</v>
      </c>
      <c r="P63" s="52" t="s">
        <v>0</v>
      </c>
      <c r="Q63" s="52" t="s">
        <v>0</v>
      </c>
      <c r="R63" s="6" t="s">
        <v>0</v>
      </c>
      <c r="S63" s="6" t="s">
        <v>0</v>
      </c>
      <c r="T63" s="6" t="s">
        <v>0</v>
      </c>
      <c r="U63" s="6" t="s">
        <v>0</v>
      </c>
      <c r="V63" s="6" t="s">
        <v>0</v>
      </c>
      <c r="W63" s="6">
        <v>4723</v>
      </c>
      <c r="X63" s="6">
        <v>3913</v>
      </c>
      <c r="Y63" s="9" t="s">
        <v>0</v>
      </c>
      <c r="Z63" s="6" t="s">
        <v>96</v>
      </c>
      <c r="AA63" s="79">
        <v>632</v>
      </c>
      <c r="AB63" s="79" t="s">
        <v>0</v>
      </c>
      <c r="AC63" s="68" t="s">
        <v>0</v>
      </c>
      <c r="AD63" s="61">
        <f t="shared" si="10"/>
        <v>0</v>
      </c>
      <c r="AE63" s="10" t="s">
        <v>449</v>
      </c>
      <c r="AF63" s="10" t="s">
        <v>0</v>
      </c>
      <c r="AG63" s="10" t="s">
        <v>465</v>
      </c>
      <c r="AH63" s="10" t="s">
        <v>398</v>
      </c>
      <c r="AI63" s="26" t="s">
        <v>0</v>
      </c>
      <c r="AJ63" s="6" t="s">
        <v>399</v>
      </c>
      <c r="AK63" s="7" t="s">
        <v>73</v>
      </c>
      <c r="AL63" s="6" t="s">
        <v>375</v>
      </c>
      <c r="AM63" s="7" t="s">
        <v>166</v>
      </c>
      <c r="AN63" s="6" t="s">
        <v>305</v>
      </c>
      <c r="AO63" s="10" t="s">
        <v>565</v>
      </c>
      <c r="AP63" s="68">
        <v>1</v>
      </c>
      <c r="AQ63" s="143">
        <f>ROUND(('Data extracted'!E63-'Data extracted'!D63)/7,0)</f>
        <v>6</v>
      </c>
      <c r="AR63" s="9">
        <f>AQ63*AP63*M63</f>
        <v>51816</v>
      </c>
      <c r="AS63" s="9" t="s">
        <v>0</v>
      </c>
      <c r="AT63" s="9" t="s">
        <v>0</v>
      </c>
      <c r="AU63" s="7" t="s">
        <v>73</v>
      </c>
      <c r="AV63" s="7" t="s">
        <v>73</v>
      </c>
      <c r="AW63" s="7" t="s">
        <v>450</v>
      </c>
      <c r="AX63" s="11" t="s">
        <v>0</v>
      </c>
      <c r="AY63" s="9" t="s">
        <v>0</v>
      </c>
      <c r="AZ63" s="9" t="s">
        <v>0</v>
      </c>
      <c r="BA63" s="9" t="s">
        <v>0</v>
      </c>
      <c r="BB63" s="9" t="s">
        <v>0</v>
      </c>
      <c r="BC63" s="20" t="s">
        <v>0</v>
      </c>
      <c r="BD63" s="6" t="s">
        <v>0</v>
      </c>
      <c r="BE63" s="6" t="s">
        <v>0</v>
      </c>
      <c r="BF63" s="9">
        <f t="shared" si="14"/>
        <v>0</v>
      </c>
      <c r="BG63" s="9" t="s">
        <v>0</v>
      </c>
      <c r="BH63" s="9" t="s">
        <v>0</v>
      </c>
      <c r="BI63" s="9" t="s">
        <v>0</v>
      </c>
      <c r="BJ63" s="9" t="s">
        <v>0</v>
      </c>
      <c r="BK63" s="56" t="str">
        <f t="shared" si="11"/>
        <v>#</v>
      </c>
      <c r="BL63" s="9">
        <f t="shared" si="15"/>
        <v>8636</v>
      </c>
      <c r="BM63" s="9">
        <v>903</v>
      </c>
      <c r="BN63" s="9">
        <v>7733</v>
      </c>
      <c r="BO63" s="9" t="s">
        <v>0</v>
      </c>
      <c r="BP63" s="20" t="s">
        <v>0</v>
      </c>
      <c r="BQ63" s="50" t="s">
        <v>0</v>
      </c>
      <c r="BR63" s="6" t="s">
        <v>0</v>
      </c>
      <c r="BS63" s="9">
        <f t="shared" si="16"/>
        <v>0</v>
      </c>
      <c r="BT63" s="9" t="s">
        <v>0</v>
      </c>
      <c r="BU63" s="9" t="s">
        <v>0</v>
      </c>
      <c r="BV63" s="9" t="s">
        <v>0</v>
      </c>
      <c r="BW63" s="9" t="s">
        <v>0</v>
      </c>
      <c r="BX63" s="20" t="str">
        <f t="shared" si="12"/>
        <v>#</v>
      </c>
      <c r="BY63" s="6" t="s">
        <v>685</v>
      </c>
      <c r="BZ63" s="5" t="s">
        <v>0</v>
      </c>
      <c r="CA63" s="6" t="s">
        <v>0</v>
      </c>
      <c r="CB63" s="6" t="s">
        <v>401</v>
      </c>
      <c r="CC63" s="6" t="s">
        <v>0</v>
      </c>
      <c r="CD63" s="11" t="s">
        <v>400</v>
      </c>
      <c r="CE63" s="149" t="s">
        <v>0</v>
      </c>
      <c r="CF63" s="149" t="s">
        <v>0</v>
      </c>
      <c r="CG63" s="149" t="s">
        <v>0</v>
      </c>
      <c r="CH63" s="63" t="s">
        <v>0</v>
      </c>
      <c r="CI63" s="64" t="s">
        <v>0</v>
      </c>
      <c r="CJ63" s="63" t="s">
        <v>0</v>
      </c>
      <c r="CK63" s="6" t="s">
        <v>0</v>
      </c>
      <c r="CL63" s="6" t="s">
        <v>0</v>
      </c>
      <c r="CM63" s="6" t="s">
        <v>0</v>
      </c>
      <c r="CN63" s="6" t="s">
        <v>0</v>
      </c>
      <c r="CO63" s="6" t="s">
        <v>0</v>
      </c>
      <c r="CP63" s="6" t="s">
        <v>0</v>
      </c>
      <c r="CQ63" s="6" t="s">
        <v>0</v>
      </c>
      <c r="CR63" s="11" t="s">
        <v>0</v>
      </c>
      <c r="CS63" s="6" t="s">
        <v>0</v>
      </c>
      <c r="CT63" s="11" t="s">
        <v>0</v>
      </c>
      <c r="CU63" s="6" t="s">
        <v>0</v>
      </c>
      <c r="CV63" s="6" t="s">
        <v>0</v>
      </c>
      <c r="CW63" s="11" t="s">
        <v>0</v>
      </c>
      <c r="CX63" s="27" t="s">
        <v>0</v>
      </c>
      <c r="CY63" s="27" t="s">
        <v>0</v>
      </c>
      <c r="CZ63" s="27" t="s">
        <v>0</v>
      </c>
      <c r="DA63" s="27" t="s">
        <v>0</v>
      </c>
      <c r="DB63" s="27" t="s">
        <v>0</v>
      </c>
      <c r="DC63" s="27" t="s">
        <v>0</v>
      </c>
      <c r="DD63" s="148" t="s">
        <v>0</v>
      </c>
      <c r="DE63" s="13" t="s">
        <v>0</v>
      </c>
      <c r="DF63" s="168" t="s">
        <v>0</v>
      </c>
      <c r="DG63" s="27" t="s">
        <v>695</v>
      </c>
      <c r="DH63" s="36" t="s">
        <v>695</v>
      </c>
      <c r="DI63" s="177" t="s">
        <v>0</v>
      </c>
    </row>
    <row r="64" spans="1:113" ht="16">
      <c r="A64" s="44" t="s">
        <v>866</v>
      </c>
      <c r="B64" s="47" t="s">
        <v>764</v>
      </c>
      <c r="C64" s="7" t="s">
        <v>92</v>
      </c>
      <c r="D64" s="22">
        <v>44562</v>
      </c>
      <c r="E64" s="22">
        <v>44572</v>
      </c>
      <c r="F64" s="7" t="s">
        <v>109</v>
      </c>
      <c r="G64" s="7" t="s">
        <v>654</v>
      </c>
      <c r="H64" s="7" t="s">
        <v>104</v>
      </c>
      <c r="I64" s="41">
        <v>89598.86</v>
      </c>
      <c r="J64" s="18" t="s">
        <v>1</v>
      </c>
      <c r="K64" s="9">
        <v>723</v>
      </c>
      <c r="L64" s="9">
        <v>723</v>
      </c>
      <c r="M64" s="9">
        <v>723</v>
      </c>
      <c r="N64" s="9">
        <f t="shared" si="17"/>
        <v>723</v>
      </c>
      <c r="O64" s="11" t="s">
        <v>242</v>
      </c>
      <c r="P64" s="6" t="s">
        <v>0</v>
      </c>
      <c r="Q64" s="6" t="s">
        <v>0</v>
      </c>
      <c r="R64" s="6" t="s">
        <v>0</v>
      </c>
      <c r="S64" s="6" t="s">
        <v>0</v>
      </c>
      <c r="T64" s="6" t="s">
        <v>0</v>
      </c>
      <c r="U64" s="6">
        <v>17</v>
      </c>
      <c r="V64" s="6">
        <v>23</v>
      </c>
      <c r="W64" s="6">
        <v>376</v>
      </c>
      <c r="X64" s="6" t="s">
        <v>0</v>
      </c>
      <c r="Y64">
        <v>347</v>
      </c>
      <c r="Z64" s="6" t="s">
        <v>572</v>
      </c>
      <c r="AA64" s="68">
        <v>45</v>
      </c>
      <c r="AB64" s="68">
        <v>28</v>
      </c>
      <c r="AC64" s="68">
        <v>650</v>
      </c>
      <c r="AD64" s="68">
        <f t="shared" si="10"/>
        <v>0</v>
      </c>
      <c r="AE64" s="7" t="s">
        <v>0</v>
      </c>
      <c r="AF64" s="7" t="s">
        <v>0</v>
      </c>
      <c r="AG64" s="7" t="s">
        <v>465</v>
      </c>
      <c r="AH64" s="7" t="s">
        <v>580</v>
      </c>
      <c r="AI64" s="17" t="s">
        <v>0</v>
      </c>
      <c r="AJ64" s="6" t="s">
        <v>581</v>
      </c>
      <c r="AK64" s="7" t="s">
        <v>73</v>
      </c>
      <c r="AL64" s="6" t="s">
        <v>122</v>
      </c>
      <c r="AM64" s="7" t="s">
        <v>0</v>
      </c>
      <c r="AN64" s="7" t="s">
        <v>305</v>
      </c>
      <c r="AO64" s="7" t="s">
        <v>564</v>
      </c>
      <c r="AP64" s="9" t="s">
        <v>0</v>
      </c>
      <c r="AQ64" s="143" t="s">
        <v>0</v>
      </c>
      <c r="AR64" s="9" t="s">
        <v>0</v>
      </c>
      <c r="AS64" s="9">
        <v>723</v>
      </c>
      <c r="AT64" s="9">
        <v>723</v>
      </c>
      <c r="AU64" s="7" t="s">
        <v>73</v>
      </c>
      <c r="AV64" s="7" t="s">
        <v>73</v>
      </c>
      <c r="AW64" s="7" t="s">
        <v>0</v>
      </c>
      <c r="AX64" s="26" t="s">
        <v>0</v>
      </c>
      <c r="AY64" s="9">
        <f>SUM(AZ64:BA64)</f>
        <v>723</v>
      </c>
      <c r="AZ64" s="9">
        <v>47</v>
      </c>
      <c r="BA64" s="9">
        <v>676</v>
      </c>
      <c r="BB64" s="9" t="s">
        <v>0</v>
      </c>
      <c r="BC64" s="20" t="s">
        <v>0</v>
      </c>
      <c r="BD64" s="6" t="s">
        <v>158</v>
      </c>
      <c r="BE64" s="6" t="s">
        <v>0</v>
      </c>
      <c r="BF64" s="9">
        <f t="shared" si="14"/>
        <v>700</v>
      </c>
      <c r="BG64" s="9">
        <v>23</v>
      </c>
      <c r="BH64" s="9">
        <v>27</v>
      </c>
      <c r="BI64" s="9">
        <v>649</v>
      </c>
      <c r="BJ64" s="9">
        <v>1</v>
      </c>
      <c r="BK64" s="56">
        <f t="shared" si="11"/>
        <v>650</v>
      </c>
      <c r="BL64" s="9">
        <f>SUM(BM64:BN64)</f>
        <v>723</v>
      </c>
      <c r="BM64" s="9">
        <v>47</v>
      </c>
      <c r="BN64" s="9">
        <v>676</v>
      </c>
      <c r="BO64" s="9" t="s">
        <v>0</v>
      </c>
      <c r="BP64" s="20" t="s">
        <v>0</v>
      </c>
      <c r="BQ64" s="5" t="s">
        <v>158</v>
      </c>
      <c r="BR64" s="5" t="s">
        <v>0</v>
      </c>
      <c r="BS64" s="9">
        <f t="shared" si="16"/>
        <v>700</v>
      </c>
      <c r="BT64" s="9">
        <v>23</v>
      </c>
      <c r="BU64" s="9">
        <v>27</v>
      </c>
      <c r="BV64" s="9">
        <v>649</v>
      </c>
      <c r="BW64" s="9">
        <v>1</v>
      </c>
      <c r="BX64" s="20">
        <f t="shared" si="12"/>
        <v>50</v>
      </c>
      <c r="BY64" s="6" t="s">
        <v>681</v>
      </c>
      <c r="BZ64" s="5" t="s">
        <v>682</v>
      </c>
      <c r="CA64" s="104" t="s">
        <v>380</v>
      </c>
      <c r="CB64" s="6" t="s">
        <v>963</v>
      </c>
      <c r="CC64" s="6" t="s">
        <v>680</v>
      </c>
      <c r="CD64" s="11" t="s">
        <v>0</v>
      </c>
      <c r="CE64" s="149" t="s">
        <v>0</v>
      </c>
      <c r="CF64" s="149" t="s">
        <v>0</v>
      </c>
      <c r="CG64" s="149" t="s">
        <v>0</v>
      </c>
      <c r="CH64" s="63" t="s">
        <v>0</v>
      </c>
      <c r="CI64" s="64" t="s">
        <v>0</v>
      </c>
      <c r="CJ64" s="63" t="s">
        <v>0</v>
      </c>
      <c r="CK64" s="6" t="s">
        <v>0</v>
      </c>
      <c r="CL64" s="6" t="s">
        <v>0</v>
      </c>
      <c r="CM64" s="6" t="s">
        <v>0</v>
      </c>
      <c r="CN64" s="6" t="s">
        <v>0</v>
      </c>
      <c r="CO64" s="6" t="s">
        <v>0</v>
      </c>
      <c r="CP64" s="6" t="s">
        <v>0</v>
      </c>
      <c r="CQ64" s="6" t="s">
        <v>0</v>
      </c>
      <c r="CR64" s="11" t="s">
        <v>0</v>
      </c>
      <c r="CS64" s="6" t="s">
        <v>0</v>
      </c>
      <c r="CT64" s="11" t="s">
        <v>0</v>
      </c>
      <c r="CU64" s="6" t="s">
        <v>0</v>
      </c>
      <c r="CV64" s="6" t="s">
        <v>0</v>
      </c>
      <c r="CW64" s="11" t="s">
        <v>0</v>
      </c>
      <c r="CX64" s="27" t="s">
        <v>0</v>
      </c>
      <c r="CY64" s="27" t="s">
        <v>0</v>
      </c>
      <c r="CZ64" s="27" t="s">
        <v>0</v>
      </c>
      <c r="DA64" s="27" t="s">
        <v>0</v>
      </c>
      <c r="DB64" s="27" t="s">
        <v>0</v>
      </c>
      <c r="DC64" s="27" t="s">
        <v>0</v>
      </c>
      <c r="DD64" s="148" t="s">
        <v>0</v>
      </c>
      <c r="DE64" s="13" t="s">
        <v>0</v>
      </c>
      <c r="DF64" s="168" t="s">
        <v>695</v>
      </c>
      <c r="DG64" s="27" t="s">
        <v>695</v>
      </c>
      <c r="DH64" s="36" t="s">
        <v>695</v>
      </c>
      <c r="DI64" s="177" t="s">
        <v>0</v>
      </c>
    </row>
    <row r="65" spans="1:113" s="13" customFormat="1" ht="16">
      <c r="A65" s="13" t="s">
        <v>939</v>
      </c>
      <c r="B65" s="21" t="s">
        <v>777</v>
      </c>
      <c r="C65" s="13" t="s">
        <v>92</v>
      </c>
      <c r="D65" s="82">
        <v>44166</v>
      </c>
      <c r="E65" s="82">
        <v>44206</v>
      </c>
      <c r="F65" s="44" t="s">
        <v>93</v>
      </c>
      <c r="G65" s="44" t="s">
        <v>617</v>
      </c>
      <c r="H65" s="13" t="s">
        <v>104</v>
      </c>
      <c r="I65" s="45">
        <v>56660.868000000002</v>
      </c>
      <c r="J65" s="46" t="s">
        <v>1</v>
      </c>
      <c r="K65" s="9">
        <v>498</v>
      </c>
      <c r="L65" s="9">
        <v>407</v>
      </c>
      <c r="M65" s="9" t="s">
        <v>0</v>
      </c>
      <c r="N65" s="9">
        <f t="shared" si="17"/>
        <v>498</v>
      </c>
      <c r="O65" s="11" t="s">
        <v>242</v>
      </c>
      <c r="P65" s="49" t="s">
        <v>0</v>
      </c>
      <c r="Q65" s="14" t="s">
        <v>0</v>
      </c>
      <c r="R65" s="14" t="s">
        <v>0</v>
      </c>
      <c r="S65" s="14" t="s">
        <v>0</v>
      </c>
      <c r="T65" s="14" t="s">
        <v>0</v>
      </c>
      <c r="U65" s="14" t="s">
        <v>0</v>
      </c>
      <c r="V65" s="14" t="s">
        <v>0</v>
      </c>
      <c r="W65" s="14" t="s">
        <v>0</v>
      </c>
      <c r="X65" s="14" t="s">
        <v>0</v>
      </c>
      <c r="Y65" s="9" t="s">
        <v>0</v>
      </c>
      <c r="Z65" s="14" t="s">
        <v>571</v>
      </c>
      <c r="AA65" s="78" t="s">
        <v>0</v>
      </c>
      <c r="AB65" s="61" t="s">
        <v>0</v>
      </c>
      <c r="AC65" s="61" t="s">
        <v>0</v>
      </c>
      <c r="AD65" s="61">
        <f t="shared" si="10"/>
        <v>0</v>
      </c>
      <c r="AE65" s="14" t="s">
        <v>0</v>
      </c>
      <c r="AF65" s="13" t="s">
        <v>0</v>
      </c>
      <c r="AG65" s="13" t="s">
        <v>465</v>
      </c>
      <c r="AH65" s="14" t="s">
        <v>0</v>
      </c>
      <c r="AI65" s="16" t="s">
        <v>0</v>
      </c>
      <c r="AJ65" s="50" t="s">
        <v>121</v>
      </c>
      <c r="AK65" s="5" t="s">
        <v>73</v>
      </c>
      <c r="AL65" s="6" t="s">
        <v>0</v>
      </c>
      <c r="AM65" s="5" t="s">
        <v>123</v>
      </c>
      <c r="AN65" s="5" t="s">
        <v>140</v>
      </c>
      <c r="AO65" s="10" t="s">
        <v>565</v>
      </c>
      <c r="AP65" s="9">
        <v>2</v>
      </c>
      <c r="AQ65" s="143">
        <f>ROUND(('Data extracted'!E65-'Data extracted'!D65)/7,0)</f>
        <v>6</v>
      </c>
      <c r="AR65" s="9">
        <v>4884</v>
      </c>
      <c r="AS65" s="9" t="s">
        <v>0</v>
      </c>
      <c r="AT65" s="9">
        <v>1638</v>
      </c>
      <c r="AU65" s="5" t="s">
        <v>73</v>
      </c>
      <c r="AV65" s="5" t="s">
        <v>73</v>
      </c>
      <c r="AW65" s="5" t="s">
        <v>141</v>
      </c>
      <c r="AX65" s="119" t="s">
        <v>0</v>
      </c>
      <c r="AY65" s="9">
        <f>SUM(AZ65:BC65)</f>
        <v>1638</v>
      </c>
      <c r="AZ65" s="9">
        <v>5</v>
      </c>
      <c r="BA65" s="9">
        <v>1633</v>
      </c>
      <c r="BB65" s="9">
        <v>0</v>
      </c>
      <c r="BC65" s="56">
        <v>0</v>
      </c>
      <c r="BD65" s="50" t="s">
        <v>158</v>
      </c>
      <c r="BE65" s="6" t="s">
        <v>0</v>
      </c>
      <c r="BF65" s="9">
        <f t="shared" si="14"/>
        <v>828</v>
      </c>
      <c r="BG65" s="9">
        <v>5</v>
      </c>
      <c r="BH65" s="9" t="s">
        <v>0</v>
      </c>
      <c r="BI65" s="9">
        <v>823</v>
      </c>
      <c r="BJ65" s="9">
        <v>0</v>
      </c>
      <c r="BK65" s="56">
        <f t="shared" si="11"/>
        <v>823</v>
      </c>
      <c r="BL65" s="9">
        <f>SUM(BM65:BP65)</f>
        <v>0</v>
      </c>
      <c r="BM65" s="9" t="s">
        <v>0</v>
      </c>
      <c r="BN65" s="9" t="s">
        <v>0</v>
      </c>
      <c r="BO65" s="9" t="s">
        <v>0</v>
      </c>
      <c r="BP65" s="20" t="s">
        <v>0</v>
      </c>
      <c r="BQ65" s="71" t="s">
        <v>0</v>
      </c>
      <c r="BR65" s="5" t="s">
        <v>0</v>
      </c>
      <c r="BS65" s="9">
        <f t="shared" si="16"/>
        <v>0</v>
      </c>
      <c r="BT65" s="9" t="s">
        <v>0</v>
      </c>
      <c r="BU65" s="9" t="s">
        <v>0</v>
      </c>
      <c r="BV65" s="9" t="s">
        <v>0</v>
      </c>
      <c r="BW65" s="9" t="s">
        <v>0</v>
      </c>
      <c r="BX65" s="20" t="str">
        <f t="shared" si="12"/>
        <v>#</v>
      </c>
      <c r="BY65" s="6" t="s">
        <v>0</v>
      </c>
      <c r="BZ65" s="5" t="s">
        <v>0</v>
      </c>
      <c r="CA65" s="6" t="s">
        <v>0</v>
      </c>
      <c r="CB65" s="6" t="s">
        <v>0</v>
      </c>
      <c r="CC65" s="6" t="s">
        <v>0</v>
      </c>
      <c r="CD65" s="11" t="s">
        <v>0</v>
      </c>
      <c r="CE65" s="149" t="s">
        <v>0</v>
      </c>
      <c r="CF65" s="149" t="s">
        <v>0</v>
      </c>
      <c r="CG65" s="149" t="s">
        <v>0</v>
      </c>
      <c r="CH65" s="63" t="s">
        <v>0</v>
      </c>
      <c r="CI65" s="121" t="s">
        <v>0</v>
      </c>
      <c r="CJ65" s="122" t="s">
        <v>0</v>
      </c>
      <c r="CK65" s="14" t="s">
        <v>221</v>
      </c>
      <c r="CL65" s="14" t="s">
        <v>222</v>
      </c>
      <c r="CM65" s="14" t="s">
        <v>0</v>
      </c>
      <c r="CN65" s="14" t="s">
        <v>0</v>
      </c>
      <c r="CO65" s="14" t="s">
        <v>0</v>
      </c>
      <c r="CP65" s="14" t="s">
        <v>0</v>
      </c>
      <c r="CQ65" s="14" t="s">
        <v>0</v>
      </c>
      <c r="CR65" s="21" t="s">
        <v>0</v>
      </c>
      <c r="CS65" s="14" t="s">
        <v>0</v>
      </c>
      <c r="CT65" s="21" t="s">
        <v>0</v>
      </c>
      <c r="CU65" s="14" t="s">
        <v>0</v>
      </c>
      <c r="CV65" s="14" t="s">
        <v>0</v>
      </c>
      <c r="CW65" s="16" t="s">
        <v>0</v>
      </c>
      <c r="CX65" s="27" t="s">
        <v>0</v>
      </c>
      <c r="CY65" s="27" t="s">
        <v>0</v>
      </c>
      <c r="CZ65" s="27" t="s">
        <v>0</v>
      </c>
      <c r="DA65" s="27" t="s">
        <v>0</v>
      </c>
      <c r="DB65" s="27" t="s">
        <v>0</v>
      </c>
      <c r="DC65" s="27" t="s">
        <v>0</v>
      </c>
      <c r="DD65" s="148" t="s">
        <v>0</v>
      </c>
      <c r="DE65" s="13" t="s">
        <v>0</v>
      </c>
      <c r="DF65" s="168" t="s">
        <v>0</v>
      </c>
      <c r="DG65" s="27" t="s">
        <v>0</v>
      </c>
      <c r="DH65" s="36" t="s">
        <v>0</v>
      </c>
      <c r="DI65" s="177" t="s">
        <v>0</v>
      </c>
    </row>
    <row r="66" spans="1:113" s="13" customFormat="1" ht="16">
      <c r="A66" s="44" t="s">
        <v>940</v>
      </c>
      <c r="B66" s="47" t="s">
        <v>575</v>
      </c>
      <c r="C66" s="44" t="s">
        <v>92</v>
      </c>
      <c r="D66" s="82">
        <v>44205</v>
      </c>
      <c r="E66" s="82">
        <v>44255</v>
      </c>
      <c r="F66" s="44" t="s">
        <v>93</v>
      </c>
      <c r="G66" s="44" t="s">
        <v>813</v>
      </c>
      <c r="H66" s="44" t="s">
        <v>104</v>
      </c>
      <c r="I66" s="45">
        <v>56660.868000000002</v>
      </c>
      <c r="J66" s="154" t="s">
        <v>1</v>
      </c>
      <c r="K66" s="61">
        <v>138</v>
      </c>
      <c r="L66" s="61">
        <v>111</v>
      </c>
      <c r="M66" s="61">
        <v>111</v>
      </c>
      <c r="N66" s="61">
        <f t="shared" si="17"/>
        <v>138</v>
      </c>
      <c r="O66" s="11" t="s">
        <v>242</v>
      </c>
      <c r="P66" s="14" t="s">
        <v>0</v>
      </c>
      <c r="Q66" s="14" t="s">
        <v>0</v>
      </c>
      <c r="R66" s="14" t="s">
        <v>0</v>
      </c>
      <c r="S66" s="14" t="s">
        <v>0</v>
      </c>
      <c r="T66" s="14" t="s">
        <v>0</v>
      </c>
      <c r="U66" s="14" t="s">
        <v>0</v>
      </c>
      <c r="V66" s="14" t="s">
        <v>0</v>
      </c>
      <c r="W66" s="14">
        <v>54</v>
      </c>
      <c r="X66" s="14" t="s">
        <v>0</v>
      </c>
      <c r="Y66" s="61">
        <v>84</v>
      </c>
      <c r="Z66" s="14" t="s">
        <v>571</v>
      </c>
      <c r="AA66" s="140" t="s">
        <v>0</v>
      </c>
      <c r="AB66" s="140" t="s">
        <v>0</v>
      </c>
      <c r="AC66" s="140" t="s">
        <v>0</v>
      </c>
      <c r="AD66" s="68">
        <f t="shared" si="10"/>
        <v>0</v>
      </c>
      <c r="AE66" s="44" t="s">
        <v>0</v>
      </c>
      <c r="AF66" s="44" t="s">
        <v>583</v>
      </c>
      <c r="AG66" s="44" t="s">
        <v>465</v>
      </c>
      <c r="AH66" s="44" t="s">
        <v>0</v>
      </c>
      <c r="AI66" s="47" t="s">
        <v>0</v>
      </c>
      <c r="AJ66" s="6" t="s">
        <v>305</v>
      </c>
      <c r="AK66" s="44" t="s">
        <v>0</v>
      </c>
      <c r="AL66" s="14" t="s">
        <v>0</v>
      </c>
      <c r="AM66" s="44" t="s">
        <v>0</v>
      </c>
      <c r="AN66" s="14" t="s">
        <v>124</v>
      </c>
      <c r="AO66" s="44" t="s">
        <v>565</v>
      </c>
      <c r="AP66" s="61">
        <v>7</v>
      </c>
      <c r="AQ66" s="61">
        <v>1</v>
      </c>
      <c r="AR66" s="61">
        <f>AQ66*AP66*M66</f>
        <v>777</v>
      </c>
      <c r="AS66" s="61" t="s">
        <v>0</v>
      </c>
      <c r="AT66" s="61">
        <v>719</v>
      </c>
      <c r="AU66" s="7" t="s">
        <v>73</v>
      </c>
      <c r="AV66" s="7" t="s">
        <v>73</v>
      </c>
      <c r="AW66" s="7" t="s">
        <v>587</v>
      </c>
      <c r="AX66" s="26" t="s">
        <v>305</v>
      </c>
      <c r="AY66" s="13">
        <f>SUM(AZ66:BC66)</f>
        <v>1</v>
      </c>
      <c r="AZ66">
        <v>1</v>
      </c>
      <c r="BA66" s="142" t="s">
        <v>0</v>
      </c>
      <c r="BB66" s="9" t="s">
        <v>0</v>
      </c>
      <c r="BC66" s="141" t="s">
        <v>0</v>
      </c>
      <c r="BD66" s="6" t="s">
        <v>158</v>
      </c>
      <c r="BE66" s="6" t="s">
        <v>0</v>
      </c>
      <c r="BF66" s="9">
        <f t="shared" si="14"/>
        <v>56</v>
      </c>
      <c r="BG66" s="13">
        <v>1</v>
      </c>
      <c r="BH66" s="61" t="s">
        <v>0</v>
      </c>
      <c r="BI66" s="13">
        <v>55</v>
      </c>
      <c r="BJ66" s="13">
        <v>0</v>
      </c>
      <c r="BK66" s="56">
        <f t="shared" si="11"/>
        <v>55</v>
      </c>
      <c r="BL66" s="13">
        <v>111</v>
      </c>
      <c r="BM66" s="13">
        <v>1</v>
      </c>
      <c r="BN66" s="13">
        <v>110</v>
      </c>
      <c r="BO66" s="61" t="s">
        <v>0</v>
      </c>
      <c r="BP66" s="153" t="s">
        <v>0</v>
      </c>
      <c r="BQ66" s="13" t="s">
        <v>0</v>
      </c>
      <c r="BR66" s="13" t="s">
        <v>0</v>
      </c>
      <c r="BS66" s="9">
        <f t="shared" si="16"/>
        <v>0</v>
      </c>
      <c r="BT66" s="61" t="s">
        <v>0</v>
      </c>
      <c r="BU66" s="61" t="s">
        <v>0</v>
      </c>
      <c r="BV66" s="61" t="s">
        <v>0</v>
      </c>
      <c r="BW66" s="61" t="s">
        <v>0</v>
      </c>
      <c r="BX66" s="20" t="str">
        <f t="shared" si="12"/>
        <v>#</v>
      </c>
      <c r="BY66" s="14" t="s">
        <v>158</v>
      </c>
      <c r="BZ66" s="13" t="s">
        <v>0</v>
      </c>
      <c r="CA66" s="104" t="s">
        <v>380</v>
      </c>
      <c r="CB66" s="14" t="s">
        <v>582</v>
      </c>
      <c r="CC66" s="14" t="s">
        <v>408</v>
      </c>
      <c r="CD66" s="155" t="s">
        <v>390</v>
      </c>
      <c r="CE66" s="156" t="s">
        <v>0</v>
      </c>
      <c r="CF66" s="156" t="s">
        <v>0</v>
      </c>
      <c r="CG66" s="156" t="s">
        <v>0</v>
      </c>
      <c r="CH66" s="157" t="s">
        <v>0</v>
      </c>
      <c r="CI66" s="156" t="s">
        <v>0</v>
      </c>
      <c r="CJ66" s="157" t="s">
        <v>0</v>
      </c>
      <c r="CK66" s="14" t="s">
        <v>0</v>
      </c>
      <c r="CL66" s="14" t="s">
        <v>0</v>
      </c>
      <c r="CM66" s="14" t="s">
        <v>0</v>
      </c>
      <c r="CN66" s="14" t="s">
        <v>0</v>
      </c>
      <c r="CO66" s="14" t="s">
        <v>0</v>
      </c>
      <c r="CP66" s="14" t="s">
        <v>0</v>
      </c>
      <c r="CQ66" s="14" t="s">
        <v>0</v>
      </c>
      <c r="CR66" s="21" t="s">
        <v>0</v>
      </c>
      <c r="CS66" s="14" t="s">
        <v>0</v>
      </c>
      <c r="CT66" s="21" t="s">
        <v>0</v>
      </c>
      <c r="CU66" s="14" t="s">
        <v>0</v>
      </c>
      <c r="CV66" s="14" t="s">
        <v>0</v>
      </c>
      <c r="CW66" s="21" t="s">
        <v>0</v>
      </c>
      <c r="CX66" s="14" t="s">
        <v>584</v>
      </c>
      <c r="CY66" s="14" t="s">
        <v>585</v>
      </c>
      <c r="CZ66" s="14" t="s">
        <v>0</v>
      </c>
      <c r="DA66" s="14" t="s">
        <v>584</v>
      </c>
      <c r="DB66" s="14" t="s">
        <v>588</v>
      </c>
      <c r="DC66" s="14" t="s">
        <v>0</v>
      </c>
      <c r="DD66" s="16" t="s">
        <v>0</v>
      </c>
      <c r="DE66" s="13" t="s">
        <v>0</v>
      </c>
      <c r="DF66" s="168" t="s">
        <v>0</v>
      </c>
      <c r="DG66" s="14" t="s">
        <v>0</v>
      </c>
      <c r="DH66" s="21" t="s">
        <v>0</v>
      </c>
      <c r="DI66" s="177" t="s">
        <v>0</v>
      </c>
    </row>
    <row r="67" spans="1:113" s="13" customFormat="1" ht="16">
      <c r="A67" s="13" t="s">
        <v>867</v>
      </c>
      <c r="B67" s="21" t="s">
        <v>765</v>
      </c>
      <c r="C67" s="13" t="s">
        <v>92</v>
      </c>
      <c r="D67" s="82">
        <v>44168</v>
      </c>
      <c r="E67" s="82">
        <v>44408</v>
      </c>
      <c r="F67" s="44" t="s">
        <v>93</v>
      </c>
      <c r="G67" s="44" t="s">
        <v>618</v>
      </c>
      <c r="H67" s="13" t="s">
        <v>597</v>
      </c>
      <c r="I67" s="45">
        <v>56660.868000000002</v>
      </c>
      <c r="J67" s="46" t="s">
        <v>1</v>
      </c>
      <c r="K67" s="9" t="s">
        <v>0</v>
      </c>
      <c r="L67" s="9" t="s">
        <v>0</v>
      </c>
      <c r="M67" s="9">
        <v>321884</v>
      </c>
      <c r="N67" s="9">
        <f t="shared" si="17"/>
        <v>321884</v>
      </c>
      <c r="O67" s="11" t="s">
        <v>249</v>
      </c>
      <c r="P67" s="49" t="s">
        <v>0</v>
      </c>
      <c r="Q67" s="14" t="s">
        <v>0</v>
      </c>
      <c r="R67" s="14" t="s">
        <v>0</v>
      </c>
      <c r="S67" s="14" t="s">
        <v>0</v>
      </c>
      <c r="T67" s="14" t="s">
        <v>0</v>
      </c>
      <c r="U67" s="14" t="s">
        <v>0</v>
      </c>
      <c r="V67" s="14" t="s">
        <v>0</v>
      </c>
      <c r="W67" s="14" t="s">
        <v>0</v>
      </c>
      <c r="X67" s="14" t="s">
        <v>0</v>
      </c>
      <c r="Y67" s="9" t="s">
        <v>0</v>
      </c>
      <c r="Z67" s="14" t="s">
        <v>96</v>
      </c>
      <c r="AA67" s="78" t="s">
        <v>0</v>
      </c>
      <c r="AB67" s="61" t="s">
        <v>0</v>
      </c>
      <c r="AC67" s="61" t="s">
        <v>0</v>
      </c>
      <c r="AD67" s="61">
        <f t="shared" si="10"/>
        <v>0</v>
      </c>
      <c r="AE67" s="14" t="s">
        <v>0</v>
      </c>
      <c r="AF67" s="13" t="s">
        <v>0</v>
      </c>
      <c r="AG67" s="13" t="s">
        <v>465</v>
      </c>
      <c r="AH67" s="14" t="s">
        <v>0</v>
      </c>
      <c r="AI67" s="16" t="s">
        <v>0</v>
      </c>
      <c r="AJ67" s="50" t="s">
        <v>121</v>
      </c>
      <c r="AK67" s="5" t="s">
        <v>73</v>
      </c>
      <c r="AL67" s="6" t="s">
        <v>0</v>
      </c>
      <c r="AM67" s="5" t="s">
        <v>0</v>
      </c>
      <c r="AN67" s="5" t="s">
        <v>124</v>
      </c>
      <c r="AO67" s="5" t="s">
        <v>305</v>
      </c>
      <c r="AP67" s="9" t="s">
        <v>0</v>
      </c>
      <c r="AQ67" s="9" t="s">
        <v>0</v>
      </c>
      <c r="AR67" s="9" t="s">
        <v>0</v>
      </c>
      <c r="AS67" s="9" t="s">
        <v>0</v>
      </c>
      <c r="AT67" s="9">
        <v>1900302</v>
      </c>
      <c r="AU67" s="5" t="s">
        <v>73</v>
      </c>
      <c r="AV67" s="5" t="s">
        <v>73</v>
      </c>
      <c r="AW67" s="5" t="s">
        <v>142</v>
      </c>
      <c r="AX67" s="119" t="s">
        <v>0</v>
      </c>
      <c r="AY67" s="9">
        <f>SUM(AZ67:BC67)</f>
        <v>13942</v>
      </c>
      <c r="AZ67" s="9">
        <v>13942</v>
      </c>
      <c r="BA67" s="9" t="s">
        <v>0</v>
      </c>
      <c r="BB67" s="9">
        <v>0</v>
      </c>
      <c r="BC67" s="56" t="s">
        <v>0</v>
      </c>
      <c r="BD67" s="50" t="s">
        <v>158</v>
      </c>
      <c r="BE67" s="5" t="s">
        <v>0</v>
      </c>
      <c r="BF67" s="9">
        <f t="shared" si="14"/>
        <v>9809</v>
      </c>
      <c r="BG67" s="9">
        <v>8495</v>
      </c>
      <c r="BH67" s="9" t="s">
        <v>0</v>
      </c>
      <c r="BI67" s="9" t="s">
        <v>0</v>
      </c>
      <c r="BJ67" s="9">
        <v>1314</v>
      </c>
      <c r="BK67" s="56" t="str">
        <f t="shared" si="11"/>
        <v>#</v>
      </c>
      <c r="BL67" s="9">
        <f t="shared" ref="BL67:BL79" si="18">SUM(BM67:BP67)</f>
        <v>0</v>
      </c>
      <c r="BM67" s="9" t="s">
        <v>0</v>
      </c>
      <c r="BN67" s="9" t="s">
        <v>0</v>
      </c>
      <c r="BO67" s="9" t="s">
        <v>0</v>
      </c>
      <c r="BP67" s="20" t="s">
        <v>0</v>
      </c>
      <c r="BQ67" s="71" t="s">
        <v>0</v>
      </c>
      <c r="BR67" s="5" t="s">
        <v>0</v>
      </c>
      <c r="BS67" s="9">
        <f t="shared" si="16"/>
        <v>0</v>
      </c>
      <c r="BT67" s="9" t="s">
        <v>0</v>
      </c>
      <c r="BU67" s="9" t="s">
        <v>0</v>
      </c>
      <c r="BV67" s="9" t="s">
        <v>0</v>
      </c>
      <c r="BW67" s="9" t="s">
        <v>0</v>
      </c>
      <c r="BX67" s="20" t="str">
        <f t="shared" si="12"/>
        <v>#</v>
      </c>
      <c r="BY67" s="6" t="s">
        <v>0</v>
      </c>
      <c r="BZ67" s="5" t="s">
        <v>0</v>
      </c>
      <c r="CA67" s="6" t="s">
        <v>0</v>
      </c>
      <c r="CB67" s="6" t="s">
        <v>670</v>
      </c>
      <c r="CC67" s="6" t="s">
        <v>191</v>
      </c>
      <c r="CD67" s="11" t="s">
        <v>0</v>
      </c>
      <c r="CE67" s="149" t="s">
        <v>0</v>
      </c>
      <c r="CF67" s="149" t="s">
        <v>0</v>
      </c>
      <c r="CG67" s="149" t="s">
        <v>0</v>
      </c>
      <c r="CH67" s="63" t="s">
        <v>0</v>
      </c>
      <c r="CI67" s="121" t="s">
        <v>0</v>
      </c>
      <c r="CJ67" s="122" t="s">
        <v>0</v>
      </c>
      <c r="CK67" s="14" t="s">
        <v>0</v>
      </c>
      <c r="CL67" s="14" t="s">
        <v>0</v>
      </c>
      <c r="CM67" s="14" t="s">
        <v>0</v>
      </c>
      <c r="CN67" s="14" t="s">
        <v>0</v>
      </c>
      <c r="CO67" s="14" t="s">
        <v>0</v>
      </c>
      <c r="CP67" s="14" t="s">
        <v>0</v>
      </c>
      <c r="CQ67" s="14" t="s">
        <v>0</v>
      </c>
      <c r="CR67" s="21" t="s">
        <v>0</v>
      </c>
      <c r="CS67" s="14" t="s">
        <v>0</v>
      </c>
      <c r="CT67" s="21" t="s">
        <v>0</v>
      </c>
      <c r="CU67" s="14" t="s">
        <v>0</v>
      </c>
      <c r="CV67" s="14" t="s">
        <v>0</v>
      </c>
      <c r="CW67" s="21" t="s">
        <v>0</v>
      </c>
      <c r="CX67" s="27" t="s">
        <v>0</v>
      </c>
      <c r="CY67" s="27" t="s">
        <v>0</v>
      </c>
      <c r="CZ67" s="27" t="s">
        <v>0</v>
      </c>
      <c r="DA67" s="27" t="s">
        <v>0</v>
      </c>
      <c r="DB67" s="27" t="s">
        <v>0</v>
      </c>
      <c r="DC67" s="27" t="s">
        <v>0</v>
      </c>
      <c r="DD67" s="148" t="s">
        <v>0</v>
      </c>
      <c r="DE67" s="13" t="s">
        <v>0</v>
      </c>
      <c r="DF67" s="168" t="s">
        <v>0</v>
      </c>
      <c r="DG67" s="27" t="s">
        <v>0</v>
      </c>
      <c r="DH67" s="36" t="s">
        <v>0</v>
      </c>
      <c r="DI67" s="177" t="s">
        <v>0</v>
      </c>
    </row>
    <row r="68" spans="1:113" s="13" customFormat="1" ht="16">
      <c r="A68" s="13" t="s">
        <v>868</v>
      </c>
      <c r="B68" s="21" t="s">
        <v>765</v>
      </c>
      <c r="C68" s="13" t="s">
        <v>92</v>
      </c>
      <c r="D68" s="82">
        <v>44228</v>
      </c>
      <c r="E68" s="82">
        <v>44424</v>
      </c>
      <c r="F68" s="44" t="s">
        <v>93</v>
      </c>
      <c r="G68" s="44" t="s">
        <v>619</v>
      </c>
      <c r="H68" s="13" t="s">
        <v>597</v>
      </c>
      <c r="I68" s="45">
        <v>56660.868000000002</v>
      </c>
      <c r="J68" s="46" t="s">
        <v>1</v>
      </c>
      <c r="K68" s="9" t="s">
        <v>0</v>
      </c>
      <c r="L68" s="9" t="s">
        <v>0</v>
      </c>
      <c r="M68" s="9" t="s">
        <v>0</v>
      </c>
      <c r="N68" s="9" t="s">
        <v>0</v>
      </c>
      <c r="O68" s="11" t="s">
        <v>223</v>
      </c>
      <c r="P68" s="49" t="s">
        <v>0</v>
      </c>
      <c r="Q68" s="14" t="s">
        <v>0</v>
      </c>
      <c r="R68" s="14" t="s">
        <v>0</v>
      </c>
      <c r="S68" s="14" t="s">
        <v>0</v>
      </c>
      <c r="T68" s="14" t="s">
        <v>0</v>
      </c>
      <c r="U68" s="14" t="s">
        <v>0</v>
      </c>
      <c r="V68" s="14" t="s">
        <v>0</v>
      </c>
      <c r="W68" s="14" t="s">
        <v>0</v>
      </c>
      <c r="X68" s="14" t="s">
        <v>0</v>
      </c>
      <c r="Y68" s="9" t="s">
        <v>0</v>
      </c>
      <c r="Z68" s="14" t="s">
        <v>571</v>
      </c>
      <c r="AA68" s="78" t="s">
        <v>0</v>
      </c>
      <c r="AB68" s="61" t="s">
        <v>0</v>
      </c>
      <c r="AC68" s="61" t="s">
        <v>0</v>
      </c>
      <c r="AD68" s="61">
        <f t="shared" ref="AD68:AD79" si="19">IF(AND(AA68=0,AC68=0),1,0)</f>
        <v>0</v>
      </c>
      <c r="AE68" s="14" t="s">
        <v>0</v>
      </c>
      <c r="AF68" s="13" t="s">
        <v>473</v>
      </c>
      <c r="AG68" s="13" t="s">
        <v>465</v>
      </c>
      <c r="AH68" s="14" t="s">
        <v>0</v>
      </c>
      <c r="AI68" s="16" t="s">
        <v>0</v>
      </c>
      <c r="AJ68" s="50" t="s">
        <v>121</v>
      </c>
      <c r="AK68" s="5" t="s">
        <v>73</v>
      </c>
      <c r="AL68" s="6" t="s">
        <v>0</v>
      </c>
      <c r="AM68" s="5" t="s">
        <v>0</v>
      </c>
      <c r="AN68" s="5" t="s">
        <v>124</v>
      </c>
      <c r="AO68" s="5" t="s">
        <v>305</v>
      </c>
      <c r="AP68" s="9" t="s">
        <v>0</v>
      </c>
      <c r="AQ68" s="9" t="s">
        <v>0</v>
      </c>
      <c r="AR68" s="9" t="s">
        <v>0</v>
      </c>
      <c r="AS68" s="9" t="s">
        <v>0</v>
      </c>
      <c r="AT68" s="9" t="s">
        <v>0</v>
      </c>
      <c r="AU68" s="5" t="s">
        <v>73</v>
      </c>
      <c r="AV68" s="5" t="s">
        <v>73</v>
      </c>
      <c r="AW68" s="5" t="s">
        <v>142</v>
      </c>
      <c r="AX68" s="119" t="s">
        <v>0</v>
      </c>
      <c r="AY68" s="9" t="s">
        <v>0</v>
      </c>
      <c r="AZ68" s="9" t="s">
        <v>0</v>
      </c>
      <c r="BA68" s="9" t="s">
        <v>0</v>
      </c>
      <c r="BB68" s="9" t="s">
        <v>0</v>
      </c>
      <c r="BC68" s="56" t="s">
        <v>0</v>
      </c>
      <c r="BD68" s="50" t="s">
        <v>0</v>
      </c>
      <c r="BE68" s="5" t="s">
        <v>0</v>
      </c>
      <c r="BF68" s="9">
        <f t="shared" si="14"/>
        <v>0</v>
      </c>
      <c r="BG68" s="9" t="s">
        <v>0</v>
      </c>
      <c r="BH68" s="9" t="s">
        <v>0</v>
      </c>
      <c r="BI68" s="9" t="s">
        <v>0</v>
      </c>
      <c r="BJ68" s="9" t="s">
        <v>0</v>
      </c>
      <c r="BK68" s="56" t="str">
        <f t="shared" ref="BK68:BK79" si="20">IFERROR(IF(BJ68&lt;&gt;"#",BJ68+BI68,"#"),"#")</f>
        <v>#</v>
      </c>
      <c r="BL68" s="9">
        <f t="shared" si="18"/>
        <v>0</v>
      </c>
      <c r="BM68" s="9" t="s">
        <v>0</v>
      </c>
      <c r="BN68" s="9" t="s">
        <v>0</v>
      </c>
      <c r="BO68" s="9" t="s">
        <v>0</v>
      </c>
      <c r="BP68" s="20" t="s">
        <v>0</v>
      </c>
      <c r="BQ68" s="71" t="s">
        <v>0</v>
      </c>
      <c r="BR68" s="5" t="s">
        <v>0</v>
      </c>
      <c r="BS68" s="9">
        <f t="shared" si="16"/>
        <v>0</v>
      </c>
      <c r="BT68" s="9" t="s">
        <v>0</v>
      </c>
      <c r="BU68" s="9" t="s">
        <v>0</v>
      </c>
      <c r="BV68" s="9" t="s">
        <v>0</v>
      </c>
      <c r="BW68" s="9" t="s">
        <v>0</v>
      </c>
      <c r="BX68" s="20" t="str">
        <f t="shared" ref="BX68:BX79" si="21">IFERROR(IF(BU68&lt;&gt;"#",BU68+BT68,"#"),"#")</f>
        <v>#</v>
      </c>
      <c r="BY68" s="6" t="s">
        <v>0</v>
      </c>
      <c r="BZ68" s="5" t="s">
        <v>0</v>
      </c>
      <c r="CA68" s="6" t="s">
        <v>0</v>
      </c>
      <c r="CB68" s="6" t="s">
        <v>0</v>
      </c>
      <c r="CC68" s="6" t="s">
        <v>0</v>
      </c>
      <c r="CD68" s="11" t="s">
        <v>691</v>
      </c>
      <c r="CE68" s="149" t="s">
        <v>0</v>
      </c>
      <c r="CF68" s="149" t="s">
        <v>0</v>
      </c>
      <c r="CG68" s="149" t="s">
        <v>0</v>
      </c>
      <c r="CH68" s="63" t="s">
        <v>0</v>
      </c>
      <c r="CI68" s="121" t="s">
        <v>0</v>
      </c>
      <c r="CJ68" s="122" t="s">
        <v>0</v>
      </c>
      <c r="CK68" s="14" t="s">
        <v>0</v>
      </c>
      <c r="CL68" s="14" t="s">
        <v>0</v>
      </c>
      <c r="CM68" s="14" t="s">
        <v>0</v>
      </c>
      <c r="CN68" s="14" t="s">
        <v>0</v>
      </c>
      <c r="CO68" s="6" t="s">
        <v>0</v>
      </c>
      <c r="CP68" s="6" t="s">
        <v>0</v>
      </c>
      <c r="CQ68" s="6" t="s">
        <v>0</v>
      </c>
      <c r="CR68" s="21" t="s">
        <v>0</v>
      </c>
      <c r="CS68" s="14" t="s">
        <v>0</v>
      </c>
      <c r="CT68" s="21" t="s">
        <v>0</v>
      </c>
      <c r="CU68" s="14" t="s">
        <v>0</v>
      </c>
      <c r="CV68" s="14" t="s">
        <v>0</v>
      </c>
      <c r="CW68" s="21" t="s">
        <v>0</v>
      </c>
      <c r="CX68" s="27" t="s">
        <v>690</v>
      </c>
      <c r="CY68" s="27" t="s">
        <v>302</v>
      </c>
      <c r="CZ68" s="27" t="s">
        <v>0</v>
      </c>
      <c r="DA68" s="27" t="s">
        <v>304</v>
      </c>
      <c r="DB68" s="27" t="s">
        <v>0</v>
      </c>
      <c r="DC68" s="27" t="s">
        <v>0</v>
      </c>
      <c r="DD68" s="148" t="s">
        <v>0</v>
      </c>
      <c r="DE68" s="13" t="s">
        <v>0</v>
      </c>
      <c r="DF68" s="168" t="s">
        <v>0</v>
      </c>
      <c r="DG68" s="27" t="s">
        <v>0</v>
      </c>
      <c r="DH68" s="36" t="s">
        <v>0</v>
      </c>
      <c r="DI68" s="177" t="s">
        <v>0</v>
      </c>
    </row>
    <row r="69" spans="1:113" s="13" customFormat="1" ht="16">
      <c r="A69" s="13" t="s">
        <v>941</v>
      </c>
      <c r="B69" s="21" t="s">
        <v>26</v>
      </c>
      <c r="C69" s="13" t="s">
        <v>92</v>
      </c>
      <c r="D69" s="82">
        <v>44277</v>
      </c>
      <c r="E69" s="82">
        <v>44337</v>
      </c>
      <c r="F69" s="44" t="s">
        <v>94</v>
      </c>
      <c r="G69" s="44" t="s">
        <v>620</v>
      </c>
      <c r="H69" s="13" t="s">
        <v>596</v>
      </c>
      <c r="I69" s="41">
        <v>59925.317000000003</v>
      </c>
      <c r="J69" s="46" t="s">
        <v>1</v>
      </c>
      <c r="K69" s="9">
        <v>34</v>
      </c>
      <c r="L69" s="9">
        <v>21</v>
      </c>
      <c r="M69" s="9" t="s">
        <v>0</v>
      </c>
      <c r="N69" s="9">
        <f t="shared" ref="N69:N83" si="22">MAX(K69:M69)</f>
        <v>34</v>
      </c>
      <c r="O69" s="11" t="s">
        <v>223</v>
      </c>
      <c r="P69" s="49" t="s">
        <v>0</v>
      </c>
      <c r="Q69" s="14" t="s">
        <v>0</v>
      </c>
      <c r="R69" s="14" t="s">
        <v>0</v>
      </c>
      <c r="S69" s="14" t="s">
        <v>0</v>
      </c>
      <c r="T69" s="14" t="s">
        <v>0</v>
      </c>
      <c r="U69" s="14" t="s">
        <v>0</v>
      </c>
      <c r="V69" s="14" t="s">
        <v>0</v>
      </c>
      <c r="W69" s="14" t="s">
        <v>0</v>
      </c>
      <c r="X69" s="14" t="s">
        <v>0</v>
      </c>
      <c r="Y69" s="9" t="s">
        <v>0</v>
      </c>
      <c r="Z69" s="14" t="s">
        <v>573</v>
      </c>
      <c r="AA69" s="78" t="s">
        <v>0</v>
      </c>
      <c r="AB69" s="61" t="s">
        <v>0</v>
      </c>
      <c r="AC69" s="61" t="s">
        <v>0</v>
      </c>
      <c r="AD69" s="61">
        <f t="shared" si="19"/>
        <v>0</v>
      </c>
      <c r="AE69" s="14" t="s">
        <v>0</v>
      </c>
      <c r="AF69" s="13" t="s">
        <v>0</v>
      </c>
      <c r="AG69" s="13" t="s">
        <v>465</v>
      </c>
      <c r="AH69" s="14" t="s">
        <v>0</v>
      </c>
      <c r="AI69" s="16" t="s">
        <v>0</v>
      </c>
      <c r="AJ69" s="50" t="s">
        <v>143</v>
      </c>
      <c r="AK69" s="5" t="s">
        <v>73</v>
      </c>
      <c r="AL69" s="6" t="s">
        <v>122</v>
      </c>
      <c r="AM69" s="5" t="s">
        <v>130</v>
      </c>
      <c r="AN69" s="5" t="s">
        <v>124</v>
      </c>
      <c r="AO69" s="10" t="s">
        <v>565</v>
      </c>
      <c r="AP69" s="9">
        <v>3</v>
      </c>
      <c r="AQ69" s="143">
        <f>ROUND(('Data extracted'!E69-'Data extracted'!D69)/7,0)</f>
        <v>9</v>
      </c>
      <c r="AR69" s="9" t="s">
        <v>0</v>
      </c>
      <c r="AS69" s="9" t="s">
        <v>0</v>
      </c>
      <c r="AT69" s="9" t="s">
        <v>0</v>
      </c>
      <c r="AU69" s="5" t="s">
        <v>73</v>
      </c>
      <c r="AV69" s="5" t="s">
        <v>73</v>
      </c>
      <c r="AW69" s="5" t="s">
        <v>144</v>
      </c>
      <c r="AX69" s="119" t="s">
        <v>0</v>
      </c>
      <c r="AY69" s="9">
        <v>0</v>
      </c>
      <c r="AZ69" s="9">
        <v>0</v>
      </c>
      <c r="BA69" s="9" t="s">
        <v>0</v>
      </c>
      <c r="BB69" s="9" t="s">
        <v>0</v>
      </c>
      <c r="BC69" s="20" t="s">
        <v>0</v>
      </c>
      <c r="BD69" s="6" t="s">
        <v>0</v>
      </c>
      <c r="BE69" s="5" t="s">
        <v>0</v>
      </c>
      <c r="BF69" s="9">
        <f t="shared" si="14"/>
        <v>0</v>
      </c>
      <c r="BG69" s="9" t="s">
        <v>0</v>
      </c>
      <c r="BH69" s="9" t="s">
        <v>0</v>
      </c>
      <c r="BI69" s="9" t="s">
        <v>0</v>
      </c>
      <c r="BJ69" s="9" t="s">
        <v>0</v>
      </c>
      <c r="BK69" s="56" t="str">
        <f t="shared" si="20"/>
        <v>#</v>
      </c>
      <c r="BL69" s="9">
        <f t="shared" si="18"/>
        <v>0</v>
      </c>
      <c r="BM69" s="9">
        <v>0</v>
      </c>
      <c r="BN69" s="9" t="s">
        <v>0</v>
      </c>
      <c r="BO69" s="9" t="s">
        <v>0</v>
      </c>
      <c r="BP69" s="20" t="s">
        <v>0</v>
      </c>
      <c r="BQ69" s="71" t="s">
        <v>158</v>
      </c>
      <c r="BR69" s="5" t="s">
        <v>0</v>
      </c>
      <c r="BS69" s="9">
        <f t="shared" si="16"/>
        <v>0</v>
      </c>
      <c r="BT69" s="9">
        <v>0</v>
      </c>
      <c r="BU69" s="9" t="s">
        <v>0</v>
      </c>
      <c r="BV69" s="9" t="s">
        <v>0</v>
      </c>
      <c r="BW69" s="9">
        <v>0</v>
      </c>
      <c r="BX69" s="20" t="str">
        <f t="shared" si="21"/>
        <v>#</v>
      </c>
      <c r="BY69" s="6" t="s">
        <v>0</v>
      </c>
      <c r="BZ69" s="5" t="s">
        <v>0</v>
      </c>
      <c r="CA69" s="6" t="s">
        <v>902</v>
      </c>
      <c r="CB69" s="6" t="s">
        <v>671</v>
      </c>
      <c r="CC69" s="6" t="s">
        <v>0</v>
      </c>
      <c r="CD69" s="11" t="s">
        <v>193</v>
      </c>
      <c r="CE69" s="149" t="s">
        <v>0</v>
      </c>
      <c r="CF69" s="149" t="s">
        <v>0</v>
      </c>
      <c r="CG69" s="149" t="s">
        <v>0</v>
      </c>
      <c r="CH69" s="63" t="s">
        <v>0</v>
      </c>
      <c r="CI69" s="121" t="s">
        <v>0</v>
      </c>
      <c r="CJ69" s="122" t="s">
        <v>0</v>
      </c>
      <c r="CK69" s="14" t="s">
        <v>224</v>
      </c>
      <c r="CL69" s="14" t="s">
        <v>0</v>
      </c>
      <c r="CM69" s="14" t="s">
        <v>0</v>
      </c>
      <c r="CN69" s="14" t="s">
        <v>0</v>
      </c>
      <c r="CO69" s="6" t="s">
        <v>0</v>
      </c>
      <c r="CP69" s="6" t="s">
        <v>0</v>
      </c>
      <c r="CQ69" s="6" t="s">
        <v>0</v>
      </c>
      <c r="CR69" s="21" t="s">
        <v>0</v>
      </c>
      <c r="CS69" s="14" t="s">
        <v>0</v>
      </c>
      <c r="CT69" s="21" t="s">
        <v>0</v>
      </c>
      <c r="CU69" s="14" t="s">
        <v>0</v>
      </c>
      <c r="CV69" s="14" t="s">
        <v>0</v>
      </c>
      <c r="CW69" s="21" t="s">
        <v>0</v>
      </c>
      <c r="CX69" s="27" t="s">
        <v>0</v>
      </c>
      <c r="CY69" s="27" t="s">
        <v>0</v>
      </c>
      <c r="CZ69" s="27" t="s">
        <v>303</v>
      </c>
      <c r="DA69" s="27" t="s">
        <v>0</v>
      </c>
      <c r="DB69" s="27" t="s">
        <v>0</v>
      </c>
      <c r="DC69" s="27" t="s">
        <v>0</v>
      </c>
      <c r="DD69" s="148" t="s">
        <v>0</v>
      </c>
      <c r="DE69" s="13" t="s">
        <v>0</v>
      </c>
      <c r="DF69" s="168" t="s">
        <v>0</v>
      </c>
      <c r="DG69" s="27" t="s">
        <v>0</v>
      </c>
      <c r="DH69" s="36" t="s">
        <v>0</v>
      </c>
      <c r="DI69" s="177" t="s">
        <v>890</v>
      </c>
    </row>
    <row r="70" spans="1:113" s="13" customFormat="1" ht="16">
      <c r="A70" s="13" t="s">
        <v>942</v>
      </c>
      <c r="B70" s="21" t="s">
        <v>26</v>
      </c>
      <c r="C70" s="13" t="s">
        <v>92</v>
      </c>
      <c r="D70" s="82">
        <v>44277</v>
      </c>
      <c r="E70" s="82">
        <v>44337</v>
      </c>
      <c r="F70" s="44" t="s">
        <v>94</v>
      </c>
      <c r="G70" s="44" t="s">
        <v>621</v>
      </c>
      <c r="H70" s="13" t="s">
        <v>596</v>
      </c>
      <c r="I70" s="41">
        <v>59925.317000000003</v>
      </c>
      <c r="J70" s="35" t="s">
        <v>1</v>
      </c>
      <c r="K70" s="9">
        <v>186</v>
      </c>
      <c r="L70" s="9">
        <v>109</v>
      </c>
      <c r="M70" s="9" t="s">
        <v>0</v>
      </c>
      <c r="N70" s="9">
        <f t="shared" si="22"/>
        <v>186</v>
      </c>
      <c r="O70" s="11" t="s">
        <v>223</v>
      </c>
      <c r="P70" s="14" t="s">
        <v>0</v>
      </c>
      <c r="Q70" s="13" t="s">
        <v>0</v>
      </c>
      <c r="R70" s="13" t="s">
        <v>0</v>
      </c>
      <c r="S70" s="13" t="s">
        <v>0</v>
      </c>
      <c r="T70" s="13" t="s">
        <v>0</v>
      </c>
      <c r="U70" s="13" t="s">
        <v>0</v>
      </c>
      <c r="V70" s="13" t="s">
        <v>0</v>
      </c>
      <c r="W70" s="13" t="s">
        <v>0</v>
      </c>
      <c r="X70" s="13" t="s">
        <v>0</v>
      </c>
      <c r="Y70" s="9" t="s">
        <v>0</v>
      </c>
      <c r="Z70" s="14" t="s">
        <v>573</v>
      </c>
      <c r="AA70" s="78" t="s">
        <v>0</v>
      </c>
      <c r="AB70" s="61" t="s">
        <v>0</v>
      </c>
      <c r="AC70" s="61" t="s">
        <v>0</v>
      </c>
      <c r="AD70" s="61">
        <f t="shared" si="19"/>
        <v>0</v>
      </c>
      <c r="AE70" s="14" t="s">
        <v>0</v>
      </c>
      <c r="AF70" s="13" t="s">
        <v>0</v>
      </c>
      <c r="AG70" s="13" t="s">
        <v>465</v>
      </c>
      <c r="AH70" s="14" t="s">
        <v>0</v>
      </c>
      <c r="AI70" s="21" t="s">
        <v>0</v>
      </c>
      <c r="AJ70" s="50" t="s">
        <v>143</v>
      </c>
      <c r="AK70" s="5" t="s">
        <v>73</v>
      </c>
      <c r="AL70" s="6" t="s">
        <v>122</v>
      </c>
      <c r="AM70" s="5" t="s">
        <v>130</v>
      </c>
      <c r="AN70" s="5" t="s">
        <v>124</v>
      </c>
      <c r="AO70" s="10" t="s">
        <v>565</v>
      </c>
      <c r="AP70" s="9">
        <v>3</v>
      </c>
      <c r="AQ70" s="143">
        <f>ROUND(('Data extracted'!E70-'Data extracted'!D70)/7,0)</f>
        <v>9</v>
      </c>
      <c r="AR70" s="9" t="s">
        <v>0</v>
      </c>
      <c r="AS70" s="9" t="s">
        <v>0</v>
      </c>
      <c r="AT70" s="9" t="s">
        <v>0</v>
      </c>
      <c r="AU70" s="5" t="s">
        <v>73</v>
      </c>
      <c r="AV70" s="5" t="s">
        <v>1</v>
      </c>
      <c r="AW70" s="5" t="s">
        <v>144</v>
      </c>
      <c r="AX70" s="11" t="s">
        <v>305</v>
      </c>
      <c r="AY70" s="9">
        <v>0</v>
      </c>
      <c r="AZ70" s="9">
        <v>0</v>
      </c>
      <c r="BA70" s="9" t="s">
        <v>0</v>
      </c>
      <c r="BB70" s="9" t="s">
        <v>0</v>
      </c>
      <c r="BC70" s="20" t="s">
        <v>0</v>
      </c>
      <c r="BD70" s="6" t="s">
        <v>0</v>
      </c>
      <c r="BE70" s="5" t="s">
        <v>0</v>
      </c>
      <c r="BF70" s="9">
        <f t="shared" si="14"/>
        <v>0</v>
      </c>
      <c r="BG70" s="9" t="s">
        <v>0</v>
      </c>
      <c r="BH70" s="9" t="s">
        <v>0</v>
      </c>
      <c r="BI70" s="9" t="s">
        <v>0</v>
      </c>
      <c r="BJ70" s="9" t="s">
        <v>0</v>
      </c>
      <c r="BK70" s="56" t="str">
        <f t="shared" si="20"/>
        <v>#</v>
      </c>
      <c r="BL70" s="9">
        <f t="shared" si="18"/>
        <v>0</v>
      </c>
      <c r="BM70" s="9">
        <v>0</v>
      </c>
      <c r="BN70" s="9" t="s">
        <v>0</v>
      </c>
      <c r="BO70" s="9" t="s">
        <v>0</v>
      </c>
      <c r="BP70" s="20" t="s">
        <v>0</v>
      </c>
      <c r="BQ70" s="71" t="s">
        <v>158</v>
      </c>
      <c r="BR70" s="5" t="s">
        <v>0</v>
      </c>
      <c r="BS70" s="9">
        <f t="shared" si="16"/>
        <v>1</v>
      </c>
      <c r="BT70" s="9">
        <v>0</v>
      </c>
      <c r="BU70" s="9">
        <v>1</v>
      </c>
      <c r="BV70" s="9" t="s">
        <v>0</v>
      </c>
      <c r="BW70" s="9">
        <v>0</v>
      </c>
      <c r="BX70" s="20">
        <f t="shared" si="21"/>
        <v>1</v>
      </c>
      <c r="BY70" s="6" t="s">
        <v>0</v>
      </c>
      <c r="BZ70" s="5" t="s">
        <v>0</v>
      </c>
      <c r="CA70" s="6" t="s">
        <v>902</v>
      </c>
      <c r="CB70" s="6" t="s">
        <v>671</v>
      </c>
      <c r="CC70" s="6" t="s">
        <v>0</v>
      </c>
      <c r="CD70" s="11" t="s">
        <v>194</v>
      </c>
      <c r="CE70" s="149" t="s">
        <v>0</v>
      </c>
      <c r="CF70" s="149" t="s">
        <v>0</v>
      </c>
      <c r="CG70" s="149" t="s">
        <v>0</v>
      </c>
      <c r="CH70" s="63" t="s">
        <v>0</v>
      </c>
      <c r="CI70" s="64" t="s">
        <v>0</v>
      </c>
      <c r="CJ70" s="63" t="s">
        <v>0</v>
      </c>
      <c r="CK70" s="14" t="s">
        <v>224</v>
      </c>
      <c r="CL70" s="14" t="s">
        <v>0</v>
      </c>
      <c r="CM70" s="14" t="s">
        <v>0</v>
      </c>
      <c r="CN70" s="14" t="s">
        <v>0</v>
      </c>
      <c r="CO70" s="6" t="s">
        <v>0</v>
      </c>
      <c r="CP70" s="6" t="s">
        <v>0</v>
      </c>
      <c r="CQ70" s="6" t="s">
        <v>0</v>
      </c>
      <c r="CR70" s="21" t="s">
        <v>0</v>
      </c>
      <c r="CS70" s="14" t="s">
        <v>0</v>
      </c>
      <c r="CT70" s="21" t="s">
        <v>0</v>
      </c>
      <c r="CU70" s="14" t="s">
        <v>0</v>
      </c>
      <c r="CV70" s="14" t="s">
        <v>0</v>
      </c>
      <c r="CW70" s="21" t="s">
        <v>0</v>
      </c>
      <c r="CX70" s="27" t="s">
        <v>0</v>
      </c>
      <c r="CY70" s="27" t="s">
        <v>0</v>
      </c>
      <c r="CZ70" s="27" t="s">
        <v>303</v>
      </c>
      <c r="DA70" s="27" t="s">
        <v>0</v>
      </c>
      <c r="DB70" s="27" t="s">
        <v>0</v>
      </c>
      <c r="DC70" s="27" t="s">
        <v>0</v>
      </c>
      <c r="DD70" s="148" t="s">
        <v>0</v>
      </c>
      <c r="DE70" s="13" t="s">
        <v>0</v>
      </c>
      <c r="DF70" s="168" t="s">
        <v>0</v>
      </c>
      <c r="DG70" s="27" t="s">
        <v>0</v>
      </c>
      <c r="DH70" s="36" t="s">
        <v>0</v>
      </c>
      <c r="DI70" s="177" t="s">
        <v>890</v>
      </c>
    </row>
    <row r="71" spans="1:113" s="13" customFormat="1" ht="16">
      <c r="A71" s="13" t="s">
        <v>943</v>
      </c>
      <c r="B71" s="21" t="s">
        <v>28</v>
      </c>
      <c r="C71" s="13" t="s">
        <v>92</v>
      </c>
      <c r="D71" s="82">
        <v>44256</v>
      </c>
      <c r="E71" s="82">
        <v>44273</v>
      </c>
      <c r="F71" s="44" t="s">
        <v>98</v>
      </c>
      <c r="G71" s="44" t="s">
        <v>622</v>
      </c>
      <c r="H71" s="10" t="s">
        <v>1</v>
      </c>
      <c r="I71" s="41">
        <v>61694.025999999998</v>
      </c>
      <c r="J71" s="18" t="s">
        <v>431</v>
      </c>
      <c r="K71" s="9" t="s">
        <v>0</v>
      </c>
      <c r="L71" s="9" t="s">
        <v>0</v>
      </c>
      <c r="M71" s="61">
        <v>360948</v>
      </c>
      <c r="N71" s="61">
        <f t="shared" si="22"/>
        <v>360948</v>
      </c>
      <c r="O71" s="11" t="s">
        <v>249</v>
      </c>
      <c r="P71" s="14" t="s">
        <v>0</v>
      </c>
      <c r="Q71" s="13" t="s">
        <v>0</v>
      </c>
      <c r="R71" s="13" t="s">
        <v>0</v>
      </c>
      <c r="S71" s="13" t="s">
        <v>0</v>
      </c>
      <c r="T71" s="13" t="s">
        <v>0</v>
      </c>
      <c r="U71" s="13" t="s">
        <v>0</v>
      </c>
      <c r="V71" s="13" t="s">
        <v>0</v>
      </c>
      <c r="W71" s="13" t="s">
        <v>0</v>
      </c>
      <c r="X71" s="13" t="s">
        <v>0</v>
      </c>
      <c r="Y71" s="9" t="s">
        <v>0</v>
      </c>
      <c r="Z71" s="14" t="s">
        <v>573</v>
      </c>
      <c r="AA71" s="78">
        <v>0</v>
      </c>
      <c r="AB71" s="61">
        <v>360948</v>
      </c>
      <c r="AC71" s="61">
        <v>0</v>
      </c>
      <c r="AD71" s="61">
        <f t="shared" si="19"/>
        <v>1</v>
      </c>
      <c r="AE71" s="14" t="s">
        <v>0</v>
      </c>
      <c r="AF71" s="13" t="s">
        <v>0</v>
      </c>
      <c r="AG71" s="13" t="s">
        <v>465</v>
      </c>
      <c r="AH71" s="14" t="s">
        <v>95</v>
      </c>
      <c r="AI71" s="21" t="s">
        <v>0</v>
      </c>
      <c r="AJ71" s="50" t="s">
        <v>145</v>
      </c>
      <c r="AK71" s="5" t="s">
        <v>73</v>
      </c>
      <c r="AL71" s="6" t="s">
        <v>122</v>
      </c>
      <c r="AM71" s="5" t="s">
        <v>130</v>
      </c>
      <c r="AN71" s="5" t="s">
        <v>130</v>
      </c>
      <c r="AO71" s="10" t="s">
        <v>565</v>
      </c>
      <c r="AP71" s="9">
        <v>2</v>
      </c>
      <c r="AQ71" s="143">
        <v>3</v>
      </c>
      <c r="AR71" s="9">
        <f>AQ71*AP71*M71</f>
        <v>2165688</v>
      </c>
      <c r="AS71" s="9" t="s">
        <v>0</v>
      </c>
      <c r="AT71" s="9">
        <v>2133203</v>
      </c>
      <c r="AU71" s="5" t="s">
        <v>73</v>
      </c>
      <c r="AV71" s="5" t="s">
        <v>72</v>
      </c>
      <c r="AW71" s="5" t="s">
        <v>146</v>
      </c>
      <c r="AX71" s="119" t="s">
        <v>0</v>
      </c>
      <c r="AY71" s="9" t="s">
        <v>0</v>
      </c>
      <c r="AZ71" s="9" t="s">
        <v>0</v>
      </c>
      <c r="BA71" s="9" t="s">
        <v>0</v>
      </c>
      <c r="BB71" s="9" t="s">
        <v>0</v>
      </c>
      <c r="BC71" s="20" t="s">
        <v>0</v>
      </c>
      <c r="BD71" s="6" t="s">
        <v>0</v>
      </c>
      <c r="BE71" s="5" t="s">
        <v>0</v>
      </c>
      <c r="BF71" s="9">
        <f t="shared" si="14"/>
        <v>0</v>
      </c>
      <c r="BG71" s="9" t="s">
        <v>0</v>
      </c>
      <c r="BH71" s="9" t="s">
        <v>0</v>
      </c>
      <c r="BI71" s="9" t="s">
        <v>0</v>
      </c>
      <c r="BJ71" s="9" t="s">
        <v>0</v>
      </c>
      <c r="BK71" s="56" t="str">
        <f t="shared" si="20"/>
        <v>#</v>
      </c>
      <c r="BL71" s="9">
        <f t="shared" si="18"/>
        <v>1148</v>
      </c>
      <c r="BM71" s="9">
        <v>1148</v>
      </c>
      <c r="BN71" s="9" t="s">
        <v>0</v>
      </c>
      <c r="BO71" s="9">
        <v>0</v>
      </c>
      <c r="BP71" s="20" t="s">
        <v>0</v>
      </c>
      <c r="BQ71" s="71" t="s">
        <v>251</v>
      </c>
      <c r="BR71" s="5" t="s">
        <v>132</v>
      </c>
      <c r="BS71" s="9">
        <f t="shared" si="16"/>
        <v>0</v>
      </c>
      <c r="BT71" s="9" t="s">
        <v>0</v>
      </c>
      <c r="BU71" s="9" t="s">
        <v>0</v>
      </c>
      <c r="BV71" s="9" t="s">
        <v>0</v>
      </c>
      <c r="BW71" s="9" t="s">
        <v>0</v>
      </c>
      <c r="BX71" s="20" t="str">
        <f t="shared" si="21"/>
        <v>#</v>
      </c>
      <c r="BY71" s="6" t="s">
        <v>0</v>
      </c>
      <c r="BZ71" s="5" t="s">
        <v>0</v>
      </c>
      <c r="CA71" s="104" t="s">
        <v>380</v>
      </c>
      <c r="CB71" s="6" t="s">
        <v>672</v>
      </c>
      <c r="CC71" s="6" t="s">
        <v>0</v>
      </c>
      <c r="CD71" s="11" t="s">
        <v>195</v>
      </c>
      <c r="CE71" s="149" t="s">
        <v>0</v>
      </c>
      <c r="CF71" s="149" t="s">
        <v>0</v>
      </c>
      <c r="CG71" s="149" t="s">
        <v>0</v>
      </c>
      <c r="CH71" s="63" t="s">
        <v>0</v>
      </c>
      <c r="CI71" s="64" t="s">
        <v>0</v>
      </c>
      <c r="CJ71" s="63" t="s">
        <v>0</v>
      </c>
      <c r="CK71" s="14" t="s">
        <v>225</v>
      </c>
      <c r="CL71" s="14" t="s">
        <v>0</v>
      </c>
      <c r="CM71" s="14" t="s">
        <v>0</v>
      </c>
      <c r="CN71" s="14" t="s">
        <v>0</v>
      </c>
      <c r="CO71" s="6" t="s">
        <v>0</v>
      </c>
      <c r="CP71" s="6" t="s">
        <v>0</v>
      </c>
      <c r="CQ71" s="6" t="s">
        <v>0</v>
      </c>
      <c r="CR71" s="21" t="s">
        <v>0</v>
      </c>
      <c r="CS71" s="14" t="s">
        <v>0</v>
      </c>
      <c r="CT71" s="21" t="s">
        <v>0</v>
      </c>
      <c r="CU71" s="14" t="s">
        <v>0</v>
      </c>
      <c r="CV71" s="14" t="s">
        <v>0</v>
      </c>
      <c r="CW71" s="21" t="s">
        <v>0</v>
      </c>
      <c r="CX71" s="27" t="s">
        <v>0</v>
      </c>
      <c r="CY71" s="27" t="s">
        <v>0</v>
      </c>
      <c r="CZ71" s="27" t="s">
        <v>0</v>
      </c>
      <c r="DA71" s="27" t="s">
        <v>0</v>
      </c>
      <c r="DB71" s="27" t="s">
        <v>0</v>
      </c>
      <c r="DC71" s="27" t="s">
        <v>0</v>
      </c>
      <c r="DD71" s="148" t="s">
        <v>0</v>
      </c>
      <c r="DE71" s="13" t="s">
        <v>0</v>
      </c>
      <c r="DF71" s="168" t="s">
        <v>0</v>
      </c>
      <c r="DG71" s="27" t="s">
        <v>0</v>
      </c>
      <c r="DH71" s="36" t="s">
        <v>0</v>
      </c>
      <c r="DI71" s="177" t="s">
        <v>0</v>
      </c>
    </row>
    <row r="72" spans="1:113" s="13" customFormat="1" ht="16">
      <c r="A72" s="13" t="s">
        <v>944</v>
      </c>
      <c r="B72" s="21" t="s">
        <v>28</v>
      </c>
      <c r="C72" s="13" t="s">
        <v>92</v>
      </c>
      <c r="D72" s="82">
        <v>44256</v>
      </c>
      <c r="E72" s="82">
        <v>44273</v>
      </c>
      <c r="F72" s="44" t="s">
        <v>98</v>
      </c>
      <c r="G72" s="44" t="s">
        <v>623</v>
      </c>
      <c r="H72" s="10" t="s">
        <v>1</v>
      </c>
      <c r="I72" s="41">
        <v>61694.025999999998</v>
      </c>
      <c r="J72" s="18" t="s">
        <v>431</v>
      </c>
      <c r="K72" s="9" t="s">
        <v>0</v>
      </c>
      <c r="L72" s="9" t="s">
        <v>0</v>
      </c>
      <c r="M72" s="61">
        <v>319672</v>
      </c>
      <c r="N72" s="61">
        <f t="shared" si="22"/>
        <v>319672</v>
      </c>
      <c r="O72" s="11" t="s">
        <v>249</v>
      </c>
      <c r="P72" s="14" t="s">
        <v>0</v>
      </c>
      <c r="Q72" s="13" t="s">
        <v>0</v>
      </c>
      <c r="R72" s="13" t="s">
        <v>0</v>
      </c>
      <c r="S72" s="13" t="s">
        <v>0</v>
      </c>
      <c r="T72" s="13" t="s">
        <v>0</v>
      </c>
      <c r="U72" s="13" t="s">
        <v>0</v>
      </c>
      <c r="V72" s="13" t="s">
        <v>0</v>
      </c>
      <c r="W72" s="13" t="s">
        <v>0</v>
      </c>
      <c r="X72" s="13" t="s">
        <v>0</v>
      </c>
      <c r="Y72" s="9" t="s">
        <v>0</v>
      </c>
      <c r="Z72" s="14" t="s">
        <v>573</v>
      </c>
      <c r="AA72" s="78">
        <v>0</v>
      </c>
      <c r="AB72" s="61">
        <v>319672</v>
      </c>
      <c r="AC72" s="61">
        <v>0</v>
      </c>
      <c r="AD72" s="61">
        <f t="shared" si="19"/>
        <v>1</v>
      </c>
      <c r="AE72" s="14" t="s">
        <v>0</v>
      </c>
      <c r="AF72" s="13" t="s">
        <v>0</v>
      </c>
      <c r="AG72" s="13" t="s">
        <v>465</v>
      </c>
      <c r="AH72" s="14" t="s">
        <v>95</v>
      </c>
      <c r="AI72" s="21" t="s">
        <v>0</v>
      </c>
      <c r="AJ72" s="50" t="s">
        <v>145</v>
      </c>
      <c r="AK72" s="5" t="s">
        <v>73</v>
      </c>
      <c r="AL72" s="6" t="s">
        <v>122</v>
      </c>
      <c r="AM72" s="5" t="s">
        <v>130</v>
      </c>
      <c r="AN72" s="5" t="s">
        <v>130</v>
      </c>
      <c r="AO72" s="10" t="s">
        <v>565</v>
      </c>
      <c r="AP72" s="9">
        <v>1</v>
      </c>
      <c r="AQ72" s="143">
        <v>3</v>
      </c>
      <c r="AR72" s="9">
        <f>AQ72*AP72*M72</f>
        <v>959016</v>
      </c>
      <c r="AS72" s="9" t="s">
        <v>0</v>
      </c>
      <c r="AT72" s="9">
        <v>944631</v>
      </c>
      <c r="AU72" s="5" t="s">
        <v>73</v>
      </c>
      <c r="AV72" s="5" t="s">
        <v>72</v>
      </c>
      <c r="AW72" s="5" t="s">
        <v>146</v>
      </c>
      <c r="AX72" s="119" t="s">
        <v>0</v>
      </c>
      <c r="AY72" s="9" t="s">
        <v>0</v>
      </c>
      <c r="AZ72" s="9" t="s">
        <v>0</v>
      </c>
      <c r="BA72" s="9" t="s">
        <v>0</v>
      </c>
      <c r="BB72" s="9" t="s">
        <v>0</v>
      </c>
      <c r="BC72" s="20" t="s">
        <v>0</v>
      </c>
      <c r="BD72" s="6" t="s">
        <v>0</v>
      </c>
      <c r="BE72" s="5" t="s">
        <v>0</v>
      </c>
      <c r="BF72" s="9">
        <f t="shared" si="14"/>
        <v>0</v>
      </c>
      <c r="BG72" s="9" t="s">
        <v>0</v>
      </c>
      <c r="BH72" s="9" t="s">
        <v>0</v>
      </c>
      <c r="BI72" s="9" t="s">
        <v>0</v>
      </c>
      <c r="BJ72" s="9" t="s">
        <v>0</v>
      </c>
      <c r="BK72" s="56" t="str">
        <f t="shared" si="20"/>
        <v>#</v>
      </c>
      <c r="BL72" s="9">
        <f t="shared" si="18"/>
        <v>598</v>
      </c>
      <c r="BM72" s="9">
        <v>598</v>
      </c>
      <c r="BN72" s="9" t="s">
        <v>0</v>
      </c>
      <c r="BO72" s="9">
        <v>0</v>
      </c>
      <c r="BP72" s="20" t="s">
        <v>0</v>
      </c>
      <c r="BQ72" s="71" t="s">
        <v>251</v>
      </c>
      <c r="BR72" s="5" t="s">
        <v>132</v>
      </c>
      <c r="BS72" s="9">
        <f t="shared" si="16"/>
        <v>0</v>
      </c>
      <c r="BT72" s="9" t="s">
        <v>0</v>
      </c>
      <c r="BU72" s="9" t="s">
        <v>0</v>
      </c>
      <c r="BV72" s="9" t="s">
        <v>0</v>
      </c>
      <c r="BW72" s="9" t="s">
        <v>0</v>
      </c>
      <c r="BX72" s="20" t="str">
        <f t="shared" si="21"/>
        <v>#</v>
      </c>
      <c r="BY72" s="6" t="s">
        <v>0</v>
      </c>
      <c r="BZ72" s="5" t="s">
        <v>0</v>
      </c>
      <c r="CA72" s="104" t="s">
        <v>380</v>
      </c>
      <c r="CB72" s="6" t="s">
        <v>672</v>
      </c>
      <c r="CC72" s="6" t="s">
        <v>0</v>
      </c>
      <c r="CD72" s="11" t="s">
        <v>195</v>
      </c>
      <c r="CE72" s="149" t="s">
        <v>0</v>
      </c>
      <c r="CF72" s="149" t="s">
        <v>0</v>
      </c>
      <c r="CG72" s="149" t="s">
        <v>0</v>
      </c>
      <c r="CH72" s="63" t="s">
        <v>0</v>
      </c>
      <c r="CI72" s="64" t="s">
        <v>0</v>
      </c>
      <c r="CJ72" s="63" t="s">
        <v>0</v>
      </c>
      <c r="CK72" s="14" t="s">
        <v>225</v>
      </c>
      <c r="CL72" s="14" t="s">
        <v>0</v>
      </c>
      <c r="CM72" s="14" t="s">
        <v>0</v>
      </c>
      <c r="CN72" s="14" t="s">
        <v>0</v>
      </c>
      <c r="CO72" s="6" t="s">
        <v>0</v>
      </c>
      <c r="CP72" s="6" t="s">
        <v>0</v>
      </c>
      <c r="CQ72" s="6" t="s">
        <v>0</v>
      </c>
      <c r="CR72" s="21" t="s">
        <v>0</v>
      </c>
      <c r="CS72" s="14" t="s">
        <v>0</v>
      </c>
      <c r="CT72" s="21" t="s">
        <v>0</v>
      </c>
      <c r="CU72" s="14" t="s">
        <v>0</v>
      </c>
      <c r="CV72" s="14" t="s">
        <v>0</v>
      </c>
      <c r="CW72" s="21" t="s">
        <v>0</v>
      </c>
      <c r="CX72" s="27" t="s">
        <v>0</v>
      </c>
      <c r="CY72" s="27" t="s">
        <v>0</v>
      </c>
      <c r="CZ72" s="27" t="s">
        <v>0</v>
      </c>
      <c r="DA72" s="27" t="s">
        <v>0</v>
      </c>
      <c r="DB72" s="27" t="s">
        <v>0</v>
      </c>
      <c r="DC72" s="27" t="s">
        <v>0</v>
      </c>
      <c r="DD72" s="148" t="s">
        <v>0</v>
      </c>
      <c r="DE72" s="13" t="s">
        <v>0</v>
      </c>
      <c r="DF72" s="168" t="s">
        <v>0</v>
      </c>
      <c r="DG72" s="27" t="s">
        <v>0</v>
      </c>
      <c r="DH72" s="36" t="s">
        <v>0</v>
      </c>
      <c r="DI72" s="177" t="s">
        <v>0</v>
      </c>
    </row>
    <row r="73" spans="1:113" s="13" customFormat="1" ht="16">
      <c r="A73" s="13" t="s">
        <v>945</v>
      </c>
      <c r="B73" s="21" t="s">
        <v>28</v>
      </c>
      <c r="C73" s="13" t="s">
        <v>92</v>
      </c>
      <c r="D73" s="82">
        <v>44256</v>
      </c>
      <c r="E73" s="82">
        <v>44273</v>
      </c>
      <c r="F73" s="44" t="s">
        <v>98</v>
      </c>
      <c r="G73" s="44" t="s">
        <v>624</v>
      </c>
      <c r="H73" s="10" t="s">
        <v>1</v>
      </c>
      <c r="I73" s="41">
        <v>61694.025999999998</v>
      </c>
      <c r="J73" s="18" t="s">
        <v>431</v>
      </c>
      <c r="K73" s="9" t="s">
        <v>0</v>
      </c>
      <c r="L73" s="9" t="s">
        <v>0</v>
      </c>
      <c r="M73" s="61">
        <v>104087</v>
      </c>
      <c r="N73" s="61">
        <f t="shared" si="22"/>
        <v>104087</v>
      </c>
      <c r="O73" s="11" t="s">
        <v>249</v>
      </c>
      <c r="P73" s="14" t="s">
        <v>0</v>
      </c>
      <c r="Q73" s="13" t="s">
        <v>0</v>
      </c>
      <c r="R73" s="13" t="s">
        <v>0</v>
      </c>
      <c r="S73" s="13" t="s">
        <v>0</v>
      </c>
      <c r="T73" s="13" t="s">
        <v>0</v>
      </c>
      <c r="U73" s="13" t="s">
        <v>0</v>
      </c>
      <c r="V73" s="13" t="s">
        <v>0</v>
      </c>
      <c r="W73" s="13" t="s">
        <v>0</v>
      </c>
      <c r="X73" s="13" t="s">
        <v>0</v>
      </c>
      <c r="Y73" s="9" t="s">
        <v>0</v>
      </c>
      <c r="Z73" s="14" t="s">
        <v>573</v>
      </c>
      <c r="AA73" s="78">
        <v>0</v>
      </c>
      <c r="AB73" s="61">
        <v>104087</v>
      </c>
      <c r="AC73" s="61">
        <v>0</v>
      </c>
      <c r="AD73" s="61">
        <f t="shared" si="19"/>
        <v>1</v>
      </c>
      <c r="AE73" s="14" t="s">
        <v>0</v>
      </c>
      <c r="AF73" s="13" t="s">
        <v>0</v>
      </c>
      <c r="AG73" s="13" t="s">
        <v>465</v>
      </c>
      <c r="AH73" s="14" t="s">
        <v>1</v>
      </c>
      <c r="AI73" s="21" t="s">
        <v>0</v>
      </c>
      <c r="AJ73" s="50" t="s">
        <v>145</v>
      </c>
      <c r="AK73" s="5" t="s">
        <v>73</v>
      </c>
      <c r="AL73" s="6" t="s">
        <v>122</v>
      </c>
      <c r="AM73" s="5" t="s">
        <v>123</v>
      </c>
      <c r="AN73" s="5" t="s">
        <v>130</v>
      </c>
      <c r="AO73" s="10" t="s">
        <v>565</v>
      </c>
      <c r="AP73" s="61" t="s">
        <v>305</v>
      </c>
      <c r="AQ73" s="143" t="s">
        <v>0</v>
      </c>
      <c r="AR73" s="9" t="s">
        <v>0</v>
      </c>
      <c r="AS73" s="9" t="s">
        <v>0</v>
      </c>
      <c r="AT73" s="9" t="s">
        <v>0</v>
      </c>
      <c r="AU73" s="5" t="s">
        <v>73</v>
      </c>
      <c r="AV73" s="5" t="s">
        <v>73</v>
      </c>
      <c r="AW73" s="5" t="s">
        <v>146</v>
      </c>
      <c r="AX73" s="119" t="s">
        <v>0</v>
      </c>
      <c r="AY73" s="9" t="s">
        <v>0</v>
      </c>
      <c r="AZ73" s="9" t="s">
        <v>0</v>
      </c>
      <c r="BA73" s="9" t="s">
        <v>0</v>
      </c>
      <c r="BB73" s="9" t="s">
        <v>0</v>
      </c>
      <c r="BC73" s="20" t="s">
        <v>0</v>
      </c>
      <c r="BD73" s="6" t="s">
        <v>0</v>
      </c>
      <c r="BE73" s="5" t="s">
        <v>0</v>
      </c>
      <c r="BF73" s="9">
        <f t="shared" si="14"/>
        <v>0</v>
      </c>
      <c r="BG73" s="9" t="s">
        <v>0</v>
      </c>
      <c r="BH73" s="9" t="s">
        <v>0</v>
      </c>
      <c r="BI73" s="9" t="s">
        <v>0</v>
      </c>
      <c r="BJ73" s="9" t="s">
        <v>0</v>
      </c>
      <c r="BK73" s="56" t="str">
        <f t="shared" si="20"/>
        <v>#</v>
      </c>
      <c r="BL73" s="9">
        <f t="shared" si="18"/>
        <v>912</v>
      </c>
      <c r="BM73" s="9">
        <v>912</v>
      </c>
      <c r="BN73" s="9" t="s">
        <v>0</v>
      </c>
      <c r="BO73" s="9">
        <v>0</v>
      </c>
      <c r="BP73" s="20" t="s">
        <v>0</v>
      </c>
      <c r="BQ73" s="71" t="s">
        <v>251</v>
      </c>
      <c r="BR73" s="5" t="s">
        <v>132</v>
      </c>
      <c r="BS73" s="9">
        <f t="shared" si="16"/>
        <v>0</v>
      </c>
      <c r="BT73" s="9" t="s">
        <v>0</v>
      </c>
      <c r="BU73" s="9" t="s">
        <v>0</v>
      </c>
      <c r="BV73" s="9" t="s">
        <v>0</v>
      </c>
      <c r="BW73" s="9" t="s">
        <v>0</v>
      </c>
      <c r="BX73" s="20" t="str">
        <f t="shared" si="21"/>
        <v>#</v>
      </c>
      <c r="BY73" s="6" t="s">
        <v>0</v>
      </c>
      <c r="BZ73" s="5" t="s">
        <v>0</v>
      </c>
      <c r="CA73" s="104" t="s">
        <v>380</v>
      </c>
      <c r="CB73" s="6" t="s">
        <v>672</v>
      </c>
      <c r="CC73" s="6" t="s">
        <v>0</v>
      </c>
      <c r="CD73" s="11" t="s">
        <v>195</v>
      </c>
      <c r="CE73" s="149" t="s">
        <v>0</v>
      </c>
      <c r="CF73" s="149" t="s">
        <v>0</v>
      </c>
      <c r="CG73" s="149" t="s">
        <v>0</v>
      </c>
      <c r="CH73" s="63" t="s">
        <v>0</v>
      </c>
      <c r="CI73" s="64" t="s">
        <v>0</v>
      </c>
      <c r="CJ73" s="63" t="s">
        <v>0</v>
      </c>
      <c r="CK73" s="14" t="s">
        <v>225</v>
      </c>
      <c r="CL73" s="14" t="s">
        <v>0</v>
      </c>
      <c r="CM73" s="14" t="s">
        <v>0</v>
      </c>
      <c r="CN73" s="14" t="s">
        <v>0</v>
      </c>
      <c r="CO73" s="6" t="s">
        <v>0</v>
      </c>
      <c r="CP73" s="6" t="s">
        <v>0</v>
      </c>
      <c r="CQ73" s="6" t="s">
        <v>0</v>
      </c>
      <c r="CR73" s="21" t="s">
        <v>0</v>
      </c>
      <c r="CS73" s="14" t="s">
        <v>0</v>
      </c>
      <c r="CT73" s="21" t="s">
        <v>0</v>
      </c>
      <c r="CU73" s="14" t="s">
        <v>0</v>
      </c>
      <c r="CV73" s="14" t="s">
        <v>0</v>
      </c>
      <c r="CW73" s="21" t="s">
        <v>0</v>
      </c>
      <c r="CX73" s="27" t="s">
        <v>0</v>
      </c>
      <c r="CY73" s="27" t="s">
        <v>0</v>
      </c>
      <c r="CZ73" s="27" t="s">
        <v>0</v>
      </c>
      <c r="DA73" s="27" t="s">
        <v>0</v>
      </c>
      <c r="DB73" s="27" t="s">
        <v>0</v>
      </c>
      <c r="DC73" s="27" t="s">
        <v>0</v>
      </c>
      <c r="DD73" s="148" t="s">
        <v>0</v>
      </c>
      <c r="DE73" s="13" t="s">
        <v>0</v>
      </c>
      <c r="DF73" s="168" t="s">
        <v>0</v>
      </c>
      <c r="DG73" s="27" t="s">
        <v>0</v>
      </c>
      <c r="DH73" s="36" t="s">
        <v>0</v>
      </c>
      <c r="DI73" s="177" t="s">
        <v>0</v>
      </c>
    </row>
    <row r="74" spans="1:113" ht="15" customHeight="1">
      <c r="A74" s="13" t="s">
        <v>946</v>
      </c>
      <c r="B74" s="47" t="s">
        <v>778</v>
      </c>
      <c r="C74" s="7" t="s">
        <v>447</v>
      </c>
      <c r="D74" s="22">
        <v>44613</v>
      </c>
      <c r="E74" s="22">
        <v>44712</v>
      </c>
      <c r="F74" s="10" t="s">
        <v>103</v>
      </c>
      <c r="G74" s="10" t="s">
        <v>648</v>
      </c>
      <c r="H74" s="10" t="s">
        <v>104</v>
      </c>
      <c r="I74" s="42">
        <v>56843.908000000003</v>
      </c>
      <c r="J74" s="18" t="s">
        <v>1</v>
      </c>
      <c r="K74" s="9">
        <v>6452</v>
      </c>
      <c r="L74" s="9" t="s">
        <v>0</v>
      </c>
      <c r="M74" s="9" t="s">
        <v>0</v>
      </c>
      <c r="N74" s="9">
        <f t="shared" si="22"/>
        <v>6452</v>
      </c>
      <c r="O74" s="63" t="s">
        <v>242</v>
      </c>
      <c r="P74" s="52" t="s">
        <v>0</v>
      </c>
      <c r="Q74" s="52" t="s">
        <v>0</v>
      </c>
      <c r="R74" s="6" t="s">
        <v>0</v>
      </c>
      <c r="S74" s="6" t="s">
        <v>0</v>
      </c>
      <c r="T74" s="6" t="s">
        <v>0</v>
      </c>
      <c r="U74" s="6" t="s">
        <v>0</v>
      </c>
      <c r="V74" s="6" t="s">
        <v>0</v>
      </c>
      <c r="W74" s="6" t="s">
        <v>0</v>
      </c>
      <c r="X74" s="6" t="s">
        <v>0</v>
      </c>
      <c r="Y74" s="9" t="s">
        <v>0</v>
      </c>
      <c r="Z74" s="6" t="s">
        <v>571</v>
      </c>
      <c r="AA74" s="79">
        <v>1050</v>
      </c>
      <c r="AB74" s="79" t="s">
        <v>0</v>
      </c>
      <c r="AC74" s="68" t="s">
        <v>0</v>
      </c>
      <c r="AD74" s="61">
        <f t="shared" si="19"/>
        <v>0</v>
      </c>
      <c r="AE74" s="10" t="s">
        <v>0</v>
      </c>
      <c r="AF74" s="10" t="s">
        <v>458</v>
      </c>
      <c r="AG74" s="10" t="s">
        <v>465</v>
      </c>
      <c r="AH74" s="10" t="s">
        <v>414</v>
      </c>
      <c r="AI74" s="26" t="s">
        <v>0</v>
      </c>
      <c r="AJ74" s="6" t="s">
        <v>415</v>
      </c>
      <c r="AK74" s="7" t="s">
        <v>73</v>
      </c>
      <c r="AL74" s="6" t="s">
        <v>416</v>
      </c>
      <c r="AM74" s="7" t="s">
        <v>0</v>
      </c>
      <c r="AN74" s="7" t="s">
        <v>124</v>
      </c>
      <c r="AO74" s="10" t="s">
        <v>565</v>
      </c>
      <c r="AP74" s="68" t="s">
        <v>305</v>
      </c>
      <c r="AQ74" s="143">
        <f>ROUND(('Data extracted'!E74-'Data extracted'!D74)/7,0)</f>
        <v>14</v>
      </c>
      <c r="AR74" s="144" t="s">
        <v>0</v>
      </c>
      <c r="AS74" s="9" t="s">
        <v>0</v>
      </c>
      <c r="AT74" s="9" t="s">
        <v>0</v>
      </c>
      <c r="AU74" s="7" t="s">
        <v>73</v>
      </c>
      <c r="AV74" s="7" t="s">
        <v>73</v>
      </c>
      <c r="AW74" s="7" t="s">
        <v>417</v>
      </c>
      <c r="AX74" s="11" t="s">
        <v>0</v>
      </c>
      <c r="AY74" s="9" t="s">
        <v>0</v>
      </c>
      <c r="AZ74" s="9" t="s">
        <v>0</v>
      </c>
      <c r="BA74" s="9" t="s">
        <v>0</v>
      </c>
      <c r="BB74" s="9" t="s">
        <v>0</v>
      </c>
      <c r="BC74" s="20" t="s">
        <v>0</v>
      </c>
      <c r="BD74" s="6" t="s">
        <v>0</v>
      </c>
      <c r="BE74" s="6" t="s">
        <v>0</v>
      </c>
      <c r="BF74" s="9">
        <f t="shared" si="14"/>
        <v>0</v>
      </c>
      <c r="BG74" s="9" t="s">
        <v>0</v>
      </c>
      <c r="BH74" s="9" t="s">
        <v>0</v>
      </c>
      <c r="BI74" s="9" t="s">
        <v>0</v>
      </c>
      <c r="BJ74" s="9" t="s">
        <v>0</v>
      </c>
      <c r="BK74" s="56" t="str">
        <f t="shared" si="20"/>
        <v>#</v>
      </c>
      <c r="BL74" s="9">
        <f t="shared" si="18"/>
        <v>0</v>
      </c>
      <c r="BM74" s="9" t="s">
        <v>0</v>
      </c>
      <c r="BN74" s="9" t="s">
        <v>0</v>
      </c>
      <c r="BO74" s="9" t="s">
        <v>0</v>
      </c>
      <c r="BP74" s="20" t="s">
        <v>0</v>
      </c>
      <c r="BQ74" s="50" t="s">
        <v>0</v>
      </c>
      <c r="BR74" s="6" t="s">
        <v>0</v>
      </c>
      <c r="BS74" s="9">
        <f t="shared" si="16"/>
        <v>0</v>
      </c>
      <c r="BT74" s="9" t="s">
        <v>0</v>
      </c>
      <c r="BU74" s="9" t="s">
        <v>0</v>
      </c>
      <c r="BV74" s="9" t="s">
        <v>0</v>
      </c>
      <c r="BW74" s="9" t="s">
        <v>0</v>
      </c>
      <c r="BX74" s="20" t="str">
        <f t="shared" si="21"/>
        <v>#</v>
      </c>
      <c r="BY74" s="6" t="s">
        <v>158</v>
      </c>
      <c r="BZ74" s="5" t="s">
        <v>0</v>
      </c>
      <c r="CA74" s="6" t="s">
        <v>380</v>
      </c>
      <c r="CB74" s="6" t="s">
        <v>418</v>
      </c>
      <c r="CC74" s="6" t="s">
        <v>683</v>
      </c>
      <c r="CD74" s="11" t="s">
        <v>390</v>
      </c>
      <c r="CE74" s="149" t="s">
        <v>0</v>
      </c>
      <c r="CF74" s="149" t="s">
        <v>0</v>
      </c>
      <c r="CG74" s="149" t="s">
        <v>0</v>
      </c>
      <c r="CH74" s="63" t="s">
        <v>0</v>
      </c>
      <c r="CI74" s="64" t="s">
        <v>0</v>
      </c>
      <c r="CJ74" s="63" t="s">
        <v>0</v>
      </c>
      <c r="CK74" s="6" t="s">
        <v>0</v>
      </c>
      <c r="CL74" s="6" t="s">
        <v>0</v>
      </c>
      <c r="CM74" s="6" t="s">
        <v>0</v>
      </c>
      <c r="CN74" s="6" t="s">
        <v>0</v>
      </c>
      <c r="CO74" s="6" t="s">
        <v>0</v>
      </c>
      <c r="CP74" s="6" t="s">
        <v>0</v>
      </c>
      <c r="CQ74" s="6" t="s">
        <v>0</v>
      </c>
      <c r="CR74" s="11" t="s">
        <v>0</v>
      </c>
      <c r="CS74" s="6" t="s">
        <v>0</v>
      </c>
      <c r="CT74" s="11" t="s">
        <v>0</v>
      </c>
      <c r="CU74" s="6" t="s">
        <v>0</v>
      </c>
      <c r="CV74" s="6" t="s">
        <v>0</v>
      </c>
      <c r="CW74" s="11" t="s">
        <v>0</v>
      </c>
      <c r="CX74" s="27" t="s">
        <v>0</v>
      </c>
      <c r="CY74" s="27" t="s">
        <v>0</v>
      </c>
      <c r="CZ74" s="27" t="s">
        <v>0</v>
      </c>
      <c r="DA74" s="27" t="s">
        <v>0</v>
      </c>
      <c r="DB74" s="27" t="s">
        <v>0</v>
      </c>
      <c r="DC74" s="27" t="s">
        <v>0</v>
      </c>
      <c r="DD74" s="148" t="s">
        <v>0</v>
      </c>
      <c r="DE74" s="13" t="s">
        <v>0</v>
      </c>
      <c r="DF74" s="168" t="s">
        <v>0</v>
      </c>
      <c r="DG74" s="27" t="s">
        <v>0</v>
      </c>
      <c r="DH74" s="36" t="s">
        <v>0</v>
      </c>
      <c r="DI74" s="177" t="s">
        <v>0</v>
      </c>
    </row>
    <row r="75" spans="1:113" s="33" customFormat="1" ht="16">
      <c r="A75" s="13" t="s">
        <v>869</v>
      </c>
      <c r="B75" s="57" t="s">
        <v>45</v>
      </c>
      <c r="C75" s="32" t="s">
        <v>92</v>
      </c>
      <c r="D75" s="82">
        <v>44407</v>
      </c>
      <c r="E75" s="82">
        <v>44460</v>
      </c>
      <c r="F75" s="32" t="s">
        <v>111</v>
      </c>
      <c r="G75" s="32" t="s">
        <v>632</v>
      </c>
      <c r="H75" s="32" t="s">
        <v>104</v>
      </c>
      <c r="I75" s="43">
        <v>94480.797000000006</v>
      </c>
      <c r="J75" s="34" t="s">
        <v>1</v>
      </c>
      <c r="K75" s="9">
        <v>8000</v>
      </c>
      <c r="L75" s="9">
        <v>8000</v>
      </c>
      <c r="M75" s="9">
        <v>8000</v>
      </c>
      <c r="N75" s="9">
        <f t="shared" si="22"/>
        <v>8000</v>
      </c>
      <c r="O75" s="11" t="s">
        <v>244</v>
      </c>
      <c r="P75" s="51" t="s">
        <v>0</v>
      </c>
      <c r="Q75" s="27" t="s">
        <v>0</v>
      </c>
      <c r="R75" s="27" t="s">
        <v>0</v>
      </c>
      <c r="S75" s="27" t="s">
        <v>0</v>
      </c>
      <c r="T75" s="27" t="s">
        <v>0</v>
      </c>
      <c r="U75" s="27" t="s">
        <v>0</v>
      </c>
      <c r="V75" s="27" t="s">
        <v>0</v>
      </c>
      <c r="W75" s="27" t="s">
        <v>0</v>
      </c>
      <c r="X75" s="27" t="s">
        <v>0</v>
      </c>
      <c r="Y75" s="9" t="s">
        <v>0</v>
      </c>
      <c r="Z75" s="27" t="s">
        <v>571</v>
      </c>
      <c r="AA75" s="81" t="s">
        <v>0</v>
      </c>
      <c r="AB75" s="108" t="s">
        <v>0</v>
      </c>
      <c r="AC75" s="108" t="s">
        <v>0</v>
      </c>
      <c r="AD75" s="61">
        <f t="shared" si="19"/>
        <v>0</v>
      </c>
      <c r="AE75" s="30" t="s">
        <v>0</v>
      </c>
      <c r="AF75" s="32" t="s">
        <v>0</v>
      </c>
      <c r="AG75" s="7" t="s">
        <v>465</v>
      </c>
      <c r="AH75" s="30" t="s">
        <v>0</v>
      </c>
      <c r="AI75" s="31" t="s">
        <v>0</v>
      </c>
      <c r="AJ75" s="50" t="s">
        <v>151</v>
      </c>
      <c r="AK75" s="7" t="s">
        <v>73</v>
      </c>
      <c r="AL75" s="6" t="s">
        <v>122</v>
      </c>
      <c r="AM75" s="7" t="s">
        <v>0</v>
      </c>
      <c r="AN75" s="7" t="s">
        <v>124</v>
      </c>
      <c r="AO75" s="14" t="s">
        <v>565</v>
      </c>
      <c r="AP75" s="68">
        <v>2</v>
      </c>
      <c r="AQ75" s="143">
        <f>ROUND(('Data extracted'!E75-'Data extracted'!D75)/7,0)</f>
        <v>8</v>
      </c>
      <c r="AR75" s="68" t="s">
        <v>0</v>
      </c>
      <c r="AS75" s="9" t="s">
        <v>0</v>
      </c>
      <c r="AT75" s="9">
        <v>156000</v>
      </c>
      <c r="AU75" s="7" t="s">
        <v>73</v>
      </c>
      <c r="AV75" s="7" t="s">
        <v>73</v>
      </c>
      <c r="AW75" s="5" t="s">
        <v>157</v>
      </c>
      <c r="AX75" s="119" t="s">
        <v>0</v>
      </c>
      <c r="AY75" s="9">
        <f t="shared" ref="AY75:AY80" si="23">SUM(AZ75:BC75)</f>
        <v>31</v>
      </c>
      <c r="AZ75" s="9">
        <v>31</v>
      </c>
      <c r="BA75" s="9" t="s">
        <v>0</v>
      </c>
      <c r="BB75" s="9" t="s">
        <v>0</v>
      </c>
      <c r="BC75" s="20" t="s">
        <v>0</v>
      </c>
      <c r="BD75" s="50" t="s">
        <v>158</v>
      </c>
      <c r="BE75" s="5" t="s">
        <v>0</v>
      </c>
      <c r="BF75" s="9">
        <f t="shared" si="14"/>
        <v>31</v>
      </c>
      <c r="BG75" s="9">
        <v>20</v>
      </c>
      <c r="BH75" s="9" t="s">
        <v>0</v>
      </c>
      <c r="BI75" s="9" t="s">
        <v>0</v>
      </c>
      <c r="BJ75" s="9">
        <v>11</v>
      </c>
      <c r="BK75" s="56" t="str">
        <f t="shared" si="20"/>
        <v>#</v>
      </c>
      <c r="BL75" s="9">
        <f t="shared" si="18"/>
        <v>0</v>
      </c>
      <c r="BM75" s="9" t="s">
        <v>0</v>
      </c>
      <c r="BN75" s="9" t="s">
        <v>0</v>
      </c>
      <c r="BO75" s="9" t="s">
        <v>0</v>
      </c>
      <c r="BP75" s="20" t="s">
        <v>0</v>
      </c>
      <c r="BQ75" s="71" t="s">
        <v>0</v>
      </c>
      <c r="BR75" s="5" t="s">
        <v>0</v>
      </c>
      <c r="BS75" s="9">
        <f t="shared" si="16"/>
        <v>0</v>
      </c>
      <c r="BT75" s="9" t="s">
        <v>0</v>
      </c>
      <c r="BU75" s="9" t="s">
        <v>0</v>
      </c>
      <c r="BV75" s="9" t="s">
        <v>0</v>
      </c>
      <c r="BW75" s="9" t="s">
        <v>0</v>
      </c>
      <c r="BX75" s="20" t="str">
        <f t="shared" si="21"/>
        <v>#</v>
      </c>
      <c r="BY75" s="5" t="s">
        <v>0</v>
      </c>
      <c r="BZ75" s="5" t="s">
        <v>0</v>
      </c>
      <c r="CA75" s="5" t="s">
        <v>903</v>
      </c>
      <c r="CB75" s="5" t="s">
        <v>964</v>
      </c>
      <c r="CC75" s="6" t="s">
        <v>408</v>
      </c>
      <c r="CD75" s="11" t="s">
        <v>0</v>
      </c>
      <c r="CE75" s="149" t="s">
        <v>0</v>
      </c>
      <c r="CF75" s="149" t="s">
        <v>0</v>
      </c>
      <c r="CG75" s="149" t="s">
        <v>0</v>
      </c>
      <c r="CH75" s="63" t="s">
        <v>0</v>
      </c>
      <c r="CI75" s="64" t="s">
        <v>0</v>
      </c>
      <c r="CJ75" s="63" t="s">
        <v>0</v>
      </c>
      <c r="CK75" s="70" t="s">
        <v>0</v>
      </c>
      <c r="CL75" s="6" t="s">
        <v>0</v>
      </c>
      <c r="CM75" s="6" t="s">
        <v>0</v>
      </c>
      <c r="CN75" s="6" t="s">
        <v>0</v>
      </c>
      <c r="CO75" s="6" t="s">
        <v>0</v>
      </c>
      <c r="CP75" s="6" t="s">
        <v>0</v>
      </c>
      <c r="CQ75" s="6" t="s">
        <v>0</v>
      </c>
      <c r="CR75" s="11" t="s">
        <v>0</v>
      </c>
      <c r="CS75" s="6" t="s">
        <v>0</v>
      </c>
      <c r="CT75" s="11" t="s">
        <v>0</v>
      </c>
      <c r="CU75" s="6" t="s">
        <v>0</v>
      </c>
      <c r="CV75" s="6" t="s">
        <v>0</v>
      </c>
      <c r="CW75" s="119" t="s">
        <v>0</v>
      </c>
      <c r="CX75" s="27" t="s">
        <v>230</v>
      </c>
      <c r="CY75" s="27" t="s">
        <v>0</v>
      </c>
      <c r="CZ75" s="27" t="s">
        <v>0</v>
      </c>
      <c r="DA75" s="27" t="s">
        <v>231</v>
      </c>
      <c r="DB75" s="27" t="s">
        <v>232</v>
      </c>
      <c r="DC75" s="27" t="s">
        <v>0</v>
      </c>
      <c r="DD75" s="148" t="s">
        <v>0</v>
      </c>
      <c r="DE75" s="13" t="s">
        <v>0</v>
      </c>
      <c r="DF75" s="168" t="s">
        <v>0</v>
      </c>
      <c r="DG75" s="27" t="s">
        <v>695</v>
      </c>
      <c r="DH75" s="36" t="s">
        <v>695</v>
      </c>
      <c r="DI75" s="177" t="s">
        <v>0</v>
      </c>
    </row>
    <row r="76" spans="1:113" ht="15" customHeight="1">
      <c r="A76" s="13" t="s">
        <v>947</v>
      </c>
      <c r="B76" s="47" t="s">
        <v>766</v>
      </c>
      <c r="C76" s="7" t="s">
        <v>92</v>
      </c>
      <c r="D76" s="22">
        <v>44622</v>
      </c>
      <c r="E76" s="22">
        <v>44682</v>
      </c>
      <c r="F76" s="10" t="s">
        <v>478</v>
      </c>
      <c r="G76" s="10" t="s">
        <v>637</v>
      </c>
      <c r="H76" s="10" t="s">
        <v>1</v>
      </c>
      <c r="I76" s="42">
        <v>35962.343999999997</v>
      </c>
      <c r="J76" s="18" t="s">
        <v>1</v>
      </c>
      <c r="K76" s="9" t="s">
        <v>0</v>
      </c>
      <c r="L76" s="9" t="s">
        <v>0</v>
      </c>
      <c r="M76" s="9">
        <v>1039087</v>
      </c>
      <c r="N76" s="9">
        <f t="shared" si="22"/>
        <v>1039087</v>
      </c>
      <c r="O76" s="63" t="s">
        <v>249</v>
      </c>
      <c r="P76" s="53" t="s">
        <v>0</v>
      </c>
      <c r="Q76" s="52" t="s">
        <v>0</v>
      </c>
      <c r="R76" s="6" t="s">
        <v>0</v>
      </c>
      <c r="S76" s="6" t="s">
        <v>0</v>
      </c>
      <c r="T76" s="6" t="s">
        <v>0</v>
      </c>
      <c r="U76" s="6" t="s">
        <v>0</v>
      </c>
      <c r="V76" s="6" t="s">
        <v>0</v>
      </c>
      <c r="W76" s="6" t="s">
        <v>0</v>
      </c>
      <c r="X76" s="6" t="s">
        <v>0</v>
      </c>
      <c r="Y76" s="9" t="s">
        <v>0</v>
      </c>
      <c r="Z76" s="6" t="s">
        <v>573</v>
      </c>
      <c r="AA76" s="9">
        <v>1039087</v>
      </c>
      <c r="AB76" s="79">
        <v>0</v>
      </c>
      <c r="AC76" s="68">
        <v>0</v>
      </c>
      <c r="AD76" s="61">
        <f t="shared" si="19"/>
        <v>0</v>
      </c>
      <c r="AE76" s="10" t="s">
        <v>0</v>
      </c>
      <c r="AF76" s="10" t="s">
        <v>0</v>
      </c>
      <c r="AG76" s="10" t="s">
        <v>465</v>
      </c>
      <c r="AH76" s="10" t="s">
        <v>0</v>
      </c>
      <c r="AI76" s="26" t="s">
        <v>0</v>
      </c>
      <c r="AJ76" s="50" t="s">
        <v>305</v>
      </c>
      <c r="AK76" s="7" t="s">
        <v>0</v>
      </c>
      <c r="AL76" s="6" t="s">
        <v>122</v>
      </c>
      <c r="AM76" s="7" t="s">
        <v>0</v>
      </c>
      <c r="AN76" s="7" t="s">
        <v>305</v>
      </c>
      <c r="AO76" s="14" t="s">
        <v>565</v>
      </c>
      <c r="AP76" s="68">
        <v>2</v>
      </c>
      <c r="AQ76" s="143">
        <f>ROUND(('Data extracted'!E76-'Data extracted'!D76)/7,0)</f>
        <v>9</v>
      </c>
      <c r="AR76" s="144" t="s">
        <v>0</v>
      </c>
      <c r="AS76" s="9" t="s">
        <v>0</v>
      </c>
      <c r="AT76" s="9">
        <v>3017696</v>
      </c>
      <c r="AU76" s="7" t="s">
        <v>73</v>
      </c>
      <c r="AV76" s="7" t="s">
        <v>73</v>
      </c>
      <c r="AW76" s="5" t="s">
        <v>0</v>
      </c>
      <c r="AX76" s="26" t="s">
        <v>0</v>
      </c>
      <c r="AY76" s="9">
        <f t="shared" si="23"/>
        <v>3017696</v>
      </c>
      <c r="AZ76" s="9">
        <v>1134765</v>
      </c>
      <c r="BA76" s="9">
        <v>1882931</v>
      </c>
      <c r="BB76" s="9" t="s">
        <v>0</v>
      </c>
      <c r="BC76" s="20" t="s">
        <v>0</v>
      </c>
      <c r="BD76" s="50" t="s">
        <v>0</v>
      </c>
      <c r="BE76" s="5" t="s">
        <v>0</v>
      </c>
      <c r="BF76" s="9">
        <f t="shared" si="14"/>
        <v>0</v>
      </c>
      <c r="BG76" s="9" t="s">
        <v>0</v>
      </c>
      <c r="BH76" s="9" t="s">
        <v>0</v>
      </c>
      <c r="BI76" s="9" t="s">
        <v>0</v>
      </c>
      <c r="BJ76" s="9" t="s">
        <v>0</v>
      </c>
      <c r="BK76" s="56" t="str">
        <f t="shared" si="20"/>
        <v>#</v>
      </c>
      <c r="BL76" s="9">
        <f t="shared" si="18"/>
        <v>1039087</v>
      </c>
      <c r="BM76" s="9">
        <v>803163</v>
      </c>
      <c r="BN76" s="9">
        <f>N76-BM76</f>
        <v>235924</v>
      </c>
      <c r="BO76" s="9" t="s">
        <v>0</v>
      </c>
      <c r="BP76" s="20" t="s">
        <v>0</v>
      </c>
      <c r="BQ76" s="73" t="s">
        <v>317</v>
      </c>
      <c r="BR76" s="5" t="s">
        <v>0</v>
      </c>
      <c r="BS76" s="9">
        <f t="shared" si="16"/>
        <v>803163</v>
      </c>
      <c r="BT76" s="9">
        <v>754548</v>
      </c>
      <c r="BU76" s="9" t="s">
        <v>0</v>
      </c>
      <c r="BV76" s="9" t="s">
        <v>0</v>
      </c>
      <c r="BW76" s="9">
        <v>48615</v>
      </c>
      <c r="BX76" s="20" t="str">
        <f t="shared" si="21"/>
        <v>#</v>
      </c>
      <c r="BY76" s="6" t="s">
        <v>317</v>
      </c>
      <c r="BZ76" s="5" t="s">
        <v>0</v>
      </c>
      <c r="CA76" s="104" t="s">
        <v>380</v>
      </c>
      <c r="CB76" s="6" t="s">
        <v>673</v>
      </c>
      <c r="CC76" s="6" t="s">
        <v>684</v>
      </c>
      <c r="CD76" s="11" t="s">
        <v>318</v>
      </c>
      <c r="CE76" s="149" t="s">
        <v>0</v>
      </c>
      <c r="CF76" s="149" t="s">
        <v>0</v>
      </c>
      <c r="CG76" s="149" t="s">
        <v>0</v>
      </c>
      <c r="CH76" s="63" t="s">
        <v>0</v>
      </c>
      <c r="CI76" s="64" t="s">
        <v>0</v>
      </c>
      <c r="CJ76" s="63" t="s">
        <v>0</v>
      </c>
      <c r="CK76" s="6" t="s">
        <v>0</v>
      </c>
      <c r="CL76" s="6" t="s">
        <v>0</v>
      </c>
      <c r="CM76" s="6" t="s">
        <v>0</v>
      </c>
      <c r="CN76" s="6" t="s">
        <v>0</v>
      </c>
      <c r="CO76" s="6" t="s">
        <v>0</v>
      </c>
      <c r="CP76" s="6" t="s">
        <v>0</v>
      </c>
      <c r="CQ76" s="6" t="s">
        <v>0</v>
      </c>
      <c r="CR76" s="11" t="s">
        <v>0</v>
      </c>
      <c r="CS76" s="6" t="s">
        <v>0</v>
      </c>
      <c r="CT76" s="11" t="s">
        <v>0</v>
      </c>
      <c r="CU76" s="6" t="s">
        <v>0</v>
      </c>
      <c r="CV76" s="6" t="s">
        <v>0</v>
      </c>
      <c r="CW76" s="11" t="s">
        <v>0</v>
      </c>
      <c r="CX76" s="27" t="s">
        <v>0</v>
      </c>
      <c r="CY76" s="27" t="s">
        <v>0</v>
      </c>
      <c r="CZ76" s="27" t="s">
        <v>0</v>
      </c>
      <c r="DA76" s="27" t="s">
        <v>0</v>
      </c>
      <c r="DB76" s="27" t="s">
        <v>0</v>
      </c>
      <c r="DC76" s="27" t="s">
        <v>0</v>
      </c>
      <c r="DD76" s="148" t="s">
        <v>0</v>
      </c>
      <c r="DE76" s="13" t="s">
        <v>0</v>
      </c>
      <c r="DF76" s="168" t="s">
        <v>0</v>
      </c>
      <c r="DG76" s="27" t="s">
        <v>0</v>
      </c>
      <c r="DH76" s="36" t="s">
        <v>0</v>
      </c>
      <c r="DI76" s="177" t="s">
        <v>0</v>
      </c>
    </row>
    <row r="77" spans="1:113" ht="15" customHeight="1">
      <c r="A77" s="13" t="s">
        <v>948</v>
      </c>
      <c r="B77" s="47" t="s">
        <v>766</v>
      </c>
      <c r="C77" s="7" t="s">
        <v>92</v>
      </c>
      <c r="D77" s="22">
        <v>44622</v>
      </c>
      <c r="E77" s="22">
        <v>44682</v>
      </c>
      <c r="F77" s="10" t="s">
        <v>478</v>
      </c>
      <c r="G77" s="10" t="s">
        <v>637</v>
      </c>
      <c r="H77" s="10" t="s">
        <v>1</v>
      </c>
      <c r="I77" s="42">
        <v>35962.343999999997</v>
      </c>
      <c r="J77" s="18" t="s">
        <v>1</v>
      </c>
      <c r="K77" s="9" t="s">
        <v>0</v>
      </c>
      <c r="L77" s="9" t="s">
        <v>0</v>
      </c>
      <c r="M77" s="9">
        <v>16139251</v>
      </c>
      <c r="N77" s="9">
        <f t="shared" si="22"/>
        <v>16139251</v>
      </c>
      <c r="O77" s="63" t="s">
        <v>249</v>
      </c>
      <c r="P77" s="53" t="s">
        <v>0</v>
      </c>
      <c r="Q77" s="52" t="s">
        <v>0</v>
      </c>
      <c r="R77" s="6" t="s">
        <v>0</v>
      </c>
      <c r="S77" s="6" t="s">
        <v>0</v>
      </c>
      <c r="T77" s="6" t="s">
        <v>0</v>
      </c>
      <c r="U77" s="6" t="s">
        <v>0</v>
      </c>
      <c r="V77" s="6" t="s">
        <v>0</v>
      </c>
      <c r="W77" s="6" t="s">
        <v>0</v>
      </c>
      <c r="X77" s="6" t="s">
        <v>0</v>
      </c>
      <c r="Y77" s="9" t="s">
        <v>0</v>
      </c>
      <c r="Z77" s="6" t="s">
        <v>573</v>
      </c>
      <c r="AA77" s="79">
        <v>0</v>
      </c>
      <c r="AB77" s="9">
        <v>16139251</v>
      </c>
      <c r="AC77" s="68">
        <v>0</v>
      </c>
      <c r="AD77" s="61">
        <f t="shared" si="19"/>
        <v>1</v>
      </c>
      <c r="AE77" s="10" t="s">
        <v>0</v>
      </c>
      <c r="AF77" s="10" t="s">
        <v>0</v>
      </c>
      <c r="AG77" s="10" t="s">
        <v>465</v>
      </c>
      <c r="AH77" s="10" t="s">
        <v>0</v>
      </c>
      <c r="AI77" s="26" t="s">
        <v>0</v>
      </c>
      <c r="AJ77" s="50" t="s">
        <v>305</v>
      </c>
      <c r="AK77" s="7" t="s">
        <v>0</v>
      </c>
      <c r="AL77" s="6" t="s">
        <v>122</v>
      </c>
      <c r="AM77" s="7" t="s">
        <v>0</v>
      </c>
      <c r="AN77" s="7" t="s">
        <v>305</v>
      </c>
      <c r="AO77" s="14" t="s">
        <v>565</v>
      </c>
      <c r="AP77" s="68">
        <v>2</v>
      </c>
      <c r="AQ77" s="143">
        <f>ROUND(('Data extracted'!E77-'Data extracted'!D77)/7,0)</f>
        <v>9</v>
      </c>
      <c r="AR77" s="144" t="s">
        <v>0</v>
      </c>
      <c r="AS77" s="9" t="s">
        <v>0</v>
      </c>
      <c r="AT77" s="9">
        <v>43263650</v>
      </c>
      <c r="AU77" s="7" t="s">
        <v>73</v>
      </c>
      <c r="AV77" s="7" t="s">
        <v>73</v>
      </c>
      <c r="AW77" s="5" t="s">
        <v>0</v>
      </c>
      <c r="AX77" s="26" t="s">
        <v>0</v>
      </c>
      <c r="AY77" s="9">
        <f t="shared" si="23"/>
        <v>43263650</v>
      </c>
      <c r="AZ77" s="9">
        <v>207905</v>
      </c>
      <c r="BA77" s="9">
        <v>43055745</v>
      </c>
      <c r="BB77" s="9" t="s">
        <v>0</v>
      </c>
      <c r="BC77" s="20" t="s">
        <v>0</v>
      </c>
      <c r="BD77" s="50" t="s">
        <v>0</v>
      </c>
      <c r="BE77" s="5" t="s">
        <v>0</v>
      </c>
      <c r="BF77" s="9">
        <f t="shared" si="14"/>
        <v>0</v>
      </c>
      <c r="BG77" s="9" t="s">
        <v>0</v>
      </c>
      <c r="BH77" s="9" t="s">
        <v>0</v>
      </c>
      <c r="BI77" s="9" t="s">
        <v>0</v>
      </c>
      <c r="BJ77" s="9" t="s">
        <v>0</v>
      </c>
      <c r="BK77" s="56" t="str">
        <f t="shared" si="20"/>
        <v>#</v>
      </c>
      <c r="BL77" s="9">
        <f t="shared" si="18"/>
        <v>16139251</v>
      </c>
      <c r="BM77" s="9">
        <v>146197</v>
      </c>
      <c r="BN77" s="9">
        <f>N77-BM77</f>
        <v>15993054</v>
      </c>
      <c r="BO77" s="9" t="s">
        <v>0</v>
      </c>
      <c r="BP77" s="20" t="s">
        <v>0</v>
      </c>
      <c r="BQ77" s="73" t="s">
        <v>317</v>
      </c>
      <c r="BR77" s="5" t="s">
        <v>0</v>
      </c>
      <c r="BS77" s="9">
        <f t="shared" si="16"/>
        <v>146197</v>
      </c>
      <c r="BT77" s="9">
        <v>122119</v>
      </c>
      <c r="BU77" s="9" t="s">
        <v>0</v>
      </c>
      <c r="BV77" s="9" t="s">
        <v>0</v>
      </c>
      <c r="BW77" s="9">
        <v>24078</v>
      </c>
      <c r="BX77" s="20" t="str">
        <f t="shared" si="21"/>
        <v>#</v>
      </c>
      <c r="BY77" s="6" t="s">
        <v>317</v>
      </c>
      <c r="BZ77" s="5" t="s">
        <v>0</v>
      </c>
      <c r="CA77" s="104" t="s">
        <v>380</v>
      </c>
      <c r="CB77" s="6" t="s">
        <v>673</v>
      </c>
      <c r="CC77" s="6" t="s">
        <v>684</v>
      </c>
      <c r="CD77" s="11" t="s">
        <v>318</v>
      </c>
      <c r="CE77" s="149" t="s">
        <v>0</v>
      </c>
      <c r="CF77" s="149" t="s">
        <v>0</v>
      </c>
      <c r="CG77" s="149" t="s">
        <v>0</v>
      </c>
      <c r="CH77" s="63" t="s">
        <v>0</v>
      </c>
      <c r="CI77" s="64" t="s">
        <v>0</v>
      </c>
      <c r="CJ77" s="63" t="s">
        <v>0</v>
      </c>
      <c r="CK77" s="6" t="s">
        <v>0</v>
      </c>
      <c r="CL77" s="6" t="s">
        <v>0</v>
      </c>
      <c r="CM77" s="6" t="s">
        <v>0</v>
      </c>
      <c r="CN77" s="6" t="s">
        <v>0</v>
      </c>
      <c r="CO77" s="6" t="s">
        <v>0</v>
      </c>
      <c r="CP77" s="6" t="s">
        <v>0</v>
      </c>
      <c r="CQ77" s="6" t="s">
        <v>0</v>
      </c>
      <c r="CR77" s="11" t="s">
        <v>0</v>
      </c>
      <c r="CS77" s="6" t="s">
        <v>0</v>
      </c>
      <c r="CT77" s="11" t="s">
        <v>0</v>
      </c>
      <c r="CU77" s="6" t="s">
        <v>0</v>
      </c>
      <c r="CV77" s="6" t="s">
        <v>0</v>
      </c>
      <c r="CW77" s="11" t="s">
        <v>0</v>
      </c>
      <c r="CX77" s="27" t="s">
        <v>0</v>
      </c>
      <c r="CY77" s="27" t="s">
        <v>0</v>
      </c>
      <c r="CZ77" s="27" t="s">
        <v>0</v>
      </c>
      <c r="DA77" s="27" t="s">
        <v>0</v>
      </c>
      <c r="DB77" s="27" t="s">
        <v>0</v>
      </c>
      <c r="DC77" s="27" t="s">
        <v>0</v>
      </c>
      <c r="DD77" s="148" t="s">
        <v>0</v>
      </c>
      <c r="DE77" s="13" t="s">
        <v>0</v>
      </c>
      <c r="DF77" s="168" t="s">
        <v>0</v>
      </c>
      <c r="DG77" s="27" t="s">
        <v>0</v>
      </c>
      <c r="DH77" s="36" t="s">
        <v>0</v>
      </c>
      <c r="DI77" s="177" t="s">
        <v>0</v>
      </c>
    </row>
    <row r="78" spans="1:113" ht="15" customHeight="1">
      <c r="A78" s="13" t="s">
        <v>949</v>
      </c>
      <c r="B78" s="47" t="s">
        <v>766</v>
      </c>
      <c r="C78" s="7" t="s">
        <v>92</v>
      </c>
      <c r="D78" s="22">
        <v>44622</v>
      </c>
      <c r="E78" s="22">
        <v>44682</v>
      </c>
      <c r="F78" s="10" t="s">
        <v>478</v>
      </c>
      <c r="G78" s="10" t="s">
        <v>637</v>
      </c>
      <c r="H78" s="10" t="s">
        <v>1</v>
      </c>
      <c r="I78" s="42">
        <v>35962.343999999997</v>
      </c>
      <c r="J78" s="18" t="s">
        <v>1</v>
      </c>
      <c r="K78" s="9" t="s">
        <v>0</v>
      </c>
      <c r="L78" s="9" t="s">
        <v>0</v>
      </c>
      <c r="M78" s="9">
        <v>87387</v>
      </c>
      <c r="N78" s="9">
        <f t="shared" si="22"/>
        <v>87387</v>
      </c>
      <c r="O78" s="63" t="s">
        <v>249</v>
      </c>
      <c r="P78" s="53" t="s">
        <v>0</v>
      </c>
      <c r="Q78" s="52" t="s">
        <v>0</v>
      </c>
      <c r="R78" s="6" t="s">
        <v>0</v>
      </c>
      <c r="S78" s="6" t="s">
        <v>0</v>
      </c>
      <c r="T78" s="6" t="s">
        <v>0</v>
      </c>
      <c r="U78" s="6" t="s">
        <v>0</v>
      </c>
      <c r="V78" s="6" t="s">
        <v>0</v>
      </c>
      <c r="W78" s="6" t="s">
        <v>0</v>
      </c>
      <c r="X78" s="6" t="s">
        <v>0</v>
      </c>
      <c r="Y78" s="9" t="s">
        <v>0</v>
      </c>
      <c r="Z78" s="6" t="s">
        <v>573</v>
      </c>
      <c r="AA78" s="9">
        <v>87387</v>
      </c>
      <c r="AB78" s="79">
        <v>0</v>
      </c>
      <c r="AC78" s="68">
        <v>0</v>
      </c>
      <c r="AD78" s="61">
        <f t="shared" si="19"/>
        <v>0</v>
      </c>
      <c r="AE78" s="10" t="s">
        <v>0</v>
      </c>
      <c r="AF78" s="10" t="s">
        <v>0</v>
      </c>
      <c r="AG78" s="10" t="s">
        <v>465</v>
      </c>
      <c r="AH78" s="10" t="s">
        <v>0</v>
      </c>
      <c r="AI78" s="26" t="s">
        <v>0</v>
      </c>
      <c r="AJ78" s="50" t="s">
        <v>305</v>
      </c>
      <c r="AK78" s="7" t="s">
        <v>0</v>
      </c>
      <c r="AL78" s="6" t="s">
        <v>122</v>
      </c>
      <c r="AM78" s="7" t="s">
        <v>0</v>
      </c>
      <c r="AN78" s="7" t="s">
        <v>305</v>
      </c>
      <c r="AO78" s="14" t="s">
        <v>565</v>
      </c>
      <c r="AP78" s="68">
        <v>2</v>
      </c>
      <c r="AQ78" s="143">
        <f>ROUND(('Data extracted'!E78-'Data extracted'!D78)/7,0)</f>
        <v>9</v>
      </c>
      <c r="AR78" s="144" t="s">
        <v>0</v>
      </c>
      <c r="AS78" s="9" t="s">
        <v>0</v>
      </c>
      <c r="AT78" s="9">
        <v>206799</v>
      </c>
      <c r="AU78" s="7" t="s">
        <v>73</v>
      </c>
      <c r="AV78" s="7" t="s">
        <v>73</v>
      </c>
      <c r="AW78" s="5" t="s">
        <v>0</v>
      </c>
      <c r="AX78" s="26" t="s">
        <v>0</v>
      </c>
      <c r="AY78" s="9">
        <f t="shared" si="23"/>
        <v>206799</v>
      </c>
      <c r="AZ78" s="9">
        <v>96411</v>
      </c>
      <c r="BA78" s="9">
        <v>110388</v>
      </c>
      <c r="BB78" s="9" t="s">
        <v>0</v>
      </c>
      <c r="BC78" s="20" t="s">
        <v>0</v>
      </c>
      <c r="BD78" s="50" t="s">
        <v>0</v>
      </c>
      <c r="BE78" s="5" t="s">
        <v>0</v>
      </c>
      <c r="BF78" s="9">
        <f t="shared" si="14"/>
        <v>0</v>
      </c>
      <c r="BG78" s="9" t="s">
        <v>0</v>
      </c>
      <c r="BH78" s="9" t="s">
        <v>0</v>
      </c>
      <c r="BI78" s="9" t="s">
        <v>0</v>
      </c>
      <c r="BJ78" s="9" t="s">
        <v>0</v>
      </c>
      <c r="BK78" s="56" t="str">
        <f t="shared" si="20"/>
        <v>#</v>
      </c>
      <c r="BL78" s="9">
        <f t="shared" si="18"/>
        <v>87387</v>
      </c>
      <c r="BM78" s="9">
        <v>74520</v>
      </c>
      <c r="BN78" s="9">
        <f>N78-BM78</f>
        <v>12867</v>
      </c>
      <c r="BO78" s="9" t="s">
        <v>0</v>
      </c>
      <c r="BP78" s="20" t="s">
        <v>0</v>
      </c>
      <c r="BQ78" s="73" t="s">
        <v>317</v>
      </c>
      <c r="BR78" s="5" t="s">
        <v>0</v>
      </c>
      <c r="BS78" s="9">
        <f t="shared" si="16"/>
        <v>74520</v>
      </c>
      <c r="BT78" s="9">
        <v>61168</v>
      </c>
      <c r="BU78" s="9" t="s">
        <v>0</v>
      </c>
      <c r="BV78" s="9" t="s">
        <v>0</v>
      </c>
      <c r="BW78" s="9">
        <v>13352</v>
      </c>
      <c r="BX78" s="20" t="str">
        <f t="shared" si="21"/>
        <v>#</v>
      </c>
      <c r="BY78" s="6" t="s">
        <v>317</v>
      </c>
      <c r="BZ78" s="5" t="s">
        <v>0</v>
      </c>
      <c r="CA78" s="104" t="s">
        <v>380</v>
      </c>
      <c r="CB78" s="6" t="s">
        <v>673</v>
      </c>
      <c r="CC78" s="6" t="s">
        <v>684</v>
      </c>
      <c r="CD78" s="11" t="s">
        <v>319</v>
      </c>
      <c r="CE78" s="149" t="s">
        <v>0</v>
      </c>
      <c r="CF78" s="149" t="s">
        <v>0</v>
      </c>
      <c r="CG78" s="149" t="s">
        <v>0</v>
      </c>
      <c r="CH78" s="63" t="s">
        <v>0</v>
      </c>
      <c r="CI78" s="64" t="s">
        <v>0</v>
      </c>
      <c r="CJ78" s="63" t="s">
        <v>0</v>
      </c>
      <c r="CK78" s="6" t="s">
        <v>0</v>
      </c>
      <c r="CL78" s="6" t="s">
        <v>0</v>
      </c>
      <c r="CM78" s="6" t="s">
        <v>0</v>
      </c>
      <c r="CN78" s="6" t="s">
        <v>0</v>
      </c>
      <c r="CO78" s="6" t="s">
        <v>0</v>
      </c>
      <c r="CP78" s="6" t="s">
        <v>0</v>
      </c>
      <c r="CQ78" s="6" t="s">
        <v>0</v>
      </c>
      <c r="CR78" s="11" t="s">
        <v>0</v>
      </c>
      <c r="CS78" s="6" t="s">
        <v>0</v>
      </c>
      <c r="CT78" s="11" t="s">
        <v>0</v>
      </c>
      <c r="CU78" s="6" t="s">
        <v>0</v>
      </c>
      <c r="CV78" s="6" t="s">
        <v>0</v>
      </c>
      <c r="CW78" s="11" t="s">
        <v>0</v>
      </c>
      <c r="CX78" s="27" t="s">
        <v>0</v>
      </c>
      <c r="CY78" s="27" t="s">
        <v>0</v>
      </c>
      <c r="CZ78" s="27" t="s">
        <v>0</v>
      </c>
      <c r="DA78" s="27" t="s">
        <v>0</v>
      </c>
      <c r="DB78" s="27" t="s">
        <v>0</v>
      </c>
      <c r="DC78" s="27" t="s">
        <v>0</v>
      </c>
      <c r="DD78" s="148" t="s">
        <v>0</v>
      </c>
      <c r="DE78" s="13" t="s">
        <v>0</v>
      </c>
      <c r="DF78" s="168" t="s">
        <v>0</v>
      </c>
      <c r="DG78" s="27" t="s">
        <v>0</v>
      </c>
      <c r="DH78" s="36" t="s">
        <v>0</v>
      </c>
      <c r="DI78" s="177" t="s">
        <v>0</v>
      </c>
    </row>
    <row r="79" spans="1:113" ht="15" customHeight="1">
      <c r="A79" s="13" t="s">
        <v>950</v>
      </c>
      <c r="B79" s="47" t="s">
        <v>766</v>
      </c>
      <c r="C79" s="7" t="s">
        <v>92</v>
      </c>
      <c r="D79" s="22">
        <v>44622</v>
      </c>
      <c r="E79" s="22">
        <v>44682</v>
      </c>
      <c r="F79" s="10" t="s">
        <v>478</v>
      </c>
      <c r="G79" s="10" t="s">
        <v>637</v>
      </c>
      <c r="H79" s="10" t="s">
        <v>1</v>
      </c>
      <c r="I79" s="42">
        <v>35962.343999999997</v>
      </c>
      <c r="J79" s="18" t="s">
        <v>1</v>
      </c>
      <c r="K79" s="9" t="s">
        <v>0</v>
      </c>
      <c r="L79" s="9" t="s">
        <v>0</v>
      </c>
      <c r="M79" s="9">
        <v>2192850</v>
      </c>
      <c r="N79" s="9">
        <f t="shared" si="22"/>
        <v>2192850</v>
      </c>
      <c r="O79" s="63" t="s">
        <v>249</v>
      </c>
      <c r="P79" s="53" t="s">
        <v>0</v>
      </c>
      <c r="Q79" s="52" t="s">
        <v>0</v>
      </c>
      <c r="R79" s="6" t="s">
        <v>0</v>
      </c>
      <c r="S79" s="6" t="s">
        <v>0</v>
      </c>
      <c r="T79" s="6" t="s">
        <v>0</v>
      </c>
      <c r="U79" s="6" t="s">
        <v>0</v>
      </c>
      <c r="V79" s="6" t="s">
        <v>0</v>
      </c>
      <c r="W79" s="6" t="s">
        <v>0</v>
      </c>
      <c r="X79" s="6" t="s">
        <v>0</v>
      </c>
      <c r="Y79" s="9" t="s">
        <v>0</v>
      </c>
      <c r="Z79" s="6" t="s">
        <v>573</v>
      </c>
      <c r="AA79" s="9">
        <v>0</v>
      </c>
      <c r="AB79" s="9">
        <v>2192850</v>
      </c>
      <c r="AC79" s="68">
        <v>0</v>
      </c>
      <c r="AD79" s="61">
        <f t="shared" si="19"/>
        <v>1</v>
      </c>
      <c r="AE79" s="10" t="s">
        <v>0</v>
      </c>
      <c r="AF79" s="10" t="s">
        <v>0</v>
      </c>
      <c r="AG79" s="10" t="s">
        <v>465</v>
      </c>
      <c r="AH79" s="10" t="s">
        <v>0</v>
      </c>
      <c r="AI79" s="26" t="s">
        <v>0</v>
      </c>
      <c r="AJ79" s="50" t="s">
        <v>305</v>
      </c>
      <c r="AK79" s="7" t="s">
        <v>0</v>
      </c>
      <c r="AL79" s="6" t="s">
        <v>122</v>
      </c>
      <c r="AM79" s="7" t="s">
        <v>0</v>
      </c>
      <c r="AN79" s="7" t="s">
        <v>305</v>
      </c>
      <c r="AO79" s="14" t="s">
        <v>565</v>
      </c>
      <c r="AP79" s="68">
        <v>2</v>
      </c>
      <c r="AQ79" s="143">
        <f>ROUND(('Data extracted'!E79-'Data extracted'!D79)/7,0)</f>
        <v>9</v>
      </c>
      <c r="AR79" s="144" t="s">
        <v>0</v>
      </c>
      <c r="AS79" s="9" t="s">
        <v>0</v>
      </c>
      <c r="AT79" s="9">
        <v>4187241</v>
      </c>
      <c r="AU79" s="7" t="s">
        <v>73</v>
      </c>
      <c r="AV79" s="7" t="s">
        <v>73</v>
      </c>
      <c r="AW79" s="5" t="s">
        <v>0</v>
      </c>
      <c r="AX79" s="26" t="s">
        <v>0</v>
      </c>
      <c r="AY79" s="9">
        <f t="shared" si="23"/>
        <v>4187241</v>
      </c>
      <c r="AZ79" s="9">
        <v>10226</v>
      </c>
      <c r="BA79" s="9">
        <v>4177015</v>
      </c>
      <c r="BB79" s="9" t="s">
        <v>0</v>
      </c>
      <c r="BC79" s="20" t="s">
        <v>0</v>
      </c>
      <c r="BD79" s="50" t="s">
        <v>0</v>
      </c>
      <c r="BE79" s="5" t="s">
        <v>0</v>
      </c>
      <c r="BF79" s="9">
        <f t="shared" si="14"/>
        <v>0</v>
      </c>
      <c r="BG79" s="9" t="s">
        <v>0</v>
      </c>
      <c r="BH79" s="9" t="s">
        <v>0</v>
      </c>
      <c r="BI79" s="9" t="s">
        <v>0</v>
      </c>
      <c r="BJ79" s="9" t="s">
        <v>0</v>
      </c>
      <c r="BK79" s="56" t="str">
        <f t="shared" si="20"/>
        <v>#</v>
      </c>
      <c r="BL79" s="9">
        <f t="shared" si="18"/>
        <v>2192850</v>
      </c>
      <c r="BM79" s="9">
        <v>7969</v>
      </c>
      <c r="BN79" s="9">
        <f>N79-BM79</f>
        <v>2184881</v>
      </c>
      <c r="BO79" s="9" t="s">
        <v>0</v>
      </c>
      <c r="BP79" s="20" t="s">
        <v>0</v>
      </c>
      <c r="BQ79" s="73" t="s">
        <v>317</v>
      </c>
      <c r="BR79" s="5" t="s">
        <v>0</v>
      </c>
      <c r="BS79" s="9">
        <f t="shared" si="16"/>
        <v>7969</v>
      </c>
      <c r="BT79" s="9">
        <v>5507</v>
      </c>
      <c r="BU79" s="9" t="s">
        <v>0</v>
      </c>
      <c r="BV79" s="9" t="s">
        <v>0</v>
      </c>
      <c r="BW79" s="9">
        <v>2462</v>
      </c>
      <c r="BX79" s="20" t="str">
        <f t="shared" si="21"/>
        <v>#</v>
      </c>
      <c r="BY79" s="6" t="s">
        <v>317</v>
      </c>
      <c r="BZ79" s="5" t="s">
        <v>0</v>
      </c>
      <c r="CA79" s="104" t="s">
        <v>380</v>
      </c>
      <c r="CB79" s="6" t="s">
        <v>673</v>
      </c>
      <c r="CC79" s="6" t="s">
        <v>684</v>
      </c>
      <c r="CD79" s="11" t="s">
        <v>319</v>
      </c>
      <c r="CE79" s="149" t="s">
        <v>0</v>
      </c>
      <c r="CF79" s="149" t="s">
        <v>0</v>
      </c>
      <c r="CG79" s="149" t="s">
        <v>0</v>
      </c>
      <c r="CH79" s="63" t="s">
        <v>0</v>
      </c>
      <c r="CI79" s="64" t="s">
        <v>0</v>
      </c>
      <c r="CJ79" s="63" t="s">
        <v>0</v>
      </c>
      <c r="CK79" s="6" t="s">
        <v>0</v>
      </c>
      <c r="CL79" s="6" t="s">
        <v>0</v>
      </c>
      <c r="CM79" s="6" t="s">
        <v>0</v>
      </c>
      <c r="CN79" s="6" t="s">
        <v>0</v>
      </c>
      <c r="CO79" s="6" t="s">
        <v>0</v>
      </c>
      <c r="CP79" s="6" t="s">
        <v>0</v>
      </c>
      <c r="CQ79" s="6" t="s">
        <v>0</v>
      </c>
      <c r="CR79" s="11" t="s">
        <v>0</v>
      </c>
      <c r="CS79" s="6" t="s">
        <v>0</v>
      </c>
      <c r="CT79" s="11" t="s">
        <v>0</v>
      </c>
      <c r="CU79" s="6" t="s">
        <v>0</v>
      </c>
      <c r="CV79" s="6" t="s">
        <v>0</v>
      </c>
      <c r="CW79" s="11" t="s">
        <v>0</v>
      </c>
      <c r="CX79" s="27" t="s">
        <v>0</v>
      </c>
      <c r="CY79" s="27" t="s">
        <v>0</v>
      </c>
      <c r="CZ79" s="27" t="s">
        <v>0</v>
      </c>
      <c r="DA79" s="27" t="s">
        <v>0</v>
      </c>
      <c r="DB79" s="27" t="s">
        <v>0</v>
      </c>
      <c r="DC79" s="27" t="s">
        <v>0</v>
      </c>
      <c r="DD79" s="148" t="s">
        <v>0</v>
      </c>
      <c r="DE79" s="13" t="s">
        <v>0</v>
      </c>
      <c r="DF79" s="168" t="s">
        <v>0</v>
      </c>
      <c r="DG79" s="27" t="s">
        <v>0</v>
      </c>
      <c r="DH79" s="36" t="s">
        <v>0</v>
      </c>
      <c r="DI79" s="177" t="s">
        <v>0</v>
      </c>
    </row>
    <row r="80" spans="1:113" ht="15" customHeight="1">
      <c r="A80" s="13" t="s">
        <v>870</v>
      </c>
      <c r="B80" s="47" t="s">
        <v>786</v>
      </c>
      <c r="C80" s="7" t="s">
        <v>92</v>
      </c>
      <c r="D80" s="22">
        <v>44348</v>
      </c>
      <c r="E80" s="22">
        <v>44435</v>
      </c>
      <c r="F80" s="10" t="s">
        <v>93</v>
      </c>
      <c r="G80" s="10" t="s">
        <v>814</v>
      </c>
      <c r="H80" s="10" t="s">
        <v>1</v>
      </c>
      <c r="I80" s="45">
        <v>56660.868000000002</v>
      </c>
      <c r="J80" s="18" t="s">
        <v>1</v>
      </c>
      <c r="K80" s="9">
        <v>105</v>
      </c>
      <c r="L80" s="9" t="s">
        <v>0</v>
      </c>
      <c r="M80" s="9" t="s">
        <v>0</v>
      </c>
      <c r="N80" s="9">
        <f t="shared" si="22"/>
        <v>105</v>
      </c>
      <c r="O80" s="63" t="s">
        <v>249</v>
      </c>
      <c r="P80" s="53" t="s">
        <v>0</v>
      </c>
      <c r="Q80" s="52" t="s">
        <v>0</v>
      </c>
      <c r="R80" s="6" t="s">
        <v>0</v>
      </c>
      <c r="S80" s="6" t="s">
        <v>0</v>
      </c>
      <c r="T80" s="6" t="s">
        <v>0</v>
      </c>
      <c r="U80" s="6" t="s">
        <v>0</v>
      </c>
      <c r="V80" s="6" t="s">
        <v>0</v>
      </c>
      <c r="W80" s="6" t="s">
        <v>0</v>
      </c>
      <c r="X80" s="6" t="s">
        <v>0</v>
      </c>
      <c r="Y80" s="9" t="s">
        <v>0</v>
      </c>
      <c r="Z80" s="6" t="s">
        <v>305</v>
      </c>
      <c r="AA80" s="9">
        <v>0</v>
      </c>
      <c r="AB80" s="79">
        <v>105</v>
      </c>
      <c r="AC80" s="68">
        <v>0</v>
      </c>
      <c r="AD80" s="61">
        <v>1</v>
      </c>
      <c r="AE80" s="10" t="s">
        <v>0</v>
      </c>
      <c r="AF80" s="10" t="s">
        <v>801</v>
      </c>
      <c r="AG80" s="10" t="s">
        <v>465</v>
      </c>
      <c r="AH80" s="10" t="s">
        <v>0</v>
      </c>
      <c r="AI80" s="26" t="s">
        <v>0</v>
      </c>
      <c r="AJ80" s="6" t="s">
        <v>305</v>
      </c>
      <c r="AK80" s="7" t="s">
        <v>0</v>
      </c>
      <c r="AL80" s="6" t="s">
        <v>0</v>
      </c>
      <c r="AM80" s="7" t="s">
        <v>0</v>
      </c>
      <c r="AN80" s="7" t="s">
        <v>305</v>
      </c>
      <c r="AO80" s="14" t="s">
        <v>565</v>
      </c>
      <c r="AP80" s="68">
        <v>7</v>
      </c>
      <c r="AQ80" s="143">
        <v>1</v>
      </c>
      <c r="AR80" s="170" t="s">
        <v>0</v>
      </c>
      <c r="AS80" s="9">
        <v>280</v>
      </c>
      <c r="AT80" s="9">
        <v>280</v>
      </c>
      <c r="AU80" s="7" t="s">
        <v>73</v>
      </c>
      <c r="AV80" s="7" t="s">
        <v>72</v>
      </c>
      <c r="AW80" s="5" t="s">
        <v>800</v>
      </c>
      <c r="AX80" s="26" t="s">
        <v>0</v>
      </c>
      <c r="AY80" s="9">
        <f t="shared" si="23"/>
        <v>280</v>
      </c>
      <c r="AZ80" s="9">
        <v>0</v>
      </c>
      <c r="BA80" s="9">
        <v>280</v>
      </c>
      <c r="BB80" s="9">
        <v>0</v>
      </c>
      <c r="BC80" s="20" t="s">
        <v>0</v>
      </c>
      <c r="BD80" s="50" t="s">
        <v>0</v>
      </c>
      <c r="BE80" s="5" t="s">
        <v>0</v>
      </c>
      <c r="BF80" s="9" t="s">
        <v>0</v>
      </c>
      <c r="BG80" s="9" t="s">
        <v>0</v>
      </c>
      <c r="BH80" s="9" t="s">
        <v>0</v>
      </c>
      <c r="BI80" s="9" t="s">
        <v>0</v>
      </c>
      <c r="BJ80" s="9" t="s">
        <v>0</v>
      </c>
      <c r="BK80" s="56" t="s">
        <v>0</v>
      </c>
      <c r="BL80" s="9" t="s">
        <v>0</v>
      </c>
      <c r="BM80" s="9">
        <v>0</v>
      </c>
      <c r="BN80" s="9" t="s">
        <v>0</v>
      </c>
      <c r="BO80" s="9">
        <v>0</v>
      </c>
      <c r="BP80" s="20" t="s">
        <v>0</v>
      </c>
      <c r="BQ80" s="73" t="s">
        <v>0</v>
      </c>
      <c r="BR80" s="5" t="s">
        <v>0</v>
      </c>
      <c r="BS80" s="9" t="s">
        <v>0</v>
      </c>
      <c r="BT80" s="9" t="s">
        <v>0</v>
      </c>
      <c r="BU80" s="9" t="s">
        <v>0</v>
      </c>
      <c r="BV80" s="9" t="s">
        <v>0</v>
      </c>
      <c r="BW80" s="9" t="s">
        <v>0</v>
      </c>
      <c r="BX80" s="20" t="s">
        <v>0</v>
      </c>
      <c r="BY80" s="6" t="s">
        <v>1</v>
      </c>
      <c r="BZ80" s="5" t="s">
        <v>0</v>
      </c>
      <c r="CA80" s="6" t="s">
        <v>0</v>
      </c>
      <c r="CB80" s="6" t="s">
        <v>0</v>
      </c>
      <c r="CC80" s="6" t="s">
        <v>0</v>
      </c>
      <c r="CD80" s="11" t="s">
        <v>802</v>
      </c>
      <c r="CE80" s="149" t="s">
        <v>0</v>
      </c>
      <c r="CF80" s="149" t="s">
        <v>0</v>
      </c>
      <c r="CG80" s="149" t="s">
        <v>0</v>
      </c>
      <c r="CH80" s="63" t="s">
        <v>0</v>
      </c>
      <c r="CI80" s="64" t="s">
        <v>0</v>
      </c>
      <c r="CJ80" s="63" t="s">
        <v>0</v>
      </c>
      <c r="CK80" s="6" t="s">
        <v>0</v>
      </c>
      <c r="CL80" s="6" t="s">
        <v>0</v>
      </c>
      <c r="CM80" s="6" t="s">
        <v>0</v>
      </c>
      <c r="CN80" s="6" t="s">
        <v>0</v>
      </c>
      <c r="CO80" s="6" t="s">
        <v>0</v>
      </c>
      <c r="CP80" s="6" t="s">
        <v>0</v>
      </c>
      <c r="CQ80" s="6" t="s">
        <v>0</v>
      </c>
      <c r="CR80" s="11" t="s">
        <v>0</v>
      </c>
      <c r="CS80" s="6" t="s">
        <v>0</v>
      </c>
      <c r="CT80" s="11" t="s">
        <v>0</v>
      </c>
      <c r="CU80" s="6" t="s">
        <v>0</v>
      </c>
      <c r="CV80" s="6" t="s">
        <v>0</v>
      </c>
      <c r="CW80" s="11" t="s">
        <v>0</v>
      </c>
      <c r="CX80" s="27" t="s">
        <v>803</v>
      </c>
      <c r="CY80" s="27" t="s">
        <v>824</v>
      </c>
      <c r="CZ80" s="27" t="s">
        <v>0</v>
      </c>
      <c r="DA80" s="27" t="s">
        <v>804</v>
      </c>
      <c r="DB80" s="27" t="s">
        <v>825</v>
      </c>
      <c r="DC80" s="27" t="s">
        <v>0</v>
      </c>
      <c r="DD80" s="148" t="s">
        <v>0</v>
      </c>
      <c r="DE80" s="13" t="s">
        <v>0</v>
      </c>
      <c r="DF80" s="168" t="s">
        <v>0</v>
      </c>
      <c r="DG80" s="27" t="s">
        <v>0</v>
      </c>
      <c r="DH80" s="36" t="s">
        <v>0</v>
      </c>
      <c r="DI80" s="177" t="s">
        <v>0</v>
      </c>
    </row>
    <row r="81" spans="1:113" ht="15" customHeight="1">
      <c r="A81" s="13" t="s">
        <v>951</v>
      </c>
      <c r="B81" s="47" t="s">
        <v>793</v>
      </c>
      <c r="C81" s="7" t="s">
        <v>92</v>
      </c>
      <c r="D81" s="22">
        <v>44914</v>
      </c>
      <c r="E81" s="22">
        <v>45166</v>
      </c>
      <c r="F81" s="10" t="s">
        <v>109</v>
      </c>
      <c r="G81" s="10" t="s">
        <v>829</v>
      </c>
      <c r="H81" s="10" t="s">
        <v>361</v>
      </c>
      <c r="I81" s="41">
        <v>89598.86</v>
      </c>
      <c r="J81" s="18" t="s">
        <v>1</v>
      </c>
      <c r="K81" s="9">
        <v>2117</v>
      </c>
      <c r="L81" s="9">
        <v>729</v>
      </c>
      <c r="M81" s="9" t="s">
        <v>0</v>
      </c>
      <c r="N81" s="9">
        <f t="shared" si="22"/>
        <v>2117</v>
      </c>
      <c r="O81" s="63" t="s">
        <v>242</v>
      </c>
      <c r="P81" s="50">
        <v>49</v>
      </c>
      <c r="Q81" s="6">
        <v>14.6</v>
      </c>
      <c r="R81" s="6" t="s">
        <v>0</v>
      </c>
      <c r="S81" s="6" t="s">
        <v>0</v>
      </c>
      <c r="T81" s="6" t="s">
        <v>0</v>
      </c>
      <c r="U81" s="6" t="s">
        <v>0</v>
      </c>
      <c r="V81" s="6" t="s">
        <v>0</v>
      </c>
      <c r="W81" s="6">
        <v>1451</v>
      </c>
      <c r="X81" s="6">
        <v>665</v>
      </c>
      <c r="Y81" s="9">
        <v>1</v>
      </c>
      <c r="Z81" s="6" t="s">
        <v>96</v>
      </c>
      <c r="AA81" s="9" t="s">
        <v>0</v>
      </c>
      <c r="AB81" s="9" t="s">
        <v>0</v>
      </c>
      <c r="AC81" s="68" t="s">
        <v>0</v>
      </c>
      <c r="AD81" s="61">
        <v>0</v>
      </c>
      <c r="AE81" s="10" t="s">
        <v>0</v>
      </c>
      <c r="AF81" s="10" t="s">
        <v>0</v>
      </c>
      <c r="AG81" s="10" t="s">
        <v>465</v>
      </c>
      <c r="AH81" s="10" t="s">
        <v>0</v>
      </c>
      <c r="AI81" s="26" t="s">
        <v>0</v>
      </c>
      <c r="AJ81" s="6" t="s">
        <v>305</v>
      </c>
      <c r="AK81" s="7" t="s">
        <v>0</v>
      </c>
      <c r="AL81" s="6" t="s">
        <v>0</v>
      </c>
      <c r="AM81" s="7" t="s">
        <v>831</v>
      </c>
      <c r="AN81" s="7" t="s">
        <v>305</v>
      </c>
      <c r="AO81" s="5" t="s">
        <v>305</v>
      </c>
      <c r="AP81" s="68" t="s">
        <v>0</v>
      </c>
      <c r="AQ81" s="143">
        <f>ROUND(('Data extracted'!E81-'Data extracted'!D81)/7,0)</f>
        <v>36</v>
      </c>
      <c r="AR81" s="144" t="s">
        <v>0</v>
      </c>
      <c r="AS81" s="9" t="s">
        <v>0</v>
      </c>
      <c r="AT81" s="9" t="s">
        <v>0</v>
      </c>
      <c r="AU81" s="7" t="s">
        <v>0</v>
      </c>
      <c r="AV81" s="7" t="s">
        <v>0</v>
      </c>
      <c r="AW81" s="5" t="s">
        <v>832</v>
      </c>
      <c r="AX81" s="26" t="s">
        <v>0</v>
      </c>
      <c r="AY81" s="9" t="s">
        <v>0</v>
      </c>
      <c r="AZ81" s="9" t="s">
        <v>0</v>
      </c>
      <c r="BA81" s="9" t="s">
        <v>0</v>
      </c>
      <c r="BB81" s="9" t="s">
        <v>0</v>
      </c>
      <c r="BC81" s="20" t="s">
        <v>0</v>
      </c>
      <c r="BD81" s="50" t="s">
        <v>0</v>
      </c>
      <c r="BE81" s="5" t="s">
        <v>0</v>
      </c>
      <c r="BF81" s="9" t="s">
        <v>0</v>
      </c>
      <c r="BG81" s="9" t="s">
        <v>0</v>
      </c>
      <c r="BH81" s="9" t="s">
        <v>0</v>
      </c>
      <c r="BI81" s="9" t="s">
        <v>0</v>
      </c>
      <c r="BJ81" s="9" t="s">
        <v>0</v>
      </c>
      <c r="BK81" s="56" t="s">
        <v>0</v>
      </c>
      <c r="BL81" s="9" t="s">
        <v>0</v>
      </c>
      <c r="BM81" s="9" t="s">
        <v>0</v>
      </c>
      <c r="BN81" s="9" t="s">
        <v>0</v>
      </c>
      <c r="BO81" s="9" t="s">
        <v>0</v>
      </c>
      <c r="BP81" s="20" t="s">
        <v>0</v>
      </c>
      <c r="BQ81" s="73" t="s">
        <v>0</v>
      </c>
      <c r="BR81" s="5" t="s">
        <v>0</v>
      </c>
      <c r="BS81" s="9" t="s">
        <v>0</v>
      </c>
      <c r="BT81" s="9" t="s">
        <v>0</v>
      </c>
      <c r="BU81" s="9" t="s">
        <v>0</v>
      </c>
      <c r="BV81" s="9" t="s">
        <v>0</v>
      </c>
      <c r="BW81" s="9" t="s">
        <v>0</v>
      </c>
      <c r="BX81" s="20" t="s">
        <v>0</v>
      </c>
      <c r="BY81" s="6" t="s">
        <v>1</v>
      </c>
      <c r="BZ81" s="5" t="s">
        <v>0</v>
      </c>
      <c r="CA81" s="6" t="s">
        <v>0</v>
      </c>
      <c r="CB81" s="6" t="s">
        <v>0</v>
      </c>
      <c r="CC81" s="6" t="s">
        <v>0</v>
      </c>
      <c r="CD81" s="11" t="s">
        <v>0</v>
      </c>
      <c r="CE81" s="149" t="s">
        <v>0</v>
      </c>
      <c r="CF81" s="149" t="s">
        <v>0</v>
      </c>
      <c r="CG81" s="149" t="s">
        <v>0</v>
      </c>
      <c r="CH81" s="63" t="s">
        <v>0</v>
      </c>
      <c r="CI81" s="64" t="s">
        <v>0</v>
      </c>
      <c r="CJ81" s="63" t="s">
        <v>0</v>
      </c>
      <c r="CK81" s="6" t="s">
        <v>0</v>
      </c>
      <c r="CL81" s="6" t="s">
        <v>0</v>
      </c>
      <c r="CM81" s="6" t="s">
        <v>0</v>
      </c>
      <c r="CN81" s="6" t="s">
        <v>0</v>
      </c>
      <c r="CO81" s="6" t="s">
        <v>0</v>
      </c>
      <c r="CP81" s="6" t="s">
        <v>0</v>
      </c>
      <c r="CQ81" s="6" t="s">
        <v>0</v>
      </c>
      <c r="CR81" s="11" t="s">
        <v>0</v>
      </c>
      <c r="CS81" s="6" t="s">
        <v>0</v>
      </c>
      <c r="CT81" s="11" t="s">
        <v>0</v>
      </c>
      <c r="CU81" s="6" t="s">
        <v>0</v>
      </c>
      <c r="CV81" s="6" t="s">
        <v>0</v>
      </c>
      <c r="CW81" s="11" t="s">
        <v>0</v>
      </c>
      <c r="CX81" s="27" t="s">
        <v>0</v>
      </c>
      <c r="CY81" s="27" t="s">
        <v>0</v>
      </c>
      <c r="CZ81" s="27" t="s">
        <v>0</v>
      </c>
      <c r="DA81" s="27" t="s">
        <v>0</v>
      </c>
      <c r="DB81" s="27" t="s">
        <v>0</v>
      </c>
      <c r="DC81" s="27" t="s">
        <v>0</v>
      </c>
      <c r="DD81" s="148" t="s">
        <v>0</v>
      </c>
      <c r="DE81" s="13" t="s">
        <v>0</v>
      </c>
      <c r="DF81" s="168" t="s">
        <v>0</v>
      </c>
      <c r="DG81" s="27" t="s">
        <v>0</v>
      </c>
      <c r="DH81" s="36" t="s">
        <v>0</v>
      </c>
      <c r="DI81" s="177" t="s">
        <v>0</v>
      </c>
    </row>
    <row r="82" spans="1:113" ht="15" customHeight="1">
      <c r="A82" s="13" t="s">
        <v>871</v>
      </c>
      <c r="B82" s="47" t="s">
        <v>784</v>
      </c>
      <c r="C82" s="7" t="s">
        <v>92</v>
      </c>
      <c r="D82" s="22">
        <v>44757</v>
      </c>
      <c r="E82" s="22">
        <v>44849</v>
      </c>
      <c r="F82" s="10" t="s">
        <v>796</v>
      </c>
      <c r="G82" s="10" t="s">
        <v>816</v>
      </c>
      <c r="H82" s="10" t="s">
        <v>104</v>
      </c>
      <c r="I82" s="42">
        <v>1301.7370000000001</v>
      </c>
      <c r="J82" s="18" t="s">
        <v>1</v>
      </c>
      <c r="K82" s="9">
        <v>517</v>
      </c>
      <c r="L82" s="9">
        <v>149</v>
      </c>
      <c r="M82" s="9" t="s">
        <v>0</v>
      </c>
      <c r="N82" s="9">
        <f t="shared" si="22"/>
        <v>517</v>
      </c>
      <c r="O82" s="63" t="s">
        <v>249</v>
      </c>
      <c r="P82" s="53" t="s">
        <v>0</v>
      </c>
      <c r="Q82" s="52" t="s">
        <v>0</v>
      </c>
      <c r="R82" s="6" t="s">
        <v>0</v>
      </c>
      <c r="S82" s="6" t="s">
        <v>0</v>
      </c>
      <c r="T82" s="6" t="s">
        <v>0</v>
      </c>
      <c r="U82" s="6" t="s">
        <v>0</v>
      </c>
      <c r="V82" s="6">
        <v>18</v>
      </c>
      <c r="W82" s="6">
        <v>20</v>
      </c>
      <c r="X82" s="6">
        <v>129</v>
      </c>
      <c r="Y82" s="9">
        <v>0</v>
      </c>
      <c r="Z82" s="6" t="s">
        <v>96</v>
      </c>
      <c r="AA82" s="9" t="s">
        <v>0</v>
      </c>
      <c r="AB82" s="79" t="s">
        <v>0</v>
      </c>
      <c r="AC82" s="68">
        <v>149</v>
      </c>
      <c r="AD82" s="61">
        <v>0</v>
      </c>
      <c r="AE82" s="10" t="s">
        <v>0</v>
      </c>
      <c r="AF82" s="10" t="s">
        <v>0</v>
      </c>
      <c r="AG82" s="10" t="s">
        <v>465</v>
      </c>
      <c r="AH82" s="10" t="s">
        <v>0</v>
      </c>
      <c r="AI82" s="26" t="s">
        <v>0</v>
      </c>
      <c r="AJ82" s="50" t="s">
        <v>817</v>
      </c>
      <c r="AK82" s="7" t="s">
        <v>73</v>
      </c>
      <c r="AL82" s="6" t="s">
        <v>122</v>
      </c>
      <c r="AM82" s="7" t="s">
        <v>136</v>
      </c>
      <c r="AN82" s="7" t="s">
        <v>136</v>
      </c>
      <c r="AO82" s="14" t="s">
        <v>564</v>
      </c>
      <c r="AP82" s="68" t="s">
        <v>0</v>
      </c>
      <c r="AQ82" s="143">
        <f>ROUND(('Data extracted'!E82-'Data extracted'!D82)/7,0)</f>
        <v>13</v>
      </c>
      <c r="AR82" s="170">
        <v>149</v>
      </c>
      <c r="AS82" s="9" t="s">
        <v>0</v>
      </c>
      <c r="AT82" s="9" t="s">
        <v>0</v>
      </c>
      <c r="AU82" s="7" t="s">
        <v>73</v>
      </c>
      <c r="AV82" s="7" t="s">
        <v>1</v>
      </c>
      <c r="AW82" s="5" t="s">
        <v>822</v>
      </c>
      <c r="AX82" s="26" t="s">
        <v>0</v>
      </c>
      <c r="AY82" s="9" t="s">
        <v>0</v>
      </c>
      <c r="AZ82" s="9" t="s">
        <v>0</v>
      </c>
      <c r="BA82" s="9" t="s">
        <v>0</v>
      </c>
      <c r="BB82" s="9" t="s">
        <v>0</v>
      </c>
      <c r="BC82" s="20" t="s">
        <v>0</v>
      </c>
      <c r="BD82" s="50" t="s">
        <v>0</v>
      </c>
      <c r="BE82" s="5" t="s">
        <v>0</v>
      </c>
      <c r="BF82" s="9" t="s">
        <v>0</v>
      </c>
      <c r="BG82" s="9" t="s">
        <v>0</v>
      </c>
      <c r="BH82" s="9" t="s">
        <v>0</v>
      </c>
      <c r="BI82" s="9" t="s">
        <v>0</v>
      </c>
      <c r="BJ82" s="9" t="s">
        <v>0</v>
      </c>
      <c r="BK82" s="56" t="s">
        <v>0</v>
      </c>
      <c r="BL82" s="9" t="s">
        <v>0</v>
      </c>
      <c r="BM82" s="9" t="s">
        <v>0</v>
      </c>
      <c r="BN82" s="9" t="s">
        <v>0</v>
      </c>
      <c r="BO82" s="9" t="s">
        <v>0</v>
      </c>
      <c r="BP82" s="20" t="s">
        <v>0</v>
      </c>
      <c r="BQ82" s="73" t="s">
        <v>0</v>
      </c>
      <c r="BR82" s="5" t="s">
        <v>0</v>
      </c>
      <c r="BS82" s="9" t="s">
        <v>0</v>
      </c>
      <c r="BT82" s="9" t="s">
        <v>0</v>
      </c>
      <c r="BU82" s="9" t="s">
        <v>0</v>
      </c>
      <c r="BV82" s="9" t="s">
        <v>0</v>
      </c>
      <c r="BW82" s="9" t="s">
        <v>0</v>
      </c>
      <c r="BX82" s="20" t="s">
        <v>0</v>
      </c>
      <c r="BY82" s="6" t="s">
        <v>797</v>
      </c>
      <c r="BZ82" s="5" t="s">
        <v>823</v>
      </c>
      <c r="CA82" s="6" t="s">
        <v>823</v>
      </c>
      <c r="CB82" s="6" t="s">
        <v>798</v>
      </c>
      <c r="CC82" s="6" t="s">
        <v>0</v>
      </c>
      <c r="CD82" s="11" t="s">
        <v>799</v>
      </c>
      <c r="CE82" s="149" t="s">
        <v>0</v>
      </c>
      <c r="CF82" s="149" t="s">
        <v>0</v>
      </c>
      <c r="CG82" s="149" t="s">
        <v>0</v>
      </c>
      <c r="CH82" s="63" t="s">
        <v>0</v>
      </c>
      <c r="CI82" s="64" t="s">
        <v>0</v>
      </c>
      <c r="CJ82" s="63" t="s">
        <v>0</v>
      </c>
      <c r="CK82" s="6" t="s">
        <v>0</v>
      </c>
      <c r="CL82" s="6" t="s">
        <v>0</v>
      </c>
      <c r="CM82" s="6" t="s">
        <v>0</v>
      </c>
      <c r="CN82" s="6" t="s">
        <v>0</v>
      </c>
      <c r="CO82" s="6" t="s">
        <v>0</v>
      </c>
      <c r="CP82" s="6" t="s">
        <v>0</v>
      </c>
      <c r="CQ82" s="6" t="s">
        <v>0</v>
      </c>
      <c r="CR82" s="11" t="s">
        <v>0</v>
      </c>
      <c r="CS82" s="6" t="s">
        <v>0</v>
      </c>
      <c r="CT82" s="11" t="s">
        <v>0</v>
      </c>
      <c r="CU82" s="6" t="s">
        <v>0</v>
      </c>
      <c r="CV82" s="6" t="s">
        <v>0</v>
      </c>
      <c r="CW82" s="11" t="s">
        <v>0</v>
      </c>
      <c r="CX82" s="27" t="s">
        <v>0</v>
      </c>
      <c r="CY82" s="27" t="s">
        <v>0</v>
      </c>
      <c r="CZ82" s="27" t="s">
        <v>0</v>
      </c>
      <c r="DA82" s="27" t="s">
        <v>0</v>
      </c>
      <c r="DB82" s="27" t="s">
        <v>0</v>
      </c>
      <c r="DC82" s="27" t="s">
        <v>0</v>
      </c>
      <c r="DD82" s="148" t="s">
        <v>0</v>
      </c>
      <c r="DE82" s="13" t="s">
        <v>0</v>
      </c>
      <c r="DF82" s="168" t="s">
        <v>0</v>
      </c>
      <c r="DG82" s="27" t="s">
        <v>0</v>
      </c>
      <c r="DH82" s="36" t="s">
        <v>0</v>
      </c>
      <c r="DI82" s="177" t="s">
        <v>0</v>
      </c>
    </row>
    <row r="83" spans="1:113" ht="15" customHeight="1">
      <c r="A83" s="44" t="s">
        <v>872</v>
      </c>
      <c r="B83" s="44" t="s">
        <v>789</v>
      </c>
      <c r="C83" s="7" t="s">
        <v>92</v>
      </c>
      <c r="D83" s="22">
        <v>44902</v>
      </c>
      <c r="E83" s="22">
        <v>45077</v>
      </c>
      <c r="F83" s="10" t="s">
        <v>94</v>
      </c>
      <c r="G83" s="10" t="s">
        <v>805</v>
      </c>
      <c r="H83" s="10" t="s">
        <v>1</v>
      </c>
      <c r="I83" s="41">
        <v>59925.317000000003</v>
      </c>
      <c r="J83" s="18" t="s">
        <v>1</v>
      </c>
      <c r="K83" s="9" t="s">
        <v>0</v>
      </c>
      <c r="L83" s="169">
        <v>1993</v>
      </c>
      <c r="M83" s="9">
        <v>1119</v>
      </c>
      <c r="N83" s="9">
        <f t="shared" si="22"/>
        <v>1993</v>
      </c>
      <c r="O83" s="63" t="s">
        <v>249</v>
      </c>
      <c r="P83" s="53" t="s">
        <v>0</v>
      </c>
      <c r="Q83" s="52" t="s">
        <v>0</v>
      </c>
      <c r="R83" s="6">
        <v>46</v>
      </c>
      <c r="S83" s="6">
        <v>38</v>
      </c>
      <c r="T83" s="6">
        <v>57</v>
      </c>
      <c r="U83" s="6">
        <v>88</v>
      </c>
      <c r="V83" s="6">
        <v>3</v>
      </c>
      <c r="W83" s="6" t="s">
        <v>0</v>
      </c>
      <c r="X83" s="6" t="s">
        <v>0</v>
      </c>
      <c r="Y83" s="6" t="s">
        <v>0</v>
      </c>
      <c r="Z83" s="6" t="s">
        <v>96</v>
      </c>
      <c r="AA83" s="9">
        <v>1119</v>
      </c>
      <c r="AB83" s="9">
        <v>0</v>
      </c>
      <c r="AC83" s="68">
        <v>0</v>
      </c>
      <c r="AD83" s="61">
        <v>0</v>
      </c>
      <c r="AE83" s="65" t="s">
        <v>808</v>
      </c>
      <c r="AF83" s="10" t="s">
        <v>0</v>
      </c>
      <c r="AG83" s="10" t="s">
        <v>465</v>
      </c>
      <c r="AH83" s="10" t="s">
        <v>826</v>
      </c>
      <c r="AI83" s="26" t="s">
        <v>827</v>
      </c>
      <c r="AJ83" s="50" t="s">
        <v>807</v>
      </c>
      <c r="AK83" s="7" t="s">
        <v>73</v>
      </c>
      <c r="AL83" s="6" t="s">
        <v>122</v>
      </c>
      <c r="AM83" s="7" t="s">
        <v>166</v>
      </c>
      <c r="AN83" s="7" t="s">
        <v>305</v>
      </c>
      <c r="AO83" s="14" t="s">
        <v>564</v>
      </c>
      <c r="AP83" s="68" t="s">
        <v>0</v>
      </c>
      <c r="AQ83" s="143">
        <f>ROUND(('Data extracted'!E83-'Data extracted'!D83)/7,0)</f>
        <v>25</v>
      </c>
      <c r="AR83" s="144" t="s">
        <v>0</v>
      </c>
      <c r="AS83" s="9" t="s">
        <v>0</v>
      </c>
      <c r="AT83" s="9">
        <v>1119</v>
      </c>
      <c r="AU83" s="7" t="s">
        <v>73</v>
      </c>
      <c r="AV83" s="7" t="s">
        <v>73</v>
      </c>
      <c r="AW83" s="5" t="s">
        <v>810</v>
      </c>
      <c r="AX83" s="26" t="s">
        <v>0</v>
      </c>
      <c r="AY83" s="9">
        <f>SUM(AZ83:BC83)</f>
        <v>1119</v>
      </c>
      <c r="AZ83" s="9">
        <v>178</v>
      </c>
      <c r="BA83" s="9">
        <v>928</v>
      </c>
      <c r="BB83" s="9">
        <v>13</v>
      </c>
      <c r="BC83" s="20" t="s">
        <v>0</v>
      </c>
      <c r="BD83" s="50" t="s">
        <v>0</v>
      </c>
      <c r="BE83" s="5" t="s">
        <v>0</v>
      </c>
      <c r="BF83" s="9" t="s">
        <v>0</v>
      </c>
      <c r="BG83" s="9" t="s">
        <v>0</v>
      </c>
      <c r="BH83" s="9" t="s">
        <v>0</v>
      </c>
      <c r="BI83" s="9" t="s">
        <v>0</v>
      </c>
      <c r="BJ83" s="9" t="s">
        <v>0</v>
      </c>
      <c r="BK83" s="56" t="s">
        <v>0</v>
      </c>
      <c r="BL83" s="9">
        <f>SUM(BM83:BP83)</f>
        <v>1119</v>
      </c>
      <c r="BM83" s="9">
        <v>928</v>
      </c>
      <c r="BN83" s="9">
        <v>178</v>
      </c>
      <c r="BO83" s="9">
        <v>13</v>
      </c>
      <c r="BP83" s="20" t="s">
        <v>0</v>
      </c>
      <c r="BQ83" s="50" t="s">
        <v>0</v>
      </c>
      <c r="BR83" s="5" t="s">
        <v>0</v>
      </c>
      <c r="BS83" s="9" t="s">
        <v>0</v>
      </c>
      <c r="BT83" s="9" t="s">
        <v>0</v>
      </c>
      <c r="BU83" s="9" t="s">
        <v>0</v>
      </c>
      <c r="BV83" s="9" t="s">
        <v>0</v>
      </c>
      <c r="BW83" s="9" t="s">
        <v>0</v>
      </c>
      <c r="BX83" s="56" t="s">
        <v>0</v>
      </c>
      <c r="BY83" s="6" t="s">
        <v>685</v>
      </c>
      <c r="BZ83" s="5" t="s">
        <v>0</v>
      </c>
      <c r="CA83" s="6" t="s">
        <v>0</v>
      </c>
      <c r="CB83" s="6" t="s">
        <v>0</v>
      </c>
      <c r="CC83" s="6" t="s">
        <v>0</v>
      </c>
      <c r="CD83" s="11" t="s">
        <v>0</v>
      </c>
      <c r="CE83" s="149" t="s">
        <v>0</v>
      </c>
      <c r="CF83" s="149" t="s">
        <v>0</v>
      </c>
      <c r="CG83" s="149" t="s">
        <v>0</v>
      </c>
      <c r="CH83" s="63" t="s">
        <v>0</v>
      </c>
      <c r="CI83" s="64" t="s">
        <v>0</v>
      </c>
      <c r="CJ83" s="63" t="s">
        <v>0</v>
      </c>
      <c r="CK83" s="6" t="s">
        <v>0</v>
      </c>
      <c r="CL83" s="6" t="s">
        <v>0</v>
      </c>
      <c r="CM83" s="6" t="s">
        <v>0</v>
      </c>
      <c r="CN83" s="6" t="s">
        <v>0</v>
      </c>
      <c r="CO83" s="6" t="s">
        <v>0</v>
      </c>
      <c r="CP83" s="6" t="s">
        <v>0</v>
      </c>
      <c r="CQ83" s="6" t="s">
        <v>0</v>
      </c>
      <c r="CR83" s="11" t="s">
        <v>0</v>
      </c>
      <c r="CS83" s="6" t="s">
        <v>0</v>
      </c>
      <c r="CT83" s="11" t="s">
        <v>0</v>
      </c>
      <c r="CU83" s="6" t="s">
        <v>0</v>
      </c>
      <c r="CV83" s="6" t="s">
        <v>0</v>
      </c>
      <c r="CW83" s="11" t="s">
        <v>0</v>
      </c>
      <c r="CX83" s="27" t="s">
        <v>0</v>
      </c>
      <c r="CY83" s="27" t="s">
        <v>0</v>
      </c>
      <c r="CZ83" s="27" t="s">
        <v>0</v>
      </c>
      <c r="DA83" s="27" t="s">
        <v>0</v>
      </c>
      <c r="DB83" s="27" t="s">
        <v>0</v>
      </c>
      <c r="DC83" s="27" t="s">
        <v>0</v>
      </c>
      <c r="DD83" s="148" t="s">
        <v>0</v>
      </c>
      <c r="DE83" s="13" t="s">
        <v>0</v>
      </c>
      <c r="DF83" s="168" t="s">
        <v>0</v>
      </c>
      <c r="DG83" s="27" t="s">
        <v>0</v>
      </c>
      <c r="DH83" s="36" t="s">
        <v>0</v>
      </c>
      <c r="DI83" s="177" t="s">
        <v>0</v>
      </c>
    </row>
    <row r="84" spans="1:113" ht="15" customHeight="1">
      <c r="A84" s="44" t="s">
        <v>873</v>
      </c>
      <c r="B84" s="44" t="s">
        <v>789</v>
      </c>
      <c r="C84" s="7" t="s">
        <v>92</v>
      </c>
      <c r="D84" s="22">
        <v>45078</v>
      </c>
      <c r="E84" s="22">
        <v>45079</v>
      </c>
      <c r="F84" s="10" t="s">
        <v>94</v>
      </c>
      <c r="G84" s="10" t="s">
        <v>805</v>
      </c>
      <c r="H84" s="10" t="s">
        <v>1</v>
      </c>
      <c r="I84" s="41">
        <v>59925.317000000003</v>
      </c>
      <c r="J84" s="18" t="s">
        <v>1</v>
      </c>
      <c r="K84" s="9" t="s">
        <v>0</v>
      </c>
      <c r="L84" s="169" t="s">
        <v>0</v>
      </c>
      <c r="M84" s="9">
        <v>310</v>
      </c>
      <c r="N84" s="9" t="s">
        <v>0</v>
      </c>
      <c r="O84" s="63" t="s">
        <v>249</v>
      </c>
      <c r="P84" s="53" t="s">
        <v>0</v>
      </c>
      <c r="Q84" s="52" t="s">
        <v>0</v>
      </c>
      <c r="R84" s="6">
        <v>48</v>
      </c>
      <c r="S84" s="6">
        <v>37</v>
      </c>
      <c r="T84" s="6">
        <v>58</v>
      </c>
      <c r="U84" s="6">
        <v>91</v>
      </c>
      <c r="V84" s="6">
        <v>20</v>
      </c>
      <c r="W84" s="6" t="s">
        <v>0</v>
      </c>
      <c r="X84" s="6" t="s">
        <v>0</v>
      </c>
      <c r="Y84" s="6" t="s">
        <v>0</v>
      </c>
      <c r="Z84" s="6" t="s">
        <v>96</v>
      </c>
      <c r="AA84" s="9">
        <v>52</v>
      </c>
      <c r="AB84" s="9">
        <v>258</v>
      </c>
      <c r="AC84" s="68">
        <v>0</v>
      </c>
      <c r="AD84" s="61">
        <v>0</v>
      </c>
      <c r="AE84" s="65" t="s">
        <v>809</v>
      </c>
      <c r="AF84" s="10" t="s">
        <v>0</v>
      </c>
      <c r="AG84" s="10" t="s">
        <v>465</v>
      </c>
      <c r="AH84" s="10" t="s">
        <v>806</v>
      </c>
      <c r="AI84" s="26" t="s">
        <v>828</v>
      </c>
      <c r="AJ84" s="50" t="s">
        <v>807</v>
      </c>
      <c r="AK84" s="7" t="s">
        <v>73</v>
      </c>
      <c r="AL84" s="6" t="s">
        <v>122</v>
      </c>
      <c r="AM84" s="7" t="s">
        <v>166</v>
      </c>
      <c r="AN84" s="7" t="s">
        <v>305</v>
      </c>
      <c r="AO84" s="14" t="s">
        <v>564</v>
      </c>
      <c r="AP84" s="68" t="s">
        <v>0</v>
      </c>
      <c r="AQ84" s="143">
        <f>ROUND(('Data extracted'!E84-'Data extracted'!D84)/7,0)</f>
        <v>0</v>
      </c>
      <c r="AR84" s="144" t="s">
        <v>0</v>
      </c>
      <c r="AS84" s="9" t="s">
        <v>0</v>
      </c>
      <c r="AT84" s="9">
        <v>310</v>
      </c>
      <c r="AU84" s="7" t="s">
        <v>73</v>
      </c>
      <c r="AV84" s="7" t="s">
        <v>73</v>
      </c>
      <c r="AW84" s="5" t="s">
        <v>810</v>
      </c>
      <c r="AX84" s="26" t="s">
        <v>0</v>
      </c>
      <c r="AY84" s="9">
        <f>SUM(AZ84:BC84)</f>
        <v>310</v>
      </c>
      <c r="AZ84" s="9">
        <v>2</v>
      </c>
      <c r="BA84" s="9">
        <v>302</v>
      </c>
      <c r="BB84" s="9">
        <v>6</v>
      </c>
      <c r="BC84" s="20" t="s">
        <v>0</v>
      </c>
      <c r="BD84" s="50" t="s">
        <v>0</v>
      </c>
      <c r="BE84" s="5" t="s">
        <v>0</v>
      </c>
      <c r="BF84" s="9" t="s">
        <v>0</v>
      </c>
      <c r="BG84" s="9" t="s">
        <v>0</v>
      </c>
      <c r="BH84" s="9" t="s">
        <v>0</v>
      </c>
      <c r="BI84" s="9" t="s">
        <v>0</v>
      </c>
      <c r="BJ84" s="9" t="s">
        <v>0</v>
      </c>
      <c r="BK84" s="56" t="s">
        <v>0</v>
      </c>
      <c r="BL84" s="9">
        <f>SUM(BM84:BP84)</f>
        <v>310</v>
      </c>
      <c r="BM84" s="9">
        <v>302</v>
      </c>
      <c r="BN84" s="9">
        <v>2</v>
      </c>
      <c r="BO84" s="9">
        <v>6</v>
      </c>
      <c r="BP84" s="20" t="s">
        <v>0</v>
      </c>
      <c r="BQ84" s="50" t="s">
        <v>0</v>
      </c>
      <c r="BR84" s="5" t="s">
        <v>0</v>
      </c>
      <c r="BS84" s="9" t="s">
        <v>0</v>
      </c>
      <c r="BT84" s="9" t="s">
        <v>0</v>
      </c>
      <c r="BU84" s="9" t="s">
        <v>0</v>
      </c>
      <c r="BV84" s="9" t="s">
        <v>0</v>
      </c>
      <c r="BW84" s="9" t="s">
        <v>0</v>
      </c>
      <c r="BX84" s="56" t="s">
        <v>0</v>
      </c>
      <c r="BY84" s="6" t="s">
        <v>685</v>
      </c>
      <c r="BZ84" s="5" t="s">
        <v>0</v>
      </c>
      <c r="CA84" s="6" t="s">
        <v>0</v>
      </c>
      <c r="CB84" s="6" t="s">
        <v>0</v>
      </c>
      <c r="CC84" s="6" t="s">
        <v>0</v>
      </c>
      <c r="CD84" s="11" t="s">
        <v>0</v>
      </c>
      <c r="CE84" s="149" t="s">
        <v>0</v>
      </c>
      <c r="CF84" s="149" t="s">
        <v>0</v>
      </c>
      <c r="CG84" s="149" t="s">
        <v>0</v>
      </c>
      <c r="CH84" s="63" t="s">
        <v>0</v>
      </c>
      <c r="CI84" s="64" t="s">
        <v>0</v>
      </c>
      <c r="CJ84" s="63" t="s">
        <v>0</v>
      </c>
      <c r="CK84" s="6" t="s">
        <v>0</v>
      </c>
      <c r="CL84" s="6" t="s">
        <v>0</v>
      </c>
      <c r="CM84" s="6" t="s">
        <v>0</v>
      </c>
      <c r="CN84" s="6" t="s">
        <v>0</v>
      </c>
      <c r="CO84" s="6" t="s">
        <v>0</v>
      </c>
      <c r="CP84" s="6" t="s">
        <v>0</v>
      </c>
      <c r="CQ84" s="6" t="s">
        <v>0</v>
      </c>
      <c r="CR84" s="11" t="s">
        <v>0</v>
      </c>
      <c r="CS84" s="6" t="s">
        <v>0</v>
      </c>
      <c r="CT84" s="11" t="s">
        <v>0</v>
      </c>
      <c r="CU84" s="6" t="s">
        <v>0</v>
      </c>
      <c r="CV84" s="6" t="s">
        <v>0</v>
      </c>
      <c r="CW84" s="11" t="s">
        <v>0</v>
      </c>
      <c r="CX84" s="27" t="s">
        <v>0</v>
      </c>
      <c r="CY84" s="27" t="s">
        <v>0</v>
      </c>
      <c r="CZ84" s="27" t="s">
        <v>0</v>
      </c>
      <c r="DA84" s="27" t="s">
        <v>0</v>
      </c>
      <c r="DB84" s="27" t="s">
        <v>0</v>
      </c>
      <c r="DC84" s="27" t="s">
        <v>0</v>
      </c>
      <c r="DD84" s="148" t="s">
        <v>0</v>
      </c>
      <c r="DE84" s="13" t="s">
        <v>0</v>
      </c>
      <c r="DF84" s="168" t="s">
        <v>0</v>
      </c>
      <c r="DG84" s="27" t="s">
        <v>0</v>
      </c>
      <c r="DH84" s="36" t="s">
        <v>0</v>
      </c>
      <c r="DI84" s="177" t="s">
        <v>0</v>
      </c>
    </row>
    <row r="85" spans="1:113" ht="15" customHeight="1">
      <c r="A85" s="44" t="s">
        <v>874</v>
      </c>
      <c r="B85" s="44" t="s">
        <v>892</v>
      </c>
      <c r="C85" s="7" t="s">
        <v>92</v>
      </c>
      <c r="D85" s="22">
        <v>44635</v>
      </c>
      <c r="E85" s="22">
        <v>45214</v>
      </c>
      <c r="F85" s="10" t="s">
        <v>109</v>
      </c>
      <c r="G85" s="10" t="s">
        <v>830</v>
      </c>
      <c r="H85" s="10" t="s">
        <v>1</v>
      </c>
      <c r="I85" s="41">
        <v>89598.86</v>
      </c>
      <c r="J85" s="18" t="s">
        <v>1</v>
      </c>
      <c r="K85" s="9">
        <v>1918</v>
      </c>
      <c r="L85" s="9" t="s">
        <v>0</v>
      </c>
      <c r="M85" s="9">
        <v>623</v>
      </c>
      <c r="N85" s="9">
        <f>MAX(K85:M85)</f>
        <v>1918</v>
      </c>
      <c r="O85" s="63" t="s">
        <v>242</v>
      </c>
      <c r="P85" s="50" t="s">
        <v>0</v>
      </c>
      <c r="Q85" s="6" t="s">
        <v>0</v>
      </c>
      <c r="R85" s="6" t="s">
        <v>0</v>
      </c>
      <c r="S85" s="6" t="s">
        <v>0</v>
      </c>
      <c r="T85" s="6" t="s">
        <v>0</v>
      </c>
      <c r="U85" s="6" t="s">
        <v>0</v>
      </c>
      <c r="V85" s="6" t="s">
        <v>0</v>
      </c>
      <c r="W85" s="6" t="s">
        <v>0</v>
      </c>
      <c r="X85" s="6" t="s">
        <v>0</v>
      </c>
      <c r="Y85" s="9" t="s">
        <v>0</v>
      </c>
      <c r="Z85" s="6" t="s">
        <v>96</v>
      </c>
      <c r="AA85" s="9">
        <v>1918</v>
      </c>
      <c r="AB85" s="9">
        <v>0</v>
      </c>
      <c r="AC85" s="68">
        <v>0</v>
      </c>
      <c r="AD85" s="61">
        <v>0</v>
      </c>
      <c r="AE85" s="10" t="s">
        <v>0</v>
      </c>
      <c r="AF85" s="10" t="s">
        <v>0</v>
      </c>
      <c r="AG85" s="10" t="s">
        <v>465</v>
      </c>
      <c r="AH85" s="10" t="s">
        <v>818</v>
      </c>
      <c r="AI85" s="26" t="s">
        <v>0</v>
      </c>
      <c r="AJ85" s="6" t="s">
        <v>305</v>
      </c>
      <c r="AK85" s="7" t="s">
        <v>0</v>
      </c>
      <c r="AL85" s="6" t="s">
        <v>0</v>
      </c>
      <c r="AM85" s="7" t="s">
        <v>0</v>
      </c>
      <c r="AN85" s="7" t="s">
        <v>305</v>
      </c>
      <c r="AO85" s="5" t="s">
        <v>305</v>
      </c>
      <c r="AP85" s="68" t="s">
        <v>0</v>
      </c>
      <c r="AQ85" s="143" t="s">
        <v>0</v>
      </c>
      <c r="AR85" s="144" t="s">
        <v>0</v>
      </c>
      <c r="AS85" s="9" t="s">
        <v>0</v>
      </c>
      <c r="AT85" s="9" t="s">
        <v>0</v>
      </c>
      <c r="AU85" s="7" t="s">
        <v>73</v>
      </c>
      <c r="AV85" s="7" t="s">
        <v>73</v>
      </c>
      <c r="AW85" s="5" t="s">
        <v>0</v>
      </c>
      <c r="AX85" s="26" t="s">
        <v>0</v>
      </c>
      <c r="AY85" s="9" t="s">
        <v>0</v>
      </c>
      <c r="AZ85" s="9" t="s">
        <v>0</v>
      </c>
      <c r="BA85" s="9" t="s">
        <v>0</v>
      </c>
      <c r="BB85" s="9" t="s">
        <v>0</v>
      </c>
      <c r="BC85" s="20" t="s">
        <v>0</v>
      </c>
      <c r="BD85" s="50" t="s">
        <v>0</v>
      </c>
      <c r="BE85" s="5" t="s">
        <v>0</v>
      </c>
      <c r="BF85" s="9" t="s">
        <v>0</v>
      </c>
      <c r="BG85" s="9" t="s">
        <v>0</v>
      </c>
      <c r="BH85" s="9" t="s">
        <v>0</v>
      </c>
      <c r="BI85" s="9" t="s">
        <v>0</v>
      </c>
      <c r="BJ85" s="9" t="s">
        <v>0</v>
      </c>
      <c r="BK85" s="56" t="s">
        <v>0</v>
      </c>
      <c r="BL85" s="9">
        <f>SUM(BM85:BP85)</f>
        <v>623</v>
      </c>
      <c r="BM85" s="9">
        <v>247</v>
      </c>
      <c r="BN85" s="9">
        <v>376</v>
      </c>
      <c r="BO85" s="9" t="s">
        <v>0</v>
      </c>
      <c r="BP85" s="20" t="s">
        <v>0</v>
      </c>
      <c r="BQ85" s="73" t="s">
        <v>0</v>
      </c>
      <c r="BR85" s="5" t="s">
        <v>0</v>
      </c>
      <c r="BS85" s="9" t="s">
        <v>0</v>
      </c>
      <c r="BT85" s="9" t="s">
        <v>0</v>
      </c>
      <c r="BU85" s="9" t="s">
        <v>0</v>
      </c>
      <c r="BV85" s="9" t="s">
        <v>0</v>
      </c>
      <c r="BW85" s="9" t="s">
        <v>0</v>
      </c>
      <c r="BX85" s="20" t="s">
        <v>0</v>
      </c>
      <c r="BY85" s="6" t="s">
        <v>0</v>
      </c>
      <c r="BZ85" s="5" t="s">
        <v>0</v>
      </c>
      <c r="CA85" s="6" t="s">
        <v>0</v>
      </c>
      <c r="CB85" s="6" t="s">
        <v>0</v>
      </c>
      <c r="CC85" s="6" t="s">
        <v>0</v>
      </c>
      <c r="CD85" s="11" t="s">
        <v>0</v>
      </c>
      <c r="CE85" s="149" t="s">
        <v>0</v>
      </c>
      <c r="CF85" s="149" t="s">
        <v>0</v>
      </c>
      <c r="CG85" s="149" t="s">
        <v>0</v>
      </c>
      <c r="CH85" s="63" t="s">
        <v>0</v>
      </c>
      <c r="CI85" s="64" t="s">
        <v>0</v>
      </c>
      <c r="CJ85" s="63" t="s">
        <v>0</v>
      </c>
      <c r="CK85" s="6" t="s">
        <v>0</v>
      </c>
      <c r="CL85" s="6" t="s">
        <v>0</v>
      </c>
      <c r="CM85" s="6" t="s">
        <v>0</v>
      </c>
      <c r="CN85" s="6" t="s">
        <v>0</v>
      </c>
      <c r="CO85" s="6" t="s">
        <v>0</v>
      </c>
      <c r="CP85" s="6" t="s">
        <v>0</v>
      </c>
      <c r="CQ85" s="6" t="s">
        <v>0</v>
      </c>
      <c r="CR85" s="11" t="s">
        <v>0</v>
      </c>
      <c r="CS85" s="6" t="s">
        <v>0</v>
      </c>
      <c r="CT85" s="11" t="s">
        <v>0</v>
      </c>
      <c r="CU85" s="6" t="s">
        <v>0</v>
      </c>
      <c r="CV85" s="6" t="s">
        <v>0</v>
      </c>
      <c r="CW85" s="11" t="s">
        <v>0</v>
      </c>
      <c r="CX85" s="27" t="s">
        <v>0</v>
      </c>
      <c r="CY85" s="27" t="s">
        <v>0</v>
      </c>
      <c r="CZ85" s="27" t="s">
        <v>0</v>
      </c>
      <c r="DA85" s="27" t="s">
        <v>0</v>
      </c>
      <c r="DB85" s="27" t="s">
        <v>0</v>
      </c>
      <c r="DC85" s="27" t="s">
        <v>0</v>
      </c>
      <c r="DD85" s="148" t="s">
        <v>0</v>
      </c>
      <c r="DE85" s="13" t="s">
        <v>0</v>
      </c>
      <c r="DF85" s="168" t="s">
        <v>0</v>
      </c>
      <c r="DG85" s="27" t="s">
        <v>0</v>
      </c>
      <c r="DH85" s="36" t="s">
        <v>0</v>
      </c>
      <c r="DI85" s="179" t="s">
        <v>957</v>
      </c>
    </row>
    <row r="86" spans="1:113" ht="15" customHeight="1">
      <c r="A86" s="13" t="s">
        <v>952</v>
      </c>
      <c r="B86" s="47" t="s">
        <v>819</v>
      </c>
      <c r="C86" s="7" t="s">
        <v>92</v>
      </c>
      <c r="D86" s="22">
        <v>44935</v>
      </c>
      <c r="E86" s="22">
        <v>45144</v>
      </c>
      <c r="F86" s="10" t="s">
        <v>93</v>
      </c>
      <c r="G86" s="10" t="s">
        <v>837</v>
      </c>
      <c r="H86" s="10" t="s">
        <v>1</v>
      </c>
      <c r="I86" s="45">
        <v>56660.868000000002</v>
      </c>
      <c r="J86" s="18" t="s">
        <v>1</v>
      </c>
      <c r="K86" s="9" t="s">
        <v>0</v>
      </c>
      <c r="L86" s="9" t="s">
        <v>0</v>
      </c>
      <c r="M86" s="9" t="s">
        <v>0</v>
      </c>
      <c r="N86" s="9" t="s">
        <v>0</v>
      </c>
      <c r="O86" s="63" t="s">
        <v>223</v>
      </c>
      <c r="P86" s="50" t="s">
        <v>0</v>
      </c>
      <c r="Q86" s="6" t="s">
        <v>0</v>
      </c>
      <c r="R86" s="6" t="s">
        <v>0</v>
      </c>
      <c r="S86" s="6" t="s">
        <v>0</v>
      </c>
      <c r="T86" s="6" t="s">
        <v>0</v>
      </c>
      <c r="U86" s="6" t="s">
        <v>0</v>
      </c>
      <c r="V86" s="6" t="s">
        <v>0</v>
      </c>
      <c r="W86" s="6" t="s">
        <v>0</v>
      </c>
      <c r="X86" s="6" t="s">
        <v>0</v>
      </c>
      <c r="Y86" s="9" t="s">
        <v>0</v>
      </c>
      <c r="Z86" s="6" t="s">
        <v>571</v>
      </c>
      <c r="AA86" s="9" t="s">
        <v>0</v>
      </c>
      <c r="AB86" s="9" t="s">
        <v>0</v>
      </c>
      <c r="AC86" s="68" t="s">
        <v>0</v>
      </c>
      <c r="AD86" s="61">
        <v>0</v>
      </c>
      <c r="AE86" s="10" t="s">
        <v>0</v>
      </c>
      <c r="AF86" s="10" t="s">
        <v>0</v>
      </c>
      <c r="AG86" s="10" t="s">
        <v>465</v>
      </c>
      <c r="AH86" s="10" t="s">
        <v>0</v>
      </c>
      <c r="AI86" s="26" t="s">
        <v>0</v>
      </c>
      <c r="AJ86" s="6" t="s">
        <v>305</v>
      </c>
      <c r="AK86" s="7" t="s">
        <v>0</v>
      </c>
      <c r="AL86" s="6" t="s">
        <v>0</v>
      </c>
      <c r="AM86" s="7" t="s">
        <v>0</v>
      </c>
      <c r="AN86" s="7" t="s">
        <v>305</v>
      </c>
      <c r="AO86" s="14" t="s">
        <v>565</v>
      </c>
      <c r="AP86" s="68">
        <v>2</v>
      </c>
      <c r="AQ86" s="143">
        <f>ROUND(('Data extracted'!E86-'Data extracted'!D86)/7,0)</f>
        <v>30</v>
      </c>
      <c r="AR86" s="144" t="s">
        <v>0</v>
      </c>
      <c r="AS86" s="9" t="s">
        <v>0</v>
      </c>
      <c r="AT86" s="9" t="s">
        <v>0</v>
      </c>
      <c r="AU86" s="7" t="s">
        <v>73</v>
      </c>
      <c r="AV86" s="7" t="s">
        <v>73</v>
      </c>
      <c r="AW86" s="5" t="s">
        <v>848</v>
      </c>
      <c r="AX86" s="26" t="s">
        <v>0</v>
      </c>
      <c r="AY86" s="9" t="s">
        <v>0</v>
      </c>
      <c r="AZ86" s="9" t="s">
        <v>0</v>
      </c>
      <c r="BA86" s="9" t="s">
        <v>0</v>
      </c>
      <c r="BB86" s="9" t="s">
        <v>0</v>
      </c>
      <c r="BC86" s="20" t="s">
        <v>0</v>
      </c>
      <c r="BD86" s="50" t="s">
        <v>0</v>
      </c>
      <c r="BE86" s="5" t="s">
        <v>0</v>
      </c>
      <c r="BF86" s="9" t="s">
        <v>0</v>
      </c>
      <c r="BG86" s="9" t="s">
        <v>0</v>
      </c>
      <c r="BH86" s="9" t="s">
        <v>0</v>
      </c>
      <c r="BI86" s="9" t="s">
        <v>0</v>
      </c>
      <c r="BJ86" s="9" t="s">
        <v>0</v>
      </c>
      <c r="BK86" s="56" t="s">
        <v>0</v>
      </c>
      <c r="BL86" s="9" t="s">
        <v>0</v>
      </c>
      <c r="BM86" s="9" t="s">
        <v>0</v>
      </c>
      <c r="BN86" s="9" t="s">
        <v>0</v>
      </c>
      <c r="BO86" s="9" t="s">
        <v>0</v>
      </c>
      <c r="BP86" s="20" t="s">
        <v>0</v>
      </c>
      <c r="BQ86" s="73" t="s">
        <v>0</v>
      </c>
      <c r="BR86" s="5" t="s">
        <v>0</v>
      </c>
      <c r="BS86" s="9" t="s">
        <v>0</v>
      </c>
      <c r="BT86" s="9" t="s">
        <v>0</v>
      </c>
      <c r="BU86" s="9" t="s">
        <v>0</v>
      </c>
      <c r="BV86" s="9" t="s">
        <v>0</v>
      </c>
      <c r="BW86" s="9" t="s">
        <v>0</v>
      </c>
      <c r="BX86" s="20" t="s">
        <v>0</v>
      </c>
      <c r="BY86" s="6" t="s">
        <v>0</v>
      </c>
      <c r="BZ86" s="5" t="s">
        <v>0</v>
      </c>
      <c r="CA86" s="6" t="s">
        <v>0</v>
      </c>
      <c r="CB86" s="6" t="s">
        <v>0</v>
      </c>
      <c r="CC86" s="6" t="s">
        <v>0</v>
      </c>
      <c r="CD86" s="11" t="s">
        <v>0</v>
      </c>
      <c r="CE86" s="149" t="s">
        <v>0</v>
      </c>
      <c r="CF86" s="149" t="s">
        <v>0</v>
      </c>
      <c r="CG86" s="149" t="s">
        <v>0</v>
      </c>
      <c r="CH86" s="63" t="s">
        <v>0</v>
      </c>
      <c r="CI86" s="64" t="s">
        <v>821</v>
      </c>
      <c r="CJ86" s="63" t="s">
        <v>0</v>
      </c>
      <c r="CK86" s="6" t="s">
        <v>0</v>
      </c>
      <c r="CL86" s="6" t="s">
        <v>0</v>
      </c>
      <c r="CM86" s="6" t="s">
        <v>0</v>
      </c>
      <c r="CN86" s="6" t="s">
        <v>0</v>
      </c>
      <c r="CO86" s="6" t="s">
        <v>0</v>
      </c>
      <c r="CP86" s="6" t="s">
        <v>0</v>
      </c>
      <c r="CQ86" s="6" t="s">
        <v>0</v>
      </c>
      <c r="CR86" s="11" t="s">
        <v>0</v>
      </c>
      <c r="CS86" s="6" t="s">
        <v>839</v>
      </c>
      <c r="CT86" s="11" t="s">
        <v>0</v>
      </c>
      <c r="CU86" s="64" t="s">
        <v>841</v>
      </c>
      <c r="CV86" s="6" t="s">
        <v>0</v>
      </c>
      <c r="CW86" s="11" t="s">
        <v>0</v>
      </c>
      <c r="CX86" s="27" t="s">
        <v>0</v>
      </c>
      <c r="CY86" s="27" t="s">
        <v>0</v>
      </c>
      <c r="CZ86" s="27" t="s">
        <v>0</v>
      </c>
      <c r="DA86" s="27" t="s">
        <v>838</v>
      </c>
      <c r="DB86" s="27" t="s">
        <v>0</v>
      </c>
      <c r="DC86" s="27" t="s">
        <v>0</v>
      </c>
      <c r="DD86" s="148" t="s">
        <v>0</v>
      </c>
      <c r="DE86" s="13" t="s">
        <v>0</v>
      </c>
      <c r="DF86" s="168" t="s">
        <v>0</v>
      </c>
      <c r="DG86" s="27" t="s">
        <v>0</v>
      </c>
      <c r="DH86" s="36" t="s">
        <v>0</v>
      </c>
      <c r="DI86" s="177" t="s">
        <v>0</v>
      </c>
    </row>
    <row r="87" spans="1:113" ht="15" customHeight="1">
      <c r="A87" s="13" t="s">
        <v>953</v>
      </c>
      <c r="B87" s="47" t="s">
        <v>819</v>
      </c>
      <c r="C87" s="7" t="s">
        <v>92</v>
      </c>
      <c r="D87" s="22">
        <v>44935</v>
      </c>
      <c r="E87" s="22">
        <v>45144</v>
      </c>
      <c r="F87" s="10" t="s">
        <v>93</v>
      </c>
      <c r="G87" s="10" t="s">
        <v>837</v>
      </c>
      <c r="H87" s="10" t="s">
        <v>1</v>
      </c>
      <c r="I87" s="45">
        <v>56660.868000000002</v>
      </c>
      <c r="J87" s="18" t="s">
        <v>1</v>
      </c>
      <c r="K87" s="9" t="s">
        <v>0</v>
      </c>
      <c r="L87" s="9" t="s">
        <v>0</v>
      </c>
      <c r="M87" s="9" t="s">
        <v>0</v>
      </c>
      <c r="N87" s="9" t="s">
        <v>0</v>
      </c>
      <c r="O87" s="63" t="s">
        <v>223</v>
      </c>
      <c r="P87" s="50" t="s">
        <v>0</v>
      </c>
      <c r="Q87" s="6" t="s">
        <v>0</v>
      </c>
      <c r="R87" s="6" t="s">
        <v>0</v>
      </c>
      <c r="S87" s="6" t="s">
        <v>0</v>
      </c>
      <c r="T87" s="6" t="s">
        <v>0</v>
      </c>
      <c r="U87" s="6" t="s">
        <v>0</v>
      </c>
      <c r="V87" s="6" t="s">
        <v>0</v>
      </c>
      <c r="W87" s="6" t="s">
        <v>0</v>
      </c>
      <c r="X87" s="6" t="s">
        <v>0</v>
      </c>
      <c r="Y87" s="9" t="s">
        <v>0</v>
      </c>
      <c r="Z87" s="6" t="s">
        <v>571</v>
      </c>
      <c r="AA87" s="9" t="s">
        <v>0</v>
      </c>
      <c r="AB87" s="9" t="s">
        <v>0</v>
      </c>
      <c r="AC87" s="68" t="s">
        <v>0</v>
      </c>
      <c r="AD87" s="61">
        <v>0</v>
      </c>
      <c r="AE87" s="10" t="s">
        <v>0</v>
      </c>
      <c r="AF87" s="10" t="s">
        <v>0</v>
      </c>
      <c r="AG87" s="10" t="s">
        <v>465</v>
      </c>
      <c r="AH87" s="10" t="s">
        <v>0</v>
      </c>
      <c r="AI87" s="26" t="s">
        <v>0</v>
      </c>
      <c r="AJ87" s="6" t="s">
        <v>305</v>
      </c>
      <c r="AK87" s="7" t="s">
        <v>0</v>
      </c>
      <c r="AL87" s="6" t="s">
        <v>0</v>
      </c>
      <c r="AM87" s="7" t="s">
        <v>0</v>
      </c>
      <c r="AN87" s="7" t="s">
        <v>305</v>
      </c>
      <c r="AO87" s="14" t="s">
        <v>565</v>
      </c>
      <c r="AP87" s="68" t="s">
        <v>305</v>
      </c>
      <c r="AQ87" s="143">
        <f>ROUND(('Data extracted'!E87-'Data extracted'!D87)/7,0)</f>
        <v>30</v>
      </c>
      <c r="AR87" s="144" t="s">
        <v>0</v>
      </c>
      <c r="AS87" s="9" t="s">
        <v>0</v>
      </c>
      <c r="AT87" s="9" t="s">
        <v>0</v>
      </c>
      <c r="AU87" s="7" t="s">
        <v>73</v>
      </c>
      <c r="AV87" s="7" t="s">
        <v>73</v>
      </c>
      <c r="AW87" s="5" t="s">
        <v>0</v>
      </c>
      <c r="AX87" s="26" t="s">
        <v>0</v>
      </c>
      <c r="AY87" s="9" t="s">
        <v>0</v>
      </c>
      <c r="AZ87" s="9" t="s">
        <v>0</v>
      </c>
      <c r="BA87" s="9" t="s">
        <v>0</v>
      </c>
      <c r="BB87" s="9" t="s">
        <v>0</v>
      </c>
      <c r="BC87" s="20" t="s">
        <v>0</v>
      </c>
      <c r="BD87" s="50" t="s">
        <v>0</v>
      </c>
      <c r="BE87" s="5" t="s">
        <v>0</v>
      </c>
      <c r="BF87" s="9" t="s">
        <v>0</v>
      </c>
      <c r="BG87" s="9" t="s">
        <v>0</v>
      </c>
      <c r="BH87" s="9" t="s">
        <v>0</v>
      </c>
      <c r="BI87" s="9" t="s">
        <v>0</v>
      </c>
      <c r="BJ87" s="9" t="s">
        <v>0</v>
      </c>
      <c r="BK87" s="56" t="s">
        <v>0</v>
      </c>
      <c r="BL87" s="9" t="s">
        <v>0</v>
      </c>
      <c r="BM87" s="9" t="s">
        <v>0</v>
      </c>
      <c r="BN87" s="9" t="s">
        <v>0</v>
      </c>
      <c r="BO87" s="9" t="s">
        <v>0</v>
      </c>
      <c r="BP87" s="20" t="s">
        <v>0</v>
      </c>
      <c r="BQ87" s="73" t="s">
        <v>0</v>
      </c>
      <c r="BR87" s="5" t="s">
        <v>0</v>
      </c>
      <c r="BS87" s="9" t="s">
        <v>0</v>
      </c>
      <c r="BT87" s="9" t="s">
        <v>0</v>
      </c>
      <c r="BU87" s="9" t="s">
        <v>0</v>
      </c>
      <c r="BV87" s="9" t="s">
        <v>0</v>
      </c>
      <c r="BW87" s="9" t="s">
        <v>0</v>
      </c>
      <c r="BX87" s="20" t="s">
        <v>0</v>
      </c>
      <c r="BY87" s="6" t="s">
        <v>0</v>
      </c>
      <c r="BZ87" s="5" t="s">
        <v>0</v>
      </c>
      <c r="CA87" s="6" t="s">
        <v>0</v>
      </c>
      <c r="CB87" s="6" t="s">
        <v>0</v>
      </c>
      <c r="CC87" s="6" t="s">
        <v>0</v>
      </c>
      <c r="CD87" s="11" t="s">
        <v>0</v>
      </c>
      <c r="CE87" s="149" t="s">
        <v>0</v>
      </c>
      <c r="CF87" s="149" t="s">
        <v>0</v>
      </c>
      <c r="CG87" s="149" t="s">
        <v>0</v>
      </c>
      <c r="CH87" s="63" t="s">
        <v>0</v>
      </c>
      <c r="CI87" s="64" t="s">
        <v>820</v>
      </c>
      <c r="CJ87" s="63" t="s">
        <v>0</v>
      </c>
      <c r="CK87" s="6" t="s">
        <v>0</v>
      </c>
      <c r="CL87" s="6" t="s">
        <v>0</v>
      </c>
      <c r="CM87" s="6" t="s">
        <v>0</v>
      </c>
      <c r="CN87" s="6" t="s">
        <v>0</v>
      </c>
      <c r="CO87" s="6" t="s">
        <v>0</v>
      </c>
      <c r="CP87" s="6" t="s">
        <v>0</v>
      </c>
      <c r="CQ87" s="6" t="s">
        <v>0</v>
      </c>
      <c r="CR87" s="11" t="s">
        <v>0</v>
      </c>
      <c r="CS87" s="6" t="s">
        <v>840</v>
      </c>
      <c r="CT87" s="11" t="s">
        <v>0</v>
      </c>
      <c r="CU87" s="64" t="s">
        <v>842</v>
      </c>
      <c r="CV87" s="6" t="s">
        <v>0</v>
      </c>
      <c r="CW87" s="11" t="s">
        <v>0</v>
      </c>
      <c r="CX87" s="27" t="s">
        <v>0</v>
      </c>
      <c r="CY87" s="27" t="s">
        <v>0</v>
      </c>
      <c r="CZ87" s="27" t="s">
        <v>0</v>
      </c>
      <c r="DA87" s="27" t="s">
        <v>0</v>
      </c>
      <c r="DB87" s="27" t="s">
        <v>0</v>
      </c>
      <c r="DC87" s="27" t="s">
        <v>0</v>
      </c>
      <c r="DD87" s="148" t="s">
        <v>0</v>
      </c>
      <c r="DE87" s="13" t="s">
        <v>0</v>
      </c>
      <c r="DF87" s="168" t="s">
        <v>0</v>
      </c>
      <c r="DG87" s="27" t="s">
        <v>0</v>
      </c>
      <c r="DH87" s="36" t="s">
        <v>0</v>
      </c>
      <c r="DI87" s="177" t="s">
        <v>0</v>
      </c>
    </row>
    <row r="88" spans="1:113" ht="15" customHeight="1">
      <c r="A88" s="13" t="s">
        <v>878</v>
      </c>
      <c r="B88" s="47" t="s">
        <v>845</v>
      </c>
      <c r="C88" s="7" t="s">
        <v>92</v>
      </c>
      <c r="D88" s="22">
        <v>44635</v>
      </c>
      <c r="E88" s="22">
        <v>45061</v>
      </c>
      <c r="F88" s="10" t="s">
        <v>97</v>
      </c>
      <c r="G88" s="10" t="s">
        <v>643</v>
      </c>
      <c r="H88" s="10" t="s">
        <v>1</v>
      </c>
      <c r="I88" s="45">
        <v>73173.714999999997</v>
      </c>
      <c r="J88" s="18" t="s">
        <v>1</v>
      </c>
      <c r="K88" s="9">
        <v>3152</v>
      </c>
      <c r="L88" s="9">
        <f>ROUND(2742*0.84,0)</f>
        <v>2303</v>
      </c>
      <c r="M88" s="9" t="s">
        <v>0</v>
      </c>
      <c r="N88" s="9">
        <f>MAX(K88:M88)</f>
        <v>3152</v>
      </c>
      <c r="O88" s="63" t="s">
        <v>297</v>
      </c>
      <c r="P88" s="50" t="s">
        <v>0</v>
      </c>
      <c r="Q88" s="6" t="s">
        <v>0</v>
      </c>
      <c r="R88" s="6">
        <v>53</v>
      </c>
      <c r="S88" s="6">
        <v>39</v>
      </c>
      <c r="T88" s="6">
        <v>67</v>
      </c>
      <c r="U88" s="6" t="s">
        <v>0</v>
      </c>
      <c r="V88" s="6" t="s">
        <v>0</v>
      </c>
      <c r="W88" s="6">
        <v>2025</v>
      </c>
      <c r="X88" s="6" t="s">
        <v>0</v>
      </c>
      <c r="Y88" s="9" t="s">
        <v>0</v>
      </c>
      <c r="Z88" s="6" t="s">
        <v>96</v>
      </c>
      <c r="AA88" s="9">
        <v>3152</v>
      </c>
      <c r="AB88" s="9">
        <v>0</v>
      </c>
      <c r="AC88" s="68" t="s">
        <v>0</v>
      </c>
      <c r="AD88" s="61">
        <v>0</v>
      </c>
      <c r="AE88" s="10" t="s">
        <v>0</v>
      </c>
      <c r="AF88" s="10" t="s">
        <v>0</v>
      </c>
      <c r="AG88" s="10" t="s">
        <v>465</v>
      </c>
      <c r="AH88" s="10" t="s">
        <v>847</v>
      </c>
      <c r="AI88" s="26" t="s">
        <v>0</v>
      </c>
      <c r="AJ88" s="6" t="s">
        <v>305</v>
      </c>
      <c r="AK88" s="7" t="s">
        <v>0</v>
      </c>
      <c r="AL88" s="6" t="s">
        <v>0</v>
      </c>
      <c r="AM88" s="7" t="s">
        <v>0</v>
      </c>
      <c r="AN88" s="7" t="s">
        <v>305</v>
      </c>
      <c r="AO88" s="5" t="s">
        <v>305</v>
      </c>
      <c r="AP88" s="68" t="s">
        <v>0</v>
      </c>
      <c r="AQ88" s="143" t="s">
        <v>0</v>
      </c>
      <c r="AR88" s="144" t="s">
        <v>0</v>
      </c>
      <c r="AS88" s="9" t="s">
        <v>0</v>
      </c>
      <c r="AT88" s="9" t="s">
        <v>0</v>
      </c>
      <c r="AU88" s="7" t="s">
        <v>73</v>
      </c>
      <c r="AV88" s="7" t="s">
        <v>73</v>
      </c>
      <c r="AW88" s="5" t="s">
        <v>0</v>
      </c>
      <c r="AX88" s="26" t="s">
        <v>0</v>
      </c>
      <c r="AY88" s="9" t="s">
        <v>0</v>
      </c>
      <c r="AZ88" s="9" t="s">
        <v>0</v>
      </c>
      <c r="BA88" s="9" t="s">
        <v>0</v>
      </c>
      <c r="BB88" s="9" t="s">
        <v>0</v>
      </c>
      <c r="BC88" s="20" t="s">
        <v>0</v>
      </c>
      <c r="BD88" s="50" t="s">
        <v>0</v>
      </c>
      <c r="BE88" s="5" t="s">
        <v>0</v>
      </c>
      <c r="BF88" s="9" t="s">
        <v>0</v>
      </c>
      <c r="BG88" s="9" t="s">
        <v>0</v>
      </c>
      <c r="BH88" s="9" t="s">
        <v>0</v>
      </c>
      <c r="BI88" s="9" t="s">
        <v>0</v>
      </c>
      <c r="BJ88" s="9" t="s">
        <v>0</v>
      </c>
      <c r="BK88" s="56" t="s">
        <v>0</v>
      </c>
      <c r="BL88" s="9" t="s">
        <v>0</v>
      </c>
      <c r="BM88" s="9" t="s">
        <v>0</v>
      </c>
      <c r="BN88" s="9" t="s">
        <v>0</v>
      </c>
      <c r="BO88" s="9" t="s">
        <v>0</v>
      </c>
      <c r="BP88" s="20" t="s">
        <v>0</v>
      </c>
      <c r="BQ88" s="73" t="s">
        <v>0</v>
      </c>
      <c r="BR88" s="5" t="s">
        <v>0</v>
      </c>
      <c r="BS88" s="9" t="s">
        <v>0</v>
      </c>
      <c r="BT88" s="9" t="s">
        <v>0</v>
      </c>
      <c r="BU88" s="9" t="s">
        <v>0</v>
      </c>
      <c r="BV88" s="9" t="s">
        <v>0</v>
      </c>
      <c r="BW88" s="9" t="s">
        <v>0</v>
      </c>
      <c r="BX88" s="20" t="s">
        <v>0</v>
      </c>
      <c r="BY88" s="6" t="s">
        <v>0</v>
      </c>
      <c r="BZ88" s="5" t="s">
        <v>0</v>
      </c>
      <c r="CA88" s="6" t="s">
        <v>0</v>
      </c>
      <c r="CB88" s="6" t="s">
        <v>0</v>
      </c>
      <c r="CC88" s="6" t="s">
        <v>0</v>
      </c>
      <c r="CD88" s="11" t="s">
        <v>0</v>
      </c>
      <c r="CE88" s="149" t="s">
        <v>0</v>
      </c>
      <c r="CF88" s="149" t="s">
        <v>0</v>
      </c>
      <c r="CG88" s="149" t="s">
        <v>0</v>
      </c>
      <c r="CH88" s="63" t="s">
        <v>0</v>
      </c>
      <c r="CI88" s="64" t="s">
        <v>0</v>
      </c>
      <c r="CJ88" s="63" t="s">
        <v>0</v>
      </c>
      <c r="CK88" s="6" t="s">
        <v>0</v>
      </c>
      <c r="CL88" s="6" t="s">
        <v>0</v>
      </c>
      <c r="CM88" s="6" t="s">
        <v>0</v>
      </c>
      <c r="CN88" s="6" t="s">
        <v>0</v>
      </c>
      <c r="CO88" s="6" t="s">
        <v>0</v>
      </c>
      <c r="CP88" s="6" t="s">
        <v>0</v>
      </c>
      <c r="CQ88" s="6" t="s">
        <v>0</v>
      </c>
      <c r="CR88" s="11" t="s">
        <v>0</v>
      </c>
      <c r="CS88" s="6" t="s">
        <v>0</v>
      </c>
      <c r="CT88" s="11" t="s">
        <v>0</v>
      </c>
      <c r="CU88" s="64" t="s">
        <v>0</v>
      </c>
      <c r="CV88" s="6" t="s">
        <v>0</v>
      </c>
      <c r="CW88" s="11" t="s">
        <v>0</v>
      </c>
      <c r="CX88" s="27" t="s">
        <v>0</v>
      </c>
      <c r="CY88" s="27" t="s">
        <v>0</v>
      </c>
      <c r="CZ88" s="27" t="s">
        <v>0</v>
      </c>
      <c r="DA88" s="27" t="s">
        <v>0</v>
      </c>
      <c r="DB88" s="27" t="s">
        <v>0</v>
      </c>
      <c r="DC88" s="27" t="s">
        <v>0</v>
      </c>
      <c r="DD88" s="148" t="s">
        <v>0</v>
      </c>
      <c r="DE88" s="13" t="s">
        <v>0</v>
      </c>
      <c r="DF88" s="168" t="s">
        <v>0</v>
      </c>
      <c r="DG88" s="27" t="s">
        <v>0</v>
      </c>
      <c r="DH88" s="36" t="s">
        <v>0</v>
      </c>
      <c r="DI88" s="177" t="s">
        <v>0</v>
      </c>
    </row>
    <row r="89" spans="1:113" ht="15" customHeight="1">
      <c r="A89" s="13" t="s">
        <v>954</v>
      </c>
      <c r="B89" s="47" t="s">
        <v>893</v>
      </c>
      <c r="C89" s="7" t="s">
        <v>92</v>
      </c>
      <c r="D89" s="22">
        <v>44678</v>
      </c>
      <c r="E89" s="22">
        <v>44689</v>
      </c>
      <c r="F89" s="10" t="s">
        <v>109</v>
      </c>
      <c r="G89" s="10" t="s">
        <v>879</v>
      </c>
      <c r="H89" s="10" t="s">
        <v>104</v>
      </c>
      <c r="I89" s="41">
        <v>89598.86</v>
      </c>
      <c r="J89" s="18" t="s">
        <v>1</v>
      </c>
      <c r="K89" s="9">
        <v>1030</v>
      </c>
      <c r="L89" s="9">
        <v>497</v>
      </c>
      <c r="M89" s="9" t="s">
        <v>0</v>
      </c>
      <c r="N89" s="9">
        <f>MAX(K89:M89)</f>
        <v>1030</v>
      </c>
      <c r="O89" s="63" t="s">
        <v>242</v>
      </c>
      <c r="P89" s="50" t="s">
        <v>0</v>
      </c>
      <c r="Q89" s="6" t="s">
        <v>0</v>
      </c>
      <c r="R89" s="64" t="s">
        <v>0</v>
      </c>
      <c r="S89" s="6" t="s">
        <v>0</v>
      </c>
      <c r="T89" s="6" t="s">
        <v>0</v>
      </c>
      <c r="U89" s="6" t="s">
        <v>0</v>
      </c>
      <c r="V89" s="6" t="s">
        <v>0</v>
      </c>
      <c r="W89" s="6">
        <v>527</v>
      </c>
      <c r="X89" s="6">
        <v>471</v>
      </c>
      <c r="Y89" s="9">
        <v>32</v>
      </c>
      <c r="Z89" s="6" t="s">
        <v>96</v>
      </c>
      <c r="AA89" s="9" t="s">
        <v>0</v>
      </c>
      <c r="AB89" s="9" t="s">
        <v>0</v>
      </c>
      <c r="AC89" s="68" t="s">
        <v>0</v>
      </c>
      <c r="AD89" s="61">
        <v>0</v>
      </c>
      <c r="AE89" s="10" t="s">
        <v>882</v>
      </c>
      <c r="AF89" s="10" t="s">
        <v>0</v>
      </c>
      <c r="AG89" s="10" t="s">
        <v>465</v>
      </c>
      <c r="AH89" s="65" t="s">
        <v>880</v>
      </c>
      <c r="AI89" s="66" t="s">
        <v>881</v>
      </c>
      <c r="AJ89" s="6" t="s">
        <v>305</v>
      </c>
      <c r="AK89" s="7" t="s">
        <v>0</v>
      </c>
      <c r="AL89" s="6" t="s">
        <v>0</v>
      </c>
      <c r="AM89" s="7" t="s">
        <v>0</v>
      </c>
      <c r="AN89" s="7" t="s">
        <v>124</v>
      </c>
      <c r="AO89" s="5" t="s">
        <v>305</v>
      </c>
      <c r="AP89" s="68" t="s">
        <v>0</v>
      </c>
      <c r="AQ89" s="143" t="s">
        <v>0</v>
      </c>
      <c r="AR89" s="144" t="s">
        <v>0</v>
      </c>
      <c r="AS89" s="9" t="s">
        <v>0</v>
      </c>
      <c r="AT89" s="9" t="s">
        <v>0</v>
      </c>
      <c r="AU89" s="7" t="s">
        <v>1</v>
      </c>
      <c r="AV89" s="7" t="s">
        <v>1</v>
      </c>
      <c r="AW89" s="5" t="s">
        <v>0</v>
      </c>
      <c r="AX89" s="26" t="s">
        <v>0</v>
      </c>
      <c r="AY89" s="9" t="s">
        <v>0</v>
      </c>
      <c r="AZ89" s="9" t="s">
        <v>0</v>
      </c>
      <c r="BA89" s="9" t="s">
        <v>0</v>
      </c>
      <c r="BB89" s="9" t="s">
        <v>0</v>
      </c>
      <c r="BC89" s="20" t="s">
        <v>0</v>
      </c>
      <c r="BD89" s="50" t="s">
        <v>0</v>
      </c>
      <c r="BE89" s="5" t="s">
        <v>0</v>
      </c>
      <c r="BF89" s="9" t="s">
        <v>0</v>
      </c>
      <c r="BG89" s="9" t="s">
        <v>0</v>
      </c>
      <c r="BH89" s="9" t="s">
        <v>0</v>
      </c>
      <c r="BI89" s="9" t="s">
        <v>0</v>
      </c>
      <c r="BJ89" s="9" t="s">
        <v>0</v>
      </c>
      <c r="BK89" s="56" t="s">
        <v>0</v>
      </c>
      <c r="BL89" s="9" t="s">
        <v>0</v>
      </c>
      <c r="BM89" s="9" t="s">
        <v>0</v>
      </c>
      <c r="BN89" s="9" t="s">
        <v>0</v>
      </c>
      <c r="BO89" s="9" t="s">
        <v>0</v>
      </c>
      <c r="BP89" s="20" t="s">
        <v>0</v>
      </c>
      <c r="BQ89" s="73" t="s">
        <v>0</v>
      </c>
      <c r="BR89" s="5" t="s">
        <v>0</v>
      </c>
      <c r="BS89" s="9" t="s">
        <v>0</v>
      </c>
      <c r="BT89" s="9" t="s">
        <v>0</v>
      </c>
      <c r="BU89" s="9" t="s">
        <v>0</v>
      </c>
      <c r="BV89" s="9" t="s">
        <v>0</v>
      </c>
      <c r="BW89" s="9" t="s">
        <v>0</v>
      </c>
      <c r="BX89" s="20" t="s">
        <v>0</v>
      </c>
      <c r="BY89" s="6" t="s">
        <v>0</v>
      </c>
      <c r="BZ89" s="5" t="s">
        <v>0</v>
      </c>
      <c r="CA89" s="6" t="s">
        <v>0</v>
      </c>
      <c r="CB89" s="6" t="s">
        <v>0</v>
      </c>
      <c r="CC89" s="6" t="s">
        <v>0</v>
      </c>
      <c r="CD89" s="11" t="s">
        <v>0</v>
      </c>
      <c r="CE89" s="149" t="s">
        <v>0</v>
      </c>
      <c r="CF89" s="149" t="s">
        <v>0</v>
      </c>
      <c r="CG89" s="149" t="s">
        <v>0</v>
      </c>
      <c r="CH89" s="63" t="s">
        <v>0</v>
      </c>
      <c r="CI89" s="64" t="s">
        <v>0</v>
      </c>
      <c r="CJ89" s="63" t="s">
        <v>0</v>
      </c>
      <c r="CK89" s="6" t="s">
        <v>0</v>
      </c>
      <c r="CL89" s="6" t="s">
        <v>0</v>
      </c>
      <c r="CM89" s="6" t="s">
        <v>0</v>
      </c>
      <c r="CN89" s="6" t="s">
        <v>0</v>
      </c>
      <c r="CO89" s="6" t="s">
        <v>0</v>
      </c>
      <c r="CP89" s="6" t="s">
        <v>0</v>
      </c>
      <c r="CQ89" s="6" t="s">
        <v>0</v>
      </c>
      <c r="CR89" s="11" t="s">
        <v>0</v>
      </c>
      <c r="CS89" s="6" t="s">
        <v>0</v>
      </c>
      <c r="CT89" s="11" t="s">
        <v>0</v>
      </c>
      <c r="CU89" s="64" t="s">
        <v>0</v>
      </c>
      <c r="CV89" s="6" t="s">
        <v>0</v>
      </c>
      <c r="CW89" s="11" t="s">
        <v>0</v>
      </c>
      <c r="CX89" s="27" t="s">
        <v>0</v>
      </c>
      <c r="CY89" s="27" t="s">
        <v>0</v>
      </c>
      <c r="CZ89" s="27" t="s">
        <v>0</v>
      </c>
      <c r="DA89" s="27" t="s">
        <v>0</v>
      </c>
      <c r="DB89" s="27" t="s">
        <v>0</v>
      </c>
      <c r="DC89" s="27" t="s">
        <v>0</v>
      </c>
      <c r="DD89" s="148" t="s">
        <v>0</v>
      </c>
      <c r="DE89" s="13" t="s">
        <v>0</v>
      </c>
      <c r="DF89" s="168" t="s">
        <v>0</v>
      </c>
      <c r="DG89" s="27" t="s">
        <v>0</v>
      </c>
      <c r="DH89" s="36" t="s">
        <v>0</v>
      </c>
      <c r="DI89" s="177" t="s">
        <v>0</v>
      </c>
    </row>
    <row r="90" spans="1:113" ht="15" customHeight="1">
      <c r="A90" s="13" t="s">
        <v>955</v>
      </c>
      <c r="B90" s="47" t="s">
        <v>894</v>
      </c>
      <c r="C90" s="7" t="s">
        <v>92</v>
      </c>
      <c r="D90" s="22">
        <v>44728</v>
      </c>
      <c r="E90" s="22">
        <v>44744</v>
      </c>
      <c r="F90" s="10" t="s">
        <v>109</v>
      </c>
      <c r="G90" s="10" t="s">
        <v>830</v>
      </c>
      <c r="H90" s="10" t="s">
        <v>1</v>
      </c>
      <c r="I90" s="41">
        <v>89598.86</v>
      </c>
      <c r="J90" s="18" t="s">
        <v>1</v>
      </c>
      <c r="K90" s="9">
        <v>3042</v>
      </c>
      <c r="L90" s="9">
        <f>389+829</f>
        <v>1218</v>
      </c>
      <c r="M90" s="9" t="s">
        <v>0</v>
      </c>
      <c r="N90" s="9">
        <f>MAX(K90:M90)</f>
        <v>3042</v>
      </c>
      <c r="O90" s="63" t="s">
        <v>242</v>
      </c>
      <c r="P90" s="171" t="s">
        <v>0</v>
      </c>
      <c r="Q90" s="6" t="s">
        <v>0</v>
      </c>
      <c r="R90" s="6" t="s">
        <v>0</v>
      </c>
      <c r="S90" s="6" t="s">
        <v>0</v>
      </c>
      <c r="T90" s="6" t="s">
        <v>0</v>
      </c>
      <c r="U90" s="6" t="s">
        <v>0</v>
      </c>
      <c r="V90" s="6" t="s">
        <v>0</v>
      </c>
      <c r="W90" s="6">
        <v>1516</v>
      </c>
      <c r="X90" s="6">
        <v>1443</v>
      </c>
      <c r="Y90" s="9">
        <v>82</v>
      </c>
      <c r="Z90" s="6" t="s">
        <v>96</v>
      </c>
      <c r="AA90" s="9" t="s">
        <v>0</v>
      </c>
      <c r="AB90" s="9" t="s">
        <v>0</v>
      </c>
      <c r="AC90" s="68" t="s">
        <v>0</v>
      </c>
      <c r="AD90" s="61">
        <v>0</v>
      </c>
      <c r="AE90" s="10" t="s">
        <v>891</v>
      </c>
      <c r="AF90" s="10" t="s">
        <v>0</v>
      </c>
      <c r="AG90" s="10" t="s">
        <v>465</v>
      </c>
      <c r="AH90" s="65" t="s">
        <v>884</v>
      </c>
      <c r="AI90" s="66" t="s">
        <v>883</v>
      </c>
      <c r="AJ90" s="6" t="s">
        <v>305</v>
      </c>
      <c r="AK90" s="7" t="s">
        <v>0</v>
      </c>
      <c r="AL90" s="6" t="s">
        <v>0</v>
      </c>
      <c r="AM90" s="7" t="s">
        <v>0</v>
      </c>
      <c r="AN90" s="7" t="s">
        <v>305</v>
      </c>
      <c r="AO90" s="5" t="s">
        <v>305</v>
      </c>
      <c r="AP90" s="68" t="s">
        <v>0</v>
      </c>
      <c r="AQ90" s="143" t="s">
        <v>0</v>
      </c>
      <c r="AR90" s="144" t="s">
        <v>0</v>
      </c>
      <c r="AS90" s="9" t="s">
        <v>0</v>
      </c>
      <c r="AT90" s="9" t="s">
        <v>0</v>
      </c>
      <c r="AU90" s="7" t="s">
        <v>1</v>
      </c>
      <c r="AV90" s="7" t="s">
        <v>1</v>
      </c>
      <c r="AW90" s="5" t="s">
        <v>0</v>
      </c>
      <c r="AX90" s="26" t="s">
        <v>0</v>
      </c>
      <c r="AY90" s="9" t="s">
        <v>0</v>
      </c>
      <c r="AZ90" s="9" t="s">
        <v>0</v>
      </c>
      <c r="BA90" s="9" t="s">
        <v>0</v>
      </c>
      <c r="BB90" s="9" t="s">
        <v>0</v>
      </c>
      <c r="BC90" s="20" t="s">
        <v>0</v>
      </c>
      <c r="BD90" s="50" t="s">
        <v>0</v>
      </c>
      <c r="BE90" s="5" t="s">
        <v>0</v>
      </c>
      <c r="BF90" s="9" t="s">
        <v>0</v>
      </c>
      <c r="BG90" s="9" t="s">
        <v>0</v>
      </c>
      <c r="BH90" s="9" t="s">
        <v>0</v>
      </c>
      <c r="BI90" s="9" t="s">
        <v>0</v>
      </c>
      <c r="BJ90" s="9" t="s">
        <v>0</v>
      </c>
      <c r="BK90" s="56" t="s">
        <v>0</v>
      </c>
      <c r="BL90" s="9" t="s">
        <v>0</v>
      </c>
      <c r="BM90" s="9" t="s">
        <v>0</v>
      </c>
      <c r="BN90" s="9" t="s">
        <v>0</v>
      </c>
      <c r="BO90" s="9" t="s">
        <v>0</v>
      </c>
      <c r="BP90" s="20" t="s">
        <v>0</v>
      </c>
      <c r="BQ90" s="73" t="s">
        <v>0</v>
      </c>
      <c r="BR90" s="5" t="s">
        <v>0</v>
      </c>
      <c r="BS90" s="9" t="s">
        <v>0</v>
      </c>
      <c r="BT90" s="9" t="s">
        <v>0</v>
      </c>
      <c r="BU90" s="9" t="s">
        <v>0</v>
      </c>
      <c r="BV90" s="9" t="s">
        <v>0</v>
      </c>
      <c r="BW90" s="9" t="s">
        <v>0</v>
      </c>
      <c r="BX90" s="20" t="s">
        <v>0</v>
      </c>
      <c r="BY90" s="6" t="s">
        <v>0</v>
      </c>
      <c r="BZ90" s="5" t="s">
        <v>0</v>
      </c>
      <c r="CA90" s="6" t="s">
        <v>0</v>
      </c>
      <c r="CB90" s="6" t="s">
        <v>0</v>
      </c>
      <c r="CC90" s="6" t="s">
        <v>0</v>
      </c>
      <c r="CD90" s="11" t="s">
        <v>0</v>
      </c>
      <c r="CE90" s="149" t="s">
        <v>0</v>
      </c>
      <c r="CF90" s="149" t="s">
        <v>0</v>
      </c>
      <c r="CG90" s="149" t="s">
        <v>0</v>
      </c>
      <c r="CH90" s="63" t="s">
        <v>0</v>
      </c>
      <c r="CI90" s="64" t="s">
        <v>0</v>
      </c>
      <c r="CJ90" s="63" t="s">
        <v>0</v>
      </c>
      <c r="CK90" s="6" t="s">
        <v>0</v>
      </c>
      <c r="CL90" s="6" t="s">
        <v>0</v>
      </c>
      <c r="CM90" s="6" t="s">
        <v>0</v>
      </c>
      <c r="CN90" s="6" t="s">
        <v>0</v>
      </c>
      <c r="CO90" s="6" t="s">
        <v>0</v>
      </c>
      <c r="CP90" s="6" t="s">
        <v>0</v>
      </c>
      <c r="CQ90" s="6" t="s">
        <v>0</v>
      </c>
      <c r="CR90" s="11" t="s">
        <v>0</v>
      </c>
      <c r="CS90" s="6" t="s">
        <v>0</v>
      </c>
      <c r="CT90" s="11" t="s">
        <v>0</v>
      </c>
      <c r="CU90" s="64" t="s">
        <v>0</v>
      </c>
      <c r="CV90" s="6" t="s">
        <v>0</v>
      </c>
      <c r="CW90" s="11" t="s">
        <v>0</v>
      </c>
      <c r="CX90" s="27" t="s">
        <v>0</v>
      </c>
      <c r="CY90" s="27" t="s">
        <v>0</v>
      </c>
      <c r="CZ90" s="27" t="s">
        <v>0</v>
      </c>
      <c r="DA90" s="27" t="s">
        <v>0</v>
      </c>
      <c r="DB90" s="27" t="s">
        <v>0</v>
      </c>
      <c r="DC90" s="27" t="s">
        <v>0</v>
      </c>
      <c r="DD90" s="148" t="s">
        <v>0</v>
      </c>
      <c r="DE90" s="13" t="s">
        <v>0</v>
      </c>
      <c r="DF90" s="168" t="s">
        <v>0</v>
      </c>
      <c r="DG90" s="27" t="s">
        <v>0</v>
      </c>
      <c r="DH90" s="36" t="s">
        <v>0</v>
      </c>
      <c r="DI90" s="177" t="s">
        <v>0</v>
      </c>
    </row>
    <row r="91" spans="1:113" ht="15" customHeight="1">
      <c r="A91" s="13"/>
      <c r="B91" s="44"/>
      <c r="C91" s="7"/>
      <c r="D91" s="22"/>
      <c r="E91" s="22"/>
      <c r="F91" s="10"/>
      <c r="G91" s="10"/>
      <c r="H91" s="10"/>
      <c r="I91" s="41"/>
      <c r="J91" s="8"/>
      <c r="K91" s="9"/>
      <c r="L91" s="9"/>
      <c r="M91" s="9"/>
      <c r="N91" s="9"/>
      <c r="O91" s="64"/>
      <c r="P91" s="6"/>
      <c r="Q91" s="6"/>
      <c r="R91" s="6"/>
      <c r="S91" s="6"/>
      <c r="T91" s="6"/>
      <c r="U91" s="6"/>
      <c r="V91" s="6"/>
      <c r="W91" s="6"/>
      <c r="X91" s="6"/>
      <c r="Y91" s="9"/>
      <c r="Z91" s="6"/>
      <c r="AA91" s="9"/>
      <c r="AB91" s="9"/>
      <c r="AC91" s="68"/>
      <c r="AD91" s="61"/>
      <c r="AE91" s="10"/>
      <c r="AF91" s="10"/>
      <c r="AG91" s="10"/>
      <c r="AH91" s="10"/>
      <c r="AI91" s="10"/>
      <c r="AJ91" s="6"/>
      <c r="AK91" s="7"/>
      <c r="AL91" s="6"/>
      <c r="AM91" s="7"/>
      <c r="AN91" s="7"/>
      <c r="AO91" s="14"/>
      <c r="AP91" s="68"/>
      <c r="AQ91" s="143"/>
      <c r="AR91" s="144"/>
      <c r="AS91" s="9"/>
      <c r="AT91" s="9"/>
      <c r="AU91" s="7"/>
      <c r="AV91" s="7"/>
      <c r="AW91" s="5"/>
      <c r="AX91" s="10"/>
      <c r="AY91" s="9"/>
      <c r="AZ91" s="9"/>
      <c r="BA91" s="9"/>
      <c r="BB91" s="9"/>
      <c r="BC91" s="9"/>
      <c r="BD91" s="6"/>
      <c r="BE91" s="5"/>
      <c r="BF91" s="9"/>
      <c r="BG91" s="9"/>
      <c r="BH91" s="9"/>
      <c r="BI91" s="9"/>
      <c r="BJ91" s="9"/>
      <c r="BK91" s="9"/>
      <c r="BL91" s="9"/>
      <c r="BM91" s="9"/>
      <c r="BN91" s="9"/>
      <c r="BO91" s="9"/>
      <c r="BP91" s="9"/>
      <c r="BQ91" s="33"/>
      <c r="BR91" s="5"/>
      <c r="BS91" s="9"/>
      <c r="BT91" s="9"/>
      <c r="BU91" s="9"/>
      <c r="BV91" s="9"/>
      <c r="BW91" s="9"/>
      <c r="BX91" s="9"/>
      <c r="BY91" s="6"/>
      <c r="BZ91" s="5"/>
      <c r="CA91" s="6"/>
      <c r="CB91" s="6"/>
      <c r="CC91" s="6"/>
      <c r="CD91" s="6"/>
      <c r="CE91" s="149"/>
      <c r="CF91" s="149"/>
      <c r="CG91" s="149"/>
      <c r="CH91" s="64"/>
      <c r="CI91" s="64"/>
      <c r="CJ91" s="64"/>
      <c r="CK91" s="6"/>
      <c r="CL91" s="6"/>
      <c r="CM91" s="6"/>
      <c r="CN91" s="6"/>
      <c r="CO91" s="6"/>
      <c r="CP91" s="6"/>
      <c r="CQ91" s="6"/>
      <c r="CR91" s="6"/>
      <c r="CS91" s="6"/>
      <c r="CT91" s="6"/>
      <c r="CU91" s="64"/>
      <c r="CV91" s="6"/>
      <c r="CW91" s="6"/>
      <c r="CX91" s="27"/>
      <c r="CY91" s="27"/>
      <c r="CZ91" s="27"/>
      <c r="DA91" s="27"/>
      <c r="DB91" s="27"/>
      <c r="DC91" s="27"/>
      <c r="DD91" s="27"/>
      <c r="DE91" s="13"/>
      <c r="DF91" s="13"/>
      <c r="DG91" s="27"/>
      <c r="DH91" s="27"/>
      <c r="DI91" s="27"/>
    </row>
    <row r="92" spans="1:113" ht="15" customHeight="1" thickBot="1">
      <c r="A92" s="13"/>
      <c r="B92" s="44"/>
      <c r="C92" s="7"/>
      <c r="D92" s="22"/>
      <c r="E92" s="22"/>
      <c r="F92" s="10"/>
      <c r="G92" s="10"/>
      <c r="H92" s="10"/>
      <c r="I92" s="41"/>
      <c r="J92" s="8"/>
      <c r="K92" s="9"/>
      <c r="L92" s="9"/>
      <c r="M92" s="9"/>
      <c r="N92" s="9"/>
      <c r="O92" s="64"/>
      <c r="P92" s="6"/>
      <c r="Q92" s="6"/>
      <c r="R92" s="6"/>
      <c r="S92" s="6"/>
      <c r="T92" s="6"/>
      <c r="U92" s="6"/>
      <c r="V92" s="6"/>
      <c r="W92" s="6"/>
      <c r="X92" s="6"/>
      <c r="Y92" s="9"/>
      <c r="Z92" s="6"/>
      <c r="AA92" s="9"/>
      <c r="AB92" s="9"/>
      <c r="AC92" s="68"/>
      <c r="AD92" s="61"/>
      <c r="AE92" s="10"/>
      <c r="AF92" s="10"/>
      <c r="AG92" s="10"/>
      <c r="AH92" s="10"/>
      <c r="AI92" s="10"/>
      <c r="AJ92" s="6"/>
      <c r="AK92" s="7"/>
      <c r="AL92" s="6"/>
      <c r="AM92" s="7"/>
      <c r="AN92" s="7"/>
      <c r="AO92" s="14"/>
      <c r="AP92" s="68"/>
      <c r="AQ92" s="143"/>
      <c r="AR92" s="144"/>
      <c r="AS92" s="9"/>
      <c r="AT92" s="9"/>
      <c r="AU92" s="7"/>
      <c r="AV92" s="7"/>
      <c r="AW92" s="5"/>
      <c r="AX92" s="10"/>
      <c r="AY92" s="9"/>
      <c r="AZ92" s="9"/>
      <c r="BA92" s="9"/>
      <c r="BB92" s="9"/>
      <c r="BC92" s="9"/>
      <c r="BD92" s="6"/>
      <c r="BE92" s="5"/>
      <c r="BF92" s="9"/>
      <c r="BG92" s="9"/>
      <c r="BH92" s="9"/>
      <c r="BI92" s="9"/>
      <c r="BJ92" s="9"/>
      <c r="BK92" s="9"/>
      <c r="BL92" s="9"/>
      <c r="BM92" s="9"/>
      <c r="BN92" s="9"/>
      <c r="BO92" s="9"/>
      <c r="BP92" s="9"/>
      <c r="BQ92" s="33"/>
      <c r="BR92" s="5"/>
      <c r="BS92" s="9"/>
      <c r="BT92" s="9"/>
      <c r="BU92" s="9"/>
      <c r="BV92" s="9"/>
      <c r="BW92" s="9"/>
      <c r="BX92" s="9"/>
      <c r="BY92" s="6"/>
      <c r="BZ92" s="5"/>
      <c r="CA92" s="6"/>
      <c r="CB92" s="6"/>
      <c r="CC92" s="6"/>
      <c r="CD92" s="6"/>
      <c r="CE92" s="149"/>
      <c r="CF92" s="149"/>
      <c r="CG92" s="149"/>
      <c r="CH92" s="64"/>
      <c r="CI92" s="64"/>
      <c r="CJ92" s="64"/>
      <c r="CK92" s="6"/>
      <c r="CL92" s="6"/>
      <c r="CM92" s="6"/>
      <c r="CN92" s="6"/>
      <c r="CO92" s="6"/>
      <c r="CP92" s="6"/>
      <c r="CQ92" s="6"/>
      <c r="CR92" s="6"/>
      <c r="CS92" s="6"/>
      <c r="CT92" s="6"/>
      <c r="CU92" s="64"/>
      <c r="CV92" s="6"/>
      <c r="CW92" s="6"/>
      <c r="CX92" s="27"/>
      <c r="CY92" s="27"/>
      <c r="CZ92" s="27"/>
      <c r="DA92" s="27"/>
      <c r="DB92" s="27"/>
      <c r="DC92" s="27"/>
      <c r="DD92" s="27"/>
      <c r="DE92" s="13"/>
      <c r="DF92" s="13"/>
      <c r="DG92" s="27"/>
      <c r="DH92" s="27"/>
      <c r="DI92" s="27"/>
    </row>
    <row r="93" spans="1:113" ht="16" thickBot="1">
      <c r="C93" s="7"/>
      <c r="D93" s="22"/>
      <c r="E93" s="22"/>
      <c r="H93" s="7"/>
      <c r="I93" s="8"/>
      <c r="J93" s="8"/>
      <c r="P93" s="6"/>
      <c r="Q93" s="6"/>
      <c r="R93" s="6"/>
      <c r="S93" s="6"/>
      <c r="T93" s="6"/>
      <c r="U93" s="6"/>
      <c r="V93" s="6"/>
      <c r="W93" s="6"/>
      <c r="X93" s="6"/>
      <c r="Z93" s="6"/>
      <c r="AA93" s="7"/>
      <c r="AB93" s="7"/>
      <c r="AC93" s="7"/>
      <c r="AD93" s="7"/>
      <c r="AE93" s="7"/>
      <c r="AF93" s="7"/>
      <c r="AG93" s="7"/>
      <c r="AH93" s="7"/>
      <c r="AI93" s="7"/>
      <c r="AN93" s="172" t="s">
        <v>565</v>
      </c>
      <c r="AO93" s="173">
        <f>COUNTIF($AO$4:$AO$90,AN93)</f>
        <v>52</v>
      </c>
    </row>
    <row r="94" spans="1:113">
      <c r="C94" s="7"/>
      <c r="D94" s="7"/>
      <c r="E94" s="7"/>
      <c r="F94" s="172" t="s">
        <v>850</v>
      </c>
      <c r="G94" s="87">
        <f>COUNTIF($G$4:$G$90,F94)</f>
        <v>26</v>
      </c>
      <c r="H94" s="7"/>
      <c r="I94" s="8"/>
      <c r="J94" s="8"/>
      <c r="M94" s="160" t="s">
        <v>120</v>
      </c>
      <c r="N94" s="161">
        <f>SUM(N4:N90)</f>
        <v>25288225</v>
      </c>
      <c r="P94" s="6"/>
      <c r="Q94" s="6"/>
      <c r="R94" s="6"/>
      <c r="S94" s="6"/>
      <c r="T94" s="6"/>
      <c r="U94" s="6"/>
      <c r="V94" s="6"/>
      <c r="W94" s="6"/>
      <c r="X94" s="6"/>
      <c r="Z94" s="86" t="s">
        <v>120</v>
      </c>
      <c r="AA94" s="95">
        <f>SUM(AA4:AA90)</f>
        <v>4333132</v>
      </c>
      <c r="AB94" s="95">
        <f>SUM(AB4:AB90)</f>
        <v>19760579</v>
      </c>
      <c r="AC94" s="96">
        <f>SUM(N4:N90)-SUM(AA94:AB94)</f>
        <v>1194514</v>
      </c>
      <c r="AD94" s="106"/>
      <c r="AE94" s="7"/>
      <c r="AF94" s="7"/>
      <c r="AG94" s="7"/>
      <c r="AH94" s="7"/>
      <c r="AI94" s="7"/>
      <c r="AN94" s="174" t="s">
        <v>564</v>
      </c>
      <c r="AO94" s="175">
        <f>COUNTIF($AO$4:$AO$90,AN94)</f>
        <v>16</v>
      </c>
    </row>
    <row r="95" spans="1:113" ht="16" thickBot="1">
      <c r="A95" s="5"/>
      <c r="B95" s="5"/>
      <c r="C95" s="7"/>
      <c r="D95" s="7"/>
      <c r="E95" s="7"/>
      <c r="F95" s="174" t="s">
        <v>851</v>
      </c>
      <c r="G95" s="93">
        <f>COUNTIF($G$4:$G$90,F95)</f>
        <v>15</v>
      </c>
      <c r="H95" s="7"/>
      <c r="I95" s="8"/>
      <c r="J95" s="8"/>
      <c r="M95" s="151"/>
      <c r="N95" s="162"/>
      <c r="P95" s="6"/>
      <c r="Q95" s="6"/>
      <c r="R95" s="6"/>
      <c r="S95" s="6"/>
      <c r="T95" s="6"/>
      <c r="U95" s="6"/>
      <c r="V95" s="6"/>
      <c r="W95" s="6"/>
      <c r="X95" s="6"/>
      <c r="Z95" s="88" t="s">
        <v>311</v>
      </c>
      <c r="AA95" s="165">
        <f>AA94/N94</f>
        <v>0.17134978829079542</v>
      </c>
      <c r="AB95" s="165">
        <f>AB94/N94</f>
        <v>0.78141423528144027</v>
      </c>
      <c r="AC95" s="166">
        <f>AC94/N94</f>
        <v>4.7235976427764302E-2</v>
      </c>
      <c r="AD95" s="107"/>
      <c r="AE95" s="7"/>
      <c r="AF95" s="7"/>
      <c r="AG95" s="7"/>
      <c r="AH95" s="7"/>
      <c r="AI95" s="7"/>
      <c r="AN95" s="176" t="s">
        <v>305</v>
      </c>
      <c r="AO95" s="162">
        <f>COUNTIF($AO$4:$AO$90,AN95)</f>
        <v>19</v>
      </c>
    </row>
    <row r="96" spans="1:113" ht="16" thickBot="1">
      <c r="A96" s="5"/>
      <c r="B96" s="5"/>
      <c r="C96" s="7"/>
      <c r="D96" s="7"/>
      <c r="E96" s="7"/>
      <c r="F96" s="174" t="s">
        <v>852</v>
      </c>
      <c r="G96" s="93">
        <f>COUNTIF($G$4:$G$90,F96)</f>
        <v>23</v>
      </c>
      <c r="H96" s="7"/>
      <c r="I96" s="8"/>
      <c r="J96" s="8"/>
      <c r="P96" s="6"/>
      <c r="Q96" s="6"/>
      <c r="R96" s="6"/>
      <c r="S96" s="6"/>
      <c r="T96" s="6"/>
      <c r="U96" s="6"/>
      <c r="V96" s="6"/>
      <c r="W96" s="6"/>
      <c r="X96" s="6"/>
      <c r="AB96" s="7"/>
      <c r="AC96" s="7"/>
      <c r="AD96" s="7"/>
      <c r="AE96" s="7"/>
      <c r="AF96" s="7"/>
      <c r="AG96" s="7"/>
      <c r="AH96" s="7"/>
      <c r="AI96" s="7"/>
    </row>
    <row r="97" spans="1:35">
      <c r="A97" s="5"/>
      <c r="B97" s="5"/>
      <c r="C97" s="7"/>
      <c r="D97" s="7"/>
      <c r="E97" s="7"/>
      <c r="F97" s="174" t="s">
        <v>853</v>
      </c>
      <c r="G97" s="93">
        <f>COUNTIF($G$4:$G$90,F97)</f>
        <v>20</v>
      </c>
      <c r="H97" s="7"/>
      <c r="I97" s="8"/>
      <c r="J97" s="8"/>
      <c r="P97" s="6"/>
      <c r="Q97" s="6"/>
      <c r="R97" s="6"/>
      <c r="S97" s="6"/>
      <c r="T97" s="6"/>
      <c r="U97" s="6"/>
      <c r="V97" s="6"/>
      <c r="W97" s="6"/>
      <c r="X97" s="6"/>
      <c r="Z97" s="91" t="s">
        <v>571</v>
      </c>
      <c r="AA97" s="87">
        <f>COUNTIF($Z$4:$Z$90,Z97)</f>
        <v>17</v>
      </c>
      <c r="AB97" s="7"/>
      <c r="AC97" s="7"/>
      <c r="AD97" s="7"/>
      <c r="AE97" s="7"/>
      <c r="AF97" s="7"/>
      <c r="AG97" s="7"/>
      <c r="AH97" s="7"/>
      <c r="AI97" s="7"/>
    </row>
    <row r="98" spans="1:35" ht="16" thickBot="1">
      <c r="A98" s="5"/>
      <c r="B98" s="5"/>
      <c r="C98" s="7"/>
      <c r="D98" s="7"/>
      <c r="E98" s="7"/>
      <c r="F98" s="176" t="s">
        <v>854</v>
      </c>
      <c r="G98" s="90">
        <f>COUNTIF($G$4:$G$90,F98)</f>
        <v>3</v>
      </c>
      <c r="H98" s="7"/>
      <c r="I98" s="8"/>
      <c r="J98" s="8"/>
      <c r="P98" s="6"/>
      <c r="Q98" s="6"/>
      <c r="R98" s="6"/>
      <c r="S98" s="6"/>
      <c r="T98" s="6"/>
      <c r="U98" s="6"/>
      <c r="V98" s="6"/>
      <c r="W98" s="6"/>
      <c r="X98" s="6"/>
      <c r="Z98" s="92" t="s">
        <v>572</v>
      </c>
      <c r="AA98" s="93">
        <f t="shared" ref="AA98:AA102" si="24">COUNTIF($Z$4:$Z$90,Z98)</f>
        <v>5</v>
      </c>
      <c r="AB98" s="7"/>
      <c r="AC98" s="7"/>
      <c r="AD98" s="7"/>
      <c r="AE98" s="7"/>
      <c r="AF98" s="7"/>
      <c r="AG98" s="7"/>
      <c r="AH98" s="7"/>
      <c r="AI98" s="7"/>
    </row>
    <row r="99" spans="1:35">
      <c r="A99" s="5"/>
      <c r="B99" s="5"/>
      <c r="C99" s="7"/>
      <c r="D99" s="7"/>
      <c r="E99" s="7"/>
      <c r="F99" s="7"/>
      <c r="G99" s="7"/>
      <c r="H99" s="7"/>
      <c r="I99" s="8"/>
      <c r="J99" s="8"/>
      <c r="P99" s="6"/>
      <c r="Q99" s="6"/>
      <c r="R99" s="6"/>
      <c r="S99" s="6"/>
      <c r="T99" s="6"/>
      <c r="U99" s="6"/>
      <c r="V99" s="6"/>
      <c r="W99" s="6"/>
      <c r="X99" s="6"/>
      <c r="Z99" s="92" t="s">
        <v>573</v>
      </c>
      <c r="AA99" s="93">
        <f t="shared" si="24"/>
        <v>19</v>
      </c>
      <c r="AB99" s="7"/>
      <c r="AC99" s="7"/>
      <c r="AD99" s="7"/>
      <c r="AE99" s="7"/>
      <c r="AF99" s="7"/>
      <c r="AG99" s="7"/>
      <c r="AH99" s="7"/>
      <c r="AI99" s="7"/>
    </row>
    <row r="100" spans="1:35">
      <c r="A100" s="5"/>
      <c r="B100" s="5"/>
      <c r="C100" s="7"/>
      <c r="D100" s="7"/>
      <c r="E100" s="7"/>
      <c r="F100" s="7"/>
      <c r="G100" s="7"/>
      <c r="H100" s="7"/>
      <c r="I100" s="8"/>
      <c r="J100" s="8"/>
      <c r="P100" s="6"/>
      <c r="Q100" s="6"/>
      <c r="R100" s="6"/>
      <c r="S100" s="6"/>
      <c r="T100" s="6"/>
      <c r="U100" s="6"/>
      <c r="V100" s="6"/>
      <c r="W100" s="6"/>
      <c r="X100" s="6"/>
      <c r="Z100" s="92" t="s">
        <v>96</v>
      </c>
      <c r="AA100" s="93">
        <f t="shared" si="24"/>
        <v>41</v>
      </c>
      <c r="AB100" s="7"/>
      <c r="AC100" s="7"/>
      <c r="AD100" s="7"/>
      <c r="AE100" s="7"/>
      <c r="AF100" s="7"/>
      <c r="AG100" s="7"/>
      <c r="AH100" s="7"/>
      <c r="AI100" s="7"/>
    </row>
    <row r="101" spans="1:35">
      <c r="A101" s="5"/>
      <c r="B101" s="5"/>
      <c r="C101" s="7"/>
      <c r="D101" s="7"/>
      <c r="E101" s="7"/>
      <c r="F101" s="7"/>
      <c r="G101" s="7"/>
      <c r="H101" s="7"/>
      <c r="I101" s="8"/>
      <c r="J101" s="8"/>
      <c r="P101" s="6"/>
      <c r="Q101" s="6"/>
      <c r="R101" s="6"/>
      <c r="S101" s="6"/>
      <c r="T101" s="6"/>
      <c r="U101" s="6"/>
      <c r="V101" s="6"/>
      <c r="W101" s="6"/>
      <c r="X101" s="6"/>
      <c r="Z101" s="92" t="s">
        <v>353</v>
      </c>
      <c r="AA101" s="93">
        <f t="shared" si="24"/>
        <v>1</v>
      </c>
      <c r="AB101" s="7"/>
      <c r="AC101" s="7"/>
      <c r="AD101" s="7"/>
      <c r="AE101" s="7"/>
      <c r="AF101" s="7"/>
      <c r="AG101" s="7"/>
      <c r="AH101" s="7"/>
      <c r="AI101" s="7"/>
    </row>
    <row r="102" spans="1:35" ht="16" thickBot="1">
      <c r="A102" s="5"/>
      <c r="B102" s="5"/>
      <c r="C102" s="7"/>
      <c r="D102" s="7"/>
      <c r="E102" s="7"/>
      <c r="F102" s="7"/>
      <c r="G102" s="7"/>
      <c r="H102" s="7"/>
      <c r="I102" s="8"/>
      <c r="J102" s="8"/>
      <c r="P102" s="6"/>
      <c r="Q102" s="6"/>
      <c r="R102" s="6"/>
      <c r="S102" s="6"/>
      <c r="T102" s="6"/>
      <c r="U102" s="6"/>
      <c r="V102" s="6"/>
      <c r="W102" s="6"/>
      <c r="X102" s="6"/>
      <c r="Z102" s="94" t="s">
        <v>305</v>
      </c>
      <c r="AA102" s="90">
        <f t="shared" si="24"/>
        <v>4</v>
      </c>
      <c r="AB102" s="7"/>
      <c r="AC102" s="7"/>
      <c r="AD102" s="7"/>
      <c r="AE102" s="7"/>
      <c r="AF102" s="7"/>
      <c r="AG102" s="7"/>
      <c r="AH102" s="7"/>
      <c r="AI102" s="7"/>
    </row>
    <row r="103" spans="1:35" ht="12.75" customHeight="1">
      <c r="A103" s="5"/>
      <c r="B103" s="5"/>
      <c r="C103" s="7"/>
      <c r="D103" s="7"/>
      <c r="E103" s="7"/>
      <c r="F103" s="7"/>
      <c r="G103" s="7"/>
      <c r="H103" s="7"/>
      <c r="I103" s="8"/>
      <c r="J103" s="8"/>
      <c r="P103" s="6"/>
      <c r="Q103" s="6"/>
      <c r="R103" s="6"/>
      <c r="S103" s="6"/>
      <c r="T103" s="6"/>
      <c r="U103" s="6"/>
      <c r="V103" s="6"/>
      <c r="W103" s="6"/>
      <c r="X103" s="6"/>
      <c r="Z103" s="6"/>
      <c r="AA103" s="7"/>
      <c r="AB103" s="7"/>
      <c r="AC103" s="7"/>
      <c r="AD103" s="7"/>
      <c r="AE103" s="7"/>
      <c r="AF103" s="7"/>
      <c r="AG103" s="7"/>
      <c r="AH103" s="7"/>
      <c r="AI103" s="7"/>
    </row>
    <row r="104" spans="1:35" ht="12.75" customHeight="1">
      <c r="A104" s="5"/>
      <c r="B104" s="5"/>
      <c r="C104" s="7"/>
      <c r="D104" s="7"/>
      <c r="E104" s="7"/>
      <c r="F104" s="7"/>
      <c r="G104" s="7"/>
      <c r="H104" s="7"/>
      <c r="I104" s="8"/>
      <c r="J104" s="8"/>
      <c r="P104" s="6"/>
      <c r="Q104" s="6"/>
      <c r="R104" s="6"/>
      <c r="S104" s="6"/>
      <c r="T104" s="6"/>
      <c r="U104" s="6"/>
      <c r="V104" s="6"/>
      <c r="W104" s="6"/>
      <c r="X104" s="6"/>
      <c r="Z104" s="6"/>
      <c r="AA104" s="7"/>
      <c r="AB104" s="7"/>
      <c r="AC104" s="7"/>
      <c r="AD104" s="7"/>
      <c r="AE104" s="7"/>
      <c r="AF104" s="7"/>
      <c r="AG104" s="7"/>
      <c r="AH104" s="7"/>
      <c r="AI104" s="7"/>
    </row>
    <row r="105" spans="1:35" ht="12.75" customHeight="1">
      <c r="A105" s="5"/>
      <c r="B105" s="5"/>
      <c r="C105" s="7"/>
      <c r="D105" s="7"/>
      <c r="E105" s="7"/>
      <c r="F105" s="7"/>
      <c r="G105" s="7"/>
      <c r="H105" s="7"/>
      <c r="I105" s="8"/>
      <c r="J105" s="8"/>
      <c r="P105" s="6"/>
      <c r="Q105" s="6"/>
      <c r="R105" s="6"/>
      <c r="S105" s="6"/>
      <c r="T105" s="6"/>
      <c r="U105" s="6"/>
      <c r="V105" s="6"/>
      <c r="W105" s="6"/>
      <c r="X105" s="6"/>
      <c r="AB105" s="7"/>
      <c r="AC105" s="7"/>
      <c r="AD105" s="7"/>
      <c r="AE105" s="7"/>
      <c r="AF105" s="7"/>
      <c r="AG105" s="7"/>
      <c r="AH105" s="7"/>
      <c r="AI105" s="7"/>
    </row>
    <row r="106" spans="1:35" ht="12.75" customHeight="1">
      <c r="A106" s="5"/>
      <c r="B106" s="5"/>
      <c r="C106" s="7"/>
      <c r="D106" s="7"/>
      <c r="E106" s="7"/>
      <c r="F106" s="7"/>
      <c r="G106" s="7"/>
      <c r="H106" s="7"/>
      <c r="I106" s="8"/>
      <c r="J106" s="8"/>
      <c r="P106" s="6"/>
      <c r="Q106" s="6"/>
      <c r="R106" s="6"/>
      <c r="S106" s="6"/>
      <c r="T106" s="6"/>
      <c r="U106" s="6"/>
      <c r="V106" s="6"/>
      <c r="W106" s="6"/>
      <c r="X106" s="6"/>
      <c r="AB106" s="7"/>
      <c r="AC106" s="7"/>
      <c r="AD106" s="7"/>
      <c r="AE106" s="7"/>
      <c r="AF106" s="7"/>
      <c r="AG106" s="7"/>
      <c r="AH106" s="7"/>
      <c r="AI106" s="7"/>
    </row>
    <row r="107" spans="1:35" ht="12.75" customHeight="1">
      <c r="A107" s="5"/>
      <c r="B107" s="5"/>
      <c r="C107" s="7"/>
      <c r="D107" s="7"/>
      <c r="E107" s="7"/>
      <c r="F107" s="7"/>
      <c r="G107" s="7"/>
      <c r="H107" s="7"/>
      <c r="I107" s="8"/>
      <c r="J107" s="8"/>
      <c r="P107" s="6"/>
      <c r="Q107" s="6"/>
      <c r="R107" s="6"/>
      <c r="S107" s="6"/>
      <c r="T107" s="6"/>
      <c r="U107" s="6"/>
      <c r="V107" s="6"/>
      <c r="W107" s="6"/>
      <c r="X107" s="6"/>
      <c r="AB107" s="7"/>
      <c r="AC107" s="7"/>
      <c r="AD107" s="7"/>
      <c r="AE107" s="7"/>
      <c r="AF107" s="7"/>
      <c r="AG107" s="7"/>
      <c r="AH107" s="7"/>
      <c r="AI107" s="7"/>
    </row>
    <row r="108" spans="1:35" ht="12.75" customHeight="1">
      <c r="A108" s="5"/>
      <c r="B108" s="5"/>
      <c r="C108" s="7"/>
      <c r="D108" s="7"/>
      <c r="E108" s="7"/>
      <c r="F108" s="7"/>
      <c r="G108" s="7"/>
      <c r="H108" s="7"/>
      <c r="I108" s="8"/>
      <c r="J108" s="8"/>
      <c r="P108" s="6"/>
      <c r="Q108" s="6"/>
      <c r="R108" s="6"/>
      <c r="S108" s="6"/>
      <c r="T108" s="6"/>
      <c r="U108" s="6"/>
      <c r="V108" s="6"/>
      <c r="W108" s="6"/>
      <c r="X108" s="6"/>
      <c r="AB108" s="7"/>
      <c r="AC108" s="7"/>
      <c r="AD108" s="7"/>
      <c r="AE108" s="7"/>
      <c r="AF108" s="7"/>
      <c r="AG108" s="7"/>
      <c r="AH108" s="7"/>
      <c r="AI108" s="7"/>
    </row>
    <row r="109" spans="1:35" ht="12.75" customHeight="1">
      <c r="A109" s="5"/>
      <c r="B109" s="5"/>
      <c r="C109" s="7"/>
      <c r="D109" s="7"/>
      <c r="E109" s="7"/>
      <c r="F109" s="7"/>
      <c r="G109" s="7"/>
      <c r="H109" s="7"/>
      <c r="I109" s="8"/>
      <c r="J109" s="8"/>
      <c r="P109" s="6"/>
      <c r="Q109" s="6"/>
      <c r="R109" s="6"/>
      <c r="S109" s="6"/>
      <c r="T109" s="6"/>
      <c r="U109" s="6"/>
      <c r="V109" s="6"/>
      <c r="W109" s="6"/>
      <c r="X109" s="6"/>
      <c r="AB109" s="7"/>
      <c r="AC109" s="7"/>
      <c r="AD109" s="7"/>
      <c r="AE109" s="7"/>
      <c r="AF109" s="7"/>
      <c r="AG109" s="7"/>
      <c r="AH109" s="7"/>
      <c r="AI109" s="7"/>
    </row>
    <row r="110" spans="1:35" ht="12.75" customHeight="1">
      <c r="A110" s="5"/>
      <c r="B110" s="5"/>
      <c r="C110" s="7"/>
      <c r="D110" s="7"/>
      <c r="E110" s="7"/>
      <c r="F110" s="7"/>
      <c r="G110" s="7"/>
      <c r="H110" s="7"/>
      <c r="I110" s="8"/>
      <c r="J110" s="8"/>
      <c r="P110" s="6"/>
      <c r="Q110" s="6"/>
      <c r="R110" s="6"/>
      <c r="S110" s="6"/>
      <c r="T110" s="6"/>
      <c r="U110" s="6"/>
      <c r="V110" s="6"/>
      <c r="W110" s="6"/>
      <c r="X110" s="6"/>
      <c r="AB110" s="7"/>
      <c r="AC110" s="7"/>
      <c r="AD110" s="7"/>
      <c r="AE110" s="7"/>
      <c r="AF110" s="7"/>
      <c r="AG110" s="7"/>
      <c r="AH110" s="7"/>
      <c r="AI110" s="7"/>
    </row>
    <row r="111" spans="1:35" ht="12.75" customHeight="1">
      <c r="A111" s="5"/>
      <c r="B111" s="5"/>
      <c r="C111" s="7"/>
      <c r="D111" s="7"/>
      <c r="E111" s="7"/>
      <c r="F111" s="7"/>
      <c r="G111" s="7"/>
      <c r="H111" s="7"/>
      <c r="I111" s="8"/>
      <c r="J111" s="8"/>
      <c r="P111" s="6"/>
      <c r="Q111" s="6"/>
      <c r="R111" s="6"/>
      <c r="S111" s="6"/>
      <c r="T111" s="6"/>
      <c r="U111" s="6"/>
      <c r="V111" s="6"/>
      <c r="W111" s="6"/>
      <c r="X111" s="6"/>
      <c r="Z111" s="6"/>
      <c r="AA111" s="7"/>
      <c r="AB111" s="7"/>
      <c r="AC111" s="7"/>
      <c r="AD111" s="7"/>
      <c r="AE111" s="7"/>
      <c r="AF111" s="7"/>
      <c r="AG111" s="7"/>
      <c r="AH111" s="7"/>
      <c r="AI111" s="7"/>
    </row>
    <row r="112" spans="1:35" ht="12.75" customHeight="1">
      <c r="A112" s="5"/>
      <c r="B112" s="5"/>
      <c r="C112" s="7"/>
      <c r="D112" s="7"/>
      <c r="E112" s="7"/>
      <c r="F112" s="7"/>
      <c r="G112" s="7"/>
      <c r="H112" s="7"/>
      <c r="I112" s="8"/>
      <c r="J112" s="8"/>
      <c r="P112" s="6"/>
      <c r="Q112" s="6"/>
      <c r="R112" s="6"/>
      <c r="S112" s="6"/>
      <c r="T112" s="6"/>
      <c r="U112" s="6"/>
      <c r="V112" s="6"/>
      <c r="W112" s="6"/>
      <c r="X112" s="6"/>
      <c r="Z112" s="6"/>
      <c r="AA112" s="7"/>
      <c r="AB112" s="7"/>
      <c r="AC112" s="7"/>
      <c r="AD112" s="7"/>
      <c r="AE112" s="7"/>
      <c r="AF112" s="7"/>
      <c r="AG112" s="7"/>
      <c r="AH112" s="7"/>
      <c r="AI112" s="7"/>
    </row>
    <row r="113" spans="1:35" ht="12.75" customHeight="1">
      <c r="A113" s="5"/>
      <c r="B113" s="5"/>
      <c r="C113" s="7"/>
      <c r="D113" s="7"/>
      <c r="E113" s="7"/>
      <c r="F113" s="7"/>
      <c r="G113" s="7"/>
      <c r="H113" s="7"/>
      <c r="I113" s="8"/>
      <c r="J113" s="8"/>
      <c r="P113" s="6"/>
      <c r="Q113" s="6"/>
      <c r="R113" s="6"/>
      <c r="S113" s="6"/>
      <c r="T113" s="6"/>
      <c r="U113" s="6"/>
      <c r="V113" s="6"/>
      <c r="W113" s="6"/>
      <c r="X113" s="6"/>
      <c r="Z113" s="6"/>
      <c r="AA113" s="7"/>
      <c r="AB113" s="7"/>
      <c r="AC113" s="7"/>
      <c r="AD113" s="7"/>
      <c r="AE113" s="7"/>
      <c r="AF113" s="7"/>
      <c r="AG113" s="7"/>
      <c r="AH113" s="7"/>
      <c r="AI113" s="7"/>
    </row>
    <row r="114" spans="1:35" ht="12.75" customHeight="1">
      <c r="A114" s="5"/>
      <c r="B114" s="5"/>
      <c r="C114" s="7"/>
      <c r="D114" s="7"/>
      <c r="E114" s="7"/>
      <c r="F114" s="7"/>
      <c r="G114" s="7"/>
      <c r="H114" s="7"/>
      <c r="I114" s="8"/>
      <c r="J114" s="8"/>
      <c r="P114" s="6"/>
      <c r="Q114" s="6"/>
      <c r="R114" s="6"/>
      <c r="S114" s="6"/>
      <c r="T114" s="6"/>
      <c r="U114" s="6"/>
      <c r="V114" s="6"/>
      <c r="W114" s="6"/>
      <c r="X114" s="6"/>
      <c r="Z114" s="6"/>
      <c r="AA114" s="7"/>
      <c r="AB114" s="7"/>
      <c r="AC114" s="7"/>
      <c r="AD114" s="7"/>
      <c r="AE114" s="7"/>
      <c r="AF114" s="7"/>
      <c r="AG114" s="7"/>
      <c r="AH114" s="7"/>
      <c r="AI114" s="7"/>
    </row>
    <row r="115" spans="1:35" ht="12.75" customHeight="1">
      <c r="A115" s="5"/>
      <c r="B115" s="5"/>
      <c r="C115" s="7"/>
      <c r="D115" s="7"/>
      <c r="E115" s="7"/>
      <c r="F115" s="7"/>
      <c r="G115" s="7"/>
      <c r="H115" s="7"/>
      <c r="I115" s="8"/>
      <c r="J115" s="8"/>
      <c r="P115" s="6"/>
      <c r="Q115" s="6"/>
      <c r="R115" s="6"/>
      <c r="S115" s="6"/>
      <c r="T115" s="6"/>
      <c r="U115" s="6"/>
      <c r="V115" s="6"/>
      <c r="W115" s="6"/>
      <c r="X115" s="6"/>
      <c r="Z115" s="6"/>
      <c r="AA115" s="7"/>
      <c r="AB115" s="7"/>
      <c r="AC115" s="7"/>
      <c r="AD115" s="7"/>
      <c r="AE115" s="7"/>
      <c r="AF115" s="7"/>
      <c r="AG115" s="7"/>
      <c r="AH115" s="7"/>
      <c r="AI115" s="7"/>
    </row>
    <row r="116" spans="1:35" ht="12.75" customHeight="1">
      <c r="A116" s="5"/>
      <c r="B116" s="5"/>
      <c r="C116" s="7"/>
      <c r="D116" s="7"/>
      <c r="E116" s="7"/>
      <c r="F116" s="7"/>
      <c r="G116" s="7"/>
      <c r="H116" s="7"/>
      <c r="I116" s="8"/>
      <c r="J116" s="8"/>
      <c r="P116" s="6"/>
      <c r="Q116" s="6"/>
      <c r="R116" s="6"/>
      <c r="S116" s="6"/>
      <c r="T116" s="6"/>
      <c r="U116" s="6"/>
      <c r="V116" s="6"/>
      <c r="W116" s="6"/>
      <c r="X116" s="6"/>
      <c r="Z116" s="6"/>
      <c r="AA116" s="7"/>
      <c r="AB116" s="7"/>
      <c r="AC116" s="7"/>
      <c r="AD116" s="7"/>
      <c r="AE116" s="7"/>
      <c r="AF116" s="7"/>
      <c r="AG116" s="7"/>
      <c r="AH116" s="7"/>
      <c r="AI116" s="7"/>
    </row>
    <row r="117" spans="1:35" ht="12.75" customHeight="1">
      <c r="A117" s="5"/>
      <c r="B117" s="5"/>
      <c r="C117" s="7"/>
      <c r="D117" s="7"/>
      <c r="E117" s="7"/>
      <c r="F117" s="7"/>
      <c r="G117" s="7"/>
      <c r="H117" s="7"/>
      <c r="I117" s="8"/>
      <c r="J117" s="8"/>
      <c r="P117" s="6"/>
      <c r="Q117" s="6"/>
      <c r="R117" s="6"/>
      <c r="S117" s="6"/>
      <c r="T117" s="6"/>
      <c r="U117" s="6"/>
      <c r="V117" s="6"/>
      <c r="W117" s="6"/>
      <c r="X117" s="6"/>
      <c r="Z117" s="6"/>
      <c r="AA117" s="7"/>
      <c r="AB117" s="7"/>
      <c r="AC117" s="7"/>
      <c r="AD117" s="7"/>
      <c r="AE117" s="7"/>
      <c r="AF117" s="7"/>
      <c r="AG117" s="7"/>
      <c r="AH117" s="7"/>
      <c r="AI117" s="7"/>
    </row>
    <row r="118" spans="1:35" ht="12.75" customHeight="1">
      <c r="A118" s="5"/>
      <c r="B118" s="5"/>
      <c r="C118" s="7"/>
      <c r="D118" s="7"/>
      <c r="E118" s="7"/>
      <c r="F118" s="7"/>
      <c r="G118" s="7"/>
      <c r="H118" s="7"/>
      <c r="I118" s="8"/>
      <c r="J118" s="8"/>
      <c r="P118" s="6"/>
      <c r="Q118" s="6"/>
      <c r="R118" s="6"/>
      <c r="S118" s="6"/>
      <c r="T118" s="6"/>
      <c r="U118" s="6"/>
      <c r="V118" s="6"/>
      <c r="W118" s="6"/>
      <c r="X118" s="6"/>
      <c r="Z118" s="6"/>
      <c r="AA118" s="7"/>
      <c r="AB118" s="7"/>
      <c r="AC118" s="7"/>
      <c r="AD118" s="7"/>
      <c r="AE118" s="7"/>
      <c r="AF118" s="7"/>
      <c r="AG118" s="7"/>
      <c r="AH118" s="7"/>
      <c r="AI118" s="7"/>
    </row>
    <row r="119" spans="1:35" ht="12.75" customHeight="1">
      <c r="A119" s="5"/>
      <c r="B119" s="5"/>
      <c r="C119" s="7"/>
      <c r="D119" s="7"/>
      <c r="E119" s="7"/>
      <c r="F119" s="7"/>
      <c r="G119" s="7"/>
      <c r="H119" s="7"/>
      <c r="I119" s="8"/>
      <c r="J119" s="8"/>
      <c r="P119" s="6"/>
      <c r="Q119" s="6"/>
      <c r="R119" s="6"/>
      <c r="S119" s="6"/>
      <c r="T119" s="6"/>
      <c r="U119" s="6"/>
      <c r="V119" s="6"/>
      <c r="W119" s="6"/>
      <c r="X119" s="6"/>
      <c r="Z119" s="6"/>
      <c r="AA119" s="7"/>
      <c r="AB119" s="7"/>
      <c r="AC119" s="7"/>
      <c r="AD119" s="7"/>
      <c r="AE119" s="7"/>
      <c r="AF119" s="7"/>
      <c r="AG119" s="7"/>
      <c r="AH119" s="7"/>
      <c r="AI119" s="7"/>
    </row>
    <row r="120" spans="1:35" ht="12.75" customHeight="1">
      <c r="A120" s="5"/>
      <c r="B120" s="5"/>
      <c r="C120" s="7"/>
      <c r="D120" s="7"/>
      <c r="E120" s="7"/>
      <c r="F120" s="7"/>
      <c r="G120" s="7"/>
      <c r="H120" s="7"/>
      <c r="I120" s="8"/>
      <c r="J120" s="8"/>
      <c r="P120" s="6"/>
      <c r="Q120" s="6"/>
      <c r="R120" s="6"/>
      <c r="S120" s="6"/>
      <c r="T120" s="6"/>
      <c r="U120" s="6"/>
      <c r="V120" s="6"/>
      <c r="W120" s="6"/>
      <c r="X120" s="6"/>
      <c r="Z120" s="6"/>
      <c r="AA120" s="7"/>
      <c r="AB120" s="7"/>
      <c r="AC120" s="7"/>
      <c r="AD120" s="7"/>
      <c r="AE120" s="7"/>
      <c r="AF120" s="7"/>
      <c r="AG120" s="7"/>
      <c r="AH120" s="7"/>
      <c r="AI120" s="7"/>
    </row>
    <row r="121" spans="1:35" ht="12.75" customHeight="1">
      <c r="A121" s="5"/>
      <c r="B121" s="5"/>
      <c r="C121" s="7"/>
      <c r="D121" s="7"/>
      <c r="E121" s="7"/>
      <c r="F121" s="7"/>
      <c r="G121" s="7"/>
      <c r="H121" s="7"/>
      <c r="I121" s="8"/>
      <c r="J121" s="8"/>
      <c r="P121" s="6"/>
      <c r="Q121" s="6"/>
      <c r="R121" s="6"/>
      <c r="S121" s="6"/>
      <c r="T121" s="6"/>
      <c r="U121" s="6"/>
      <c r="V121" s="6"/>
      <c r="W121" s="6"/>
      <c r="X121" s="6"/>
      <c r="Z121" s="6"/>
      <c r="AA121" s="7"/>
      <c r="AB121" s="7"/>
      <c r="AC121" s="7"/>
      <c r="AD121" s="7"/>
      <c r="AE121" s="7"/>
      <c r="AF121" s="7"/>
      <c r="AG121" s="7"/>
      <c r="AH121" s="7"/>
      <c r="AI121" s="7"/>
    </row>
    <row r="122" spans="1:35" ht="12.75" customHeight="1">
      <c r="A122" s="5"/>
      <c r="B122" s="5"/>
      <c r="C122" s="7"/>
      <c r="D122" s="7"/>
      <c r="E122" s="7"/>
      <c r="F122" s="7"/>
      <c r="G122" s="7"/>
      <c r="H122" s="7"/>
      <c r="I122" s="8"/>
      <c r="J122" s="8"/>
      <c r="P122" s="6"/>
      <c r="Q122" s="6"/>
      <c r="R122" s="6"/>
      <c r="S122" s="6"/>
      <c r="T122" s="6"/>
      <c r="U122" s="6"/>
      <c r="V122" s="6"/>
      <c r="W122" s="6"/>
      <c r="X122" s="6"/>
      <c r="Z122" s="6"/>
      <c r="AA122" s="7"/>
      <c r="AB122" s="7"/>
      <c r="AC122" s="7"/>
      <c r="AD122" s="7"/>
      <c r="AE122" s="7"/>
      <c r="AF122" s="7"/>
      <c r="AG122" s="7"/>
      <c r="AH122" s="7"/>
      <c r="AI122" s="7"/>
    </row>
    <row r="123" spans="1:35" ht="12.75" customHeight="1">
      <c r="A123" s="5"/>
      <c r="B123" s="5"/>
      <c r="C123" s="7"/>
      <c r="D123" s="7"/>
      <c r="E123" s="7"/>
      <c r="F123" s="7"/>
      <c r="G123" s="7"/>
      <c r="H123" s="7"/>
      <c r="I123" s="8"/>
      <c r="J123" s="8"/>
      <c r="P123" s="6"/>
      <c r="Q123" s="6"/>
      <c r="R123" s="6"/>
      <c r="S123" s="6"/>
      <c r="T123" s="6"/>
      <c r="U123" s="6"/>
      <c r="V123" s="6"/>
      <c r="W123" s="6"/>
      <c r="X123" s="6"/>
      <c r="Z123" s="6"/>
      <c r="AA123" s="7"/>
      <c r="AB123" s="7"/>
      <c r="AC123" s="7"/>
      <c r="AD123" s="7"/>
      <c r="AE123" s="7"/>
      <c r="AF123" s="7"/>
      <c r="AG123" s="7"/>
      <c r="AH123" s="7"/>
      <c r="AI123" s="7"/>
    </row>
    <row r="124" spans="1:35" ht="12.75" customHeight="1">
      <c r="A124" s="5"/>
      <c r="B124" s="5"/>
      <c r="C124" s="7"/>
      <c r="D124" s="7"/>
      <c r="E124" s="7"/>
      <c r="F124" s="7"/>
      <c r="G124" s="7"/>
      <c r="H124" s="7"/>
      <c r="I124" s="8"/>
      <c r="J124" s="8"/>
      <c r="P124" s="6"/>
      <c r="Q124" s="6"/>
      <c r="R124" s="6"/>
      <c r="S124" s="6"/>
      <c r="T124" s="6"/>
      <c r="U124" s="6"/>
      <c r="V124" s="6"/>
      <c r="W124" s="6"/>
      <c r="X124" s="6"/>
      <c r="Z124" s="6"/>
      <c r="AA124" s="7"/>
      <c r="AB124" s="7"/>
      <c r="AC124" s="7"/>
      <c r="AD124" s="7"/>
      <c r="AE124" s="7"/>
      <c r="AF124" s="7"/>
      <c r="AG124" s="7"/>
      <c r="AH124" s="7"/>
      <c r="AI124" s="7"/>
    </row>
    <row r="125" spans="1:35" ht="12.75" customHeight="1">
      <c r="A125" s="5"/>
      <c r="B125" s="5"/>
      <c r="C125" s="7"/>
      <c r="D125" s="7"/>
      <c r="E125" s="7"/>
      <c r="F125" s="7"/>
      <c r="G125" s="7"/>
      <c r="H125" s="7"/>
      <c r="I125" s="8"/>
      <c r="J125" s="8"/>
      <c r="P125" s="6"/>
      <c r="Q125" s="6"/>
      <c r="R125" s="6"/>
      <c r="S125" s="6"/>
      <c r="T125" s="6"/>
      <c r="U125" s="6"/>
      <c r="V125" s="6"/>
      <c r="W125" s="6"/>
      <c r="X125" s="6"/>
      <c r="Z125" s="6"/>
      <c r="AA125" s="7"/>
      <c r="AB125" s="7"/>
      <c r="AC125" s="7"/>
      <c r="AD125" s="7"/>
      <c r="AE125" s="7"/>
      <c r="AF125" s="7"/>
      <c r="AG125" s="7"/>
      <c r="AH125" s="7"/>
      <c r="AI125" s="7"/>
    </row>
    <row r="126" spans="1:35" ht="12.75" customHeight="1">
      <c r="A126" s="5"/>
      <c r="B126" s="5"/>
      <c r="C126" s="7"/>
      <c r="D126" s="7"/>
      <c r="E126" s="7"/>
      <c r="F126" s="7"/>
      <c r="G126" s="7"/>
      <c r="H126" s="7"/>
      <c r="I126" s="8"/>
      <c r="J126" s="8"/>
      <c r="P126" s="6"/>
      <c r="Q126" s="6"/>
      <c r="R126" s="6"/>
      <c r="S126" s="6"/>
      <c r="T126" s="6"/>
      <c r="U126" s="6"/>
      <c r="V126" s="6"/>
      <c r="W126" s="6"/>
      <c r="X126" s="6"/>
      <c r="Z126" s="6"/>
      <c r="AA126" s="7"/>
      <c r="AB126" s="7"/>
      <c r="AC126" s="7"/>
      <c r="AD126" s="7"/>
      <c r="AE126" s="7"/>
      <c r="AF126" s="7"/>
      <c r="AG126" s="7"/>
      <c r="AH126" s="7"/>
      <c r="AI126" s="7"/>
    </row>
    <row r="127" spans="1:35" ht="12.75" customHeight="1">
      <c r="A127" s="5"/>
      <c r="B127" s="5"/>
      <c r="C127" s="7"/>
      <c r="D127" s="7"/>
      <c r="E127" s="7"/>
      <c r="F127" s="7"/>
      <c r="G127" s="7"/>
      <c r="H127" s="7"/>
      <c r="I127" s="8"/>
      <c r="J127" s="8"/>
      <c r="P127" s="6"/>
      <c r="Q127" s="6"/>
      <c r="R127" s="6"/>
      <c r="S127" s="6"/>
      <c r="T127" s="6"/>
      <c r="U127" s="6"/>
      <c r="V127" s="6"/>
      <c r="W127" s="6"/>
      <c r="X127" s="6"/>
      <c r="Z127" s="6"/>
      <c r="AA127" s="7"/>
      <c r="AB127" s="7"/>
      <c r="AC127" s="7"/>
      <c r="AD127" s="7"/>
      <c r="AE127" s="7"/>
      <c r="AF127" s="7"/>
      <c r="AG127" s="7"/>
      <c r="AH127" s="7"/>
      <c r="AI127" s="7"/>
    </row>
    <row r="128" spans="1:35" ht="12.75" customHeight="1">
      <c r="A128" s="5"/>
      <c r="B128" s="5"/>
      <c r="C128" s="7"/>
      <c r="D128" s="7"/>
      <c r="E128" s="7"/>
      <c r="F128" s="7"/>
      <c r="G128" s="7"/>
      <c r="H128" s="7"/>
      <c r="I128" s="8"/>
      <c r="J128" s="8"/>
      <c r="P128" s="6"/>
      <c r="Q128" s="6"/>
      <c r="R128" s="6"/>
      <c r="S128" s="6"/>
      <c r="T128" s="6"/>
      <c r="U128" s="6"/>
      <c r="V128" s="6"/>
      <c r="W128" s="6"/>
      <c r="X128" s="6"/>
      <c r="Z128" s="6"/>
      <c r="AA128" s="7"/>
      <c r="AB128" s="7"/>
      <c r="AC128" s="7"/>
      <c r="AD128" s="7"/>
      <c r="AE128" s="7"/>
      <c r="AF128" s="7"/>
      <c r="AG128" s="7"/>
      <c r="AH128" s="7"/>
      <c r="AI128" s="7"/>
    </row>
    <row r="129" spans="1:35" ht="12.75" customHeight="1">
      <c r="A129" s="5"/>
      <c r="B129" s="5"/>
      <c r="C129" s="7"/>
      <c r="D129" s="7"/>
      <c r="E129" s="7"/>
      <c r="F129" s="7"/>
      <c r="G129" s="7"/>
      <c r="H129" s="7"/>
      <c r="I129" s="8"/>
      <c r="J129" s="8"/>
      <c r="P129" s="6"/>
      <c r="Q129" s="6"/>
      <c r="R129" s="6"/>
      <c r="S129" s="6"/>
      <c r="T129" s="6"/>
      <c r="U129" s="6"/>
      <c r="V129" s="6"/>
      <c r="W129" s="6"/>
      <c r="X129" s="6"/>
      <c r="Z129" s="6"/>
      <c r="AA129" s="7"/>
      <c r="AB129" s="7"/>
      <c r="AC129" s="7"/>
      <c r="AD129" s="7"/>
      <c r="AE129" s="7"/>
      <c r="AF129" s="7"/>
      <c r="AG129" s="7"/>
      <c r="AH129" s="7"/>
      <c r="AI129" s="7"/>
    </row>
    <row r="130" spans="1:35" ht="12.75" customHeight="1">
      <c r="A130" s="5"/>
      <c r="B130" s="5"/>
      <c r="C130" s="7"/>
      <c r="D130" s="7"/>
      <c r="E130" s="7"/>
      <c r="F130" s="7"/>
      <c r="G130" s="7"/>
      <c r="H130" s="7"/>
      <c r="I130" s="8"/>
      <c r="J130" s="8"/>
      <c r="P130" s="6"/>
      <c r="Q130" s="6"/>
      <c r="R130" s="6"/>
      <c r="S130" s="6"/>
      <c r="T130" s="6"/>
      <c r="U130" s="6"/>
      <c r="V130" s="6"/>
      <c r="W130" s="6"/>
      <c r="X130" s="6"/>
      <c r="Z130" s="6"/>
      <c r="AA130" s="7"/>
      <c r="AB130" s="7"/>
      <c r="AC130" s="7"/>
      <c r="AD130" s="7"/>
      <c r="AE130" s="7"/>
      <c r="AF130" s="7"/>
      <c r="AG130" s="7"/>
      <c r="AH130" s="7"/>
      <c r="AI130" s="7"/>
    </row>
    <row r="131" spans="1:35" ht="12.75" customHeight="1">
      <c r="A131" s="5"/>
      <c r="B131" s="5"/>
      <c r="C131" s="7"/>
      <c r="D131" s="7"/>
      <c r="E131" s="7"/>
      <c r="F131" s="7"/>
      <c r="G131" s="7"/>
      <c r="H131" s="7"/>
      <c r="I131" s="8"/>
      <c r="J131" s="8"/>
      <c r="P131" s="6"/>
      <c r="Q131" s="6"/>
      <c r="R131" s="6"/>
      <c r="S131" s="6"/>
      <c r="T131" s="6"/>
      <c r="U131" s="6"/>
      <c r="V131" s="6"/>
      <c r="W131" s="6"/>
      <c r="X131" s="6"/>
      <c r="Z131" s="6"/>
      <c r="AA131" s="7"/>
      <c r="AB131" s="7"/>
      <c r="AC131" s="7"/>
      <c r="AD131" s="7"/>
      <c r="AE131" s="7"/>
      <c r="AF131" s="7"/>
      <c r="AG131" s="7"/>
      <c r="AH131" s="7"/>
      <c r="AI131" s="7"/>
    </row>
    <row r="132" spans="1:35" ht="12.75" customHeight="1">
      <c r="A132" s="5"/>
      <c r="B132" s="5"/>
      <c r="C132" s="7"/>
      <c r="D132" s="7"/>
      <c r="E132" s="7"/>
      <c r="F132" s="7"/>
      <c r="G132" s="7"/>
      <c r="H132" s="7"/>
      <c r="I132" s="8"/>
      <c r="J132" s="8"/>
      <c r="P132" s="6"/>
      <c r="Q132" s="6"/>
      <c r="R132" s="6"/>
      <c r="S132" s="6"/>
      <c r="T132" s="6"/>
      <c r="U132" s="6"/>
      <c r="V132" s="6"/>
      <c r="W132" s="6"/>
      <c r="X132" s="6"/>
      <c r="Z132" s="6"/>
      <c r="AA132" s="7"/>
      <c r="AB132" s="7"/>
      <c r="AC132" s="7"/>
      <c r="AD132" s="7"/>
      <c r="AE132" s="7"/>
      <c r="AF132" s="7"/>
      <c r="AG132" s="7"/>
      <c r="AH132" s="7"/>
      <c r="AI132" s="7"/>
    </row>
    <row r="133" spans="1:35" ht="12.75" customHeight="1">
      <c r="A133" s="5"/>
      <c r="B133" s="5"/>
      <c r="C133" s="7"/>
      <c r="D133" s="7"/>
      <c r="E133" s="7"/>
      <c r="F133" s="7"/>
      <c r="G133" s="7"/>
      <c r="H133" s="7"/>
      <c r="I133" s="8"/>
      <c r="J133" s="8"/>
      <c r="P133" s="6"/>
      <c r="Q133" s="6"/>
      <c r="R133" s="6"/>
      <c r="S133" s="6"/>
      <c r="T133" s="6"/>
      <c r="U133" s="6"/>
      <c r="V133" s="6"/>
      <c r="W133" s="6"/>
      <c r="X133" s="6"/>
      <c r="Z133" s="6"/>
      <c r="AA133" s="7"/>
      <c r="AB133" s="7"/>
      <c r="AC133" s="7"/>
      <c r="AD133" s="7"/>
      <c r="AE133" s="7"/>
      <c r="AF133" s="7"/>
      <c r="AG133" s="7"/>
      <c r="AH133" s="7"/>
      <c r="AI133" s="7"/>
    </row>
    <row r="134" spans="1:35" ht="12.75" customHeight="1">
      <c r="A134" s="5"/>
      <c r="B134" s="5"/>
      <c r="C134" s="7"/>
      <c r="D134" s="7"/>
      <c r="E134" s="7"/>
      <c r="F134" s="7"/>
      <c r="G134" s="7"/>
      <c r="H134" s="7"/>
      <c r="I134" s="8"/>
      <c r="J134" s="8"/>
      <c r="P134" s="6"/>
      <c r="Q134" s="6"/>
      <c r="R134" s="6"/>
      <c r="S134" s="6"/>
      <c r="T134" s="6"/>
      <c r="U134" s="6"/>
      <c r="V134" s="6"/>
      <c r="W134" s="6"/>
      <c r="X134" s="6"/>
      <c r="Z134" s="6"/>
      <c r="AA134" s="7"/>
      <c r="AB134" s="7"/>
      <c r="AC134" s="7"/>
      <c r="AD134" s="7"/>
      <c r="AE134" s="7"/>
      <c r="AF134" s="7"/>
      <c r="AG134" s="7"/>
      <c r="AH134" s="7"/>
      <c r="AI134" s="7"/>
    </row>
    <row r="135" spans="1:35" ht="12.75" customHeight="1">
      <c r="A135" s="5"/>
      <c r="B135" s="5"/>
      <c r="C135" s="7"/>
      <c r="D135" s="7"/>
      <c r="E135" s="7"/>
      <c r="F135" s="7"/>
      <c r="G135" s="7"/>
      <c r="H135" s="7"/>
      <c r="I135" s="8"/>
      <c r="J135" s="8"/>
      <c r="P135" s="6"/>
      <c r="Q135" s="6"/>
      <c r="R135" s="6"/>
      <c r="S135" s="6"/>
      <c r="T135" s="6"/>
      <c r="U135" s="6"/>
      <c r="V135" s="6"/>
      <c r="W135" s="6"/>
      <c r="X135" s="6"/>
      <c r="Z135" s="6"/>
      <c r="AA135" s="7"/>
      <c r="AB135" s="7"/>
      <c r="AC135" s="7"/>
      <c r="AD135" s="7"/>
      <c r="AE135" s="7"/>
      <c r="AF135" s="7"/>
      <c r="AG135" s="7"/>
      <c r="AH135" s="7"/>
      <c r="AI135" s="7"/>
    </row>
    <row r="136" spans="1:35" ht="12.75" customHeight="1">
      <c r="A136" s="5"/>
      <c r="B136" s="5"/>
      <c r="C136" s="7"/>
      <c r="D136" s="7"/>
      <c r="E136" s="7"/>
      <c r="F136" s="7"/>
      <c r="G136" s="7"/>
      <c r="H136" s="7"/>
      <c r="I136" s="8"/>
      <c r="J136" s="8"/>
      <c r="P136" s="6"/>
      <c r="Q136" s="6"/>
      <c r="R136" s="6"/>
      <c r="S136" s="6"/>
      <c r="T136" s="6"/>
      <c r="U136" s="6"/>
      <c r="V136" s="6"/>
      <c r="W136" s="6"/>
      <c r="X136" s="6"/>
      <c r="Z136" s="6"/>
      <c r="AA136" s="7"/>
      <c r="AB136" s="7"/>
      <c r="AC136" s="7"/>
      <c r="AD136" s="7"/>
      <c r="AE136" s="7"/>
      <c r="AF136" s="7"/>
      <c r="AG136" s="7"/>
      <c r="AH136" s="7"/>
      <c r="AI136" s="7"/>
    </row>
    <row r="137" spans="1:35" ht="12.75" customHeight="1">
      <c r="A137" s="5"/>
      <c r="B137" s="5"/>
      <c r="C137" s="7"/>
      <c r="D137" s="7"/>
      <c r="E137" s="7"/>
      <c r="F137" s="7"/>
      <c r="G137" s="7"/>
      <c r="H137" s="7"/>
      <c r="I137" s="8"/>
      <c r="J137" s="8"/>
      <c r="P137" s="6"/>
      <c r="Q137" s="6"/>
      <c r="R137" s="6"/>
      <c r="S137" s="6"/>
      <c r="T137" s="6"/>
      <c r="U137" s="6"/>
      <c r="V137" s="6"/>
      <c r="W137" s="6"/>
      <c r="X137" s="6"/>
      <c r="Z137" s="6"/>
      <c r="AA137" s="7"/>
      <c r="AB137" s="7"/>
      <c r="AC137" s="7"/>
      <c r="AD137" s="7"/>
      <c r="AE137" s="7"/>
      <c r="AF137" s="7"/>
      <c r="AG137" s="7"/>
      <c r="AH137" s="7"/>
      <c r="AI137" s="7"/>
    </row>
    <row r="138" spans="1:35" ht="12.75" customHeight="1">
      <c r="A138" s="5"/>
      <c r="B138" s="5"/>
      <c r="C138" s="7"/>
      <c r="D138" s="7"/>
      <c r="E138" s="7"/>
      <c r="F138" s="7"/>
      <c r="G138" s="7"/>
      <c r="H138" s="7"/>
      <c r="I138" s="8"/>
      <c r="J138" s="8"/>
      <c r="P138" s="6"/>
      <c r="Q138" s="6"/>
      <c r="R138" s="6"/>
      <c r="S138" s="6"/>
      <c r="T138" s="6"/>
      <c r="U138" s="6"/>
      <c r="V138" s="6"/>
      <c r="W138" s="6"/>
      <c r="X138" s="6"/>
      <c r="Z138" s="6"/>
      <c r="AA138" s="7"/>
      <c r="AB138" s="7"/>
      <c r="AC138" s="7"/>
      <c r="AD138" s="7"/>
      <c r="AE138" s="7"/>
      <c r="AF138" s="7"/>
      <c r="AG138" s="7"/>
      <c r="AH138" s="7"/>
      <c r="AI138" s="7"/>
    </row>
    <row r="139" spans="1:35" ht="12.75" customHeight="1">
      <c r="A139" s="5"/>
      <c r="B139" s="5"/>
      <c r="C139" s="7"/>
      <c r="D139" s="7"/>
      <c r="E139" s="7"/>
      <c r="F139" s="7"/>
      <c r="G139" s="7"/>
      <c r="H139" s="7"/>
      <c r="I139" s="8"/>
      <c r="J139" s="8"/>
      <c r="P139" s="6"/>
      <c r="Q139" s="6"/>
      <c r="R139" s="6"/>
      <c r="S139" s="6"/>
      <c r="T139" s="6"/>
      <c r="U139" s="6"/>
      <c r="V139" s="6"/>
      <c r="W139" s="6"/>
      <c r="X139" s="6"/>
      <c r="Z139" s="6"/>
      <c r="AA139" s="7"/>
      <c r="AB139" s="7"/>
      <c r="AC139" s="7"/>
      <c r="AD139" s="7"/>
      <c r="AE139" s="7"/>
      <c r="AF139" s="7"/>
      <c r="AG139" s="7"/>
      <c r="AH139" s="7"/>
      <c r="AI139" s="7"/>
    </row>
    <row r="140" spans="1:35" ht="12.75" customHeight="1">
      <c r="A140" s="5"/>
      <c r="B140" s="5"/>
      <c r="C140" s="7"/>
      <c r="D140" s="7"/>
      <c r="E140" s="7"/>
      <c r="F140" s="7"/>
      <c r="G140" s="7"/>
      <c r="H140" s="7"/>
      <c r="I140" s="8"/>
      <c r="J140" s="8"/>
      <c r="P140" s="6"/>
      <c r="Q140" s="6"/>
      <c r="R140" s="6"/>
      <c r="S140" s="6"/>
      <c r="T140" s="6"/>
      <c r="U140" s="6"/>
      <c r="V140" s="6"/>
      <c r="W140" s="6"/>
      <c r="X140" s="6"/>
      <c r="Z140" s="6"/>
      <c r="AA140" s="7"/>
      <c r="AB140" s="7"/>
      <c r="AC140" s="7"/>
      <c r="AD140" s="7"/>
      <c r="AE140" s="7"/>
      <c r="AF140" s="7"/>
      <c r="AG140" s="7"/>
      <c r="AH140" s="7"/>
      <c r="AI140" s="7"/>
    </row>
    <row r="141" spans="1:35" ht="12.75" customHeight="1">
      <c r="A141" s="5"/>
      <c r="B141" s="5"/>
      <c r="C141" s="7"/>
      <c r="D141" s="7"/>
      <c r="E141" s="7"/>
      <c r="F141" s="7"/>
      <c r="G141" s="7"/>
      <c r="H141" s="7"/>
      <c r="I141" s="8"/>
      <c r="J141" s="8"/>
      <c r="P141" s="6"/>
      <c r="Q141" s="6"/>
      <c r="R141" s="6"/>
      <c r="S141" s="6"/>
      <c r="T141" s="6"/>
      <c r="U141" s="6"/>
      <c r="V141" s="6"/>
      <c r="W141" s="6"/>
      <c r="X141" s="6"/>
      <c r="Z141" s="6"/>
      <c r="AA141" s="7"/>
      <c r="AB141" s="7"/>
      <c r="AC141" s="7"/>
      <c r="AD141" s="7"/>
      <c r="AE141" s="7"/>
      <c r="AF141" s="7"/>
      <c r="AG141" s="7"/>
      <c r="AH141" s="7"/>
      <c r="AI141" s="7"/>
    </row>
    <row r="142" spans="1:35" ht="12.75" customHeight="1">
      <c r="A142" s="5"/>
      <c r="B142" s="5"/>
      <c r="C142" s="7"/>
      <c r="D142" s="7"/>
      <c r="E142" s="7"/>
      <c r="F142" s="7"/>
      <c r="G142" s="7"/>
      <c r="H142" s="7"/>
      <c r="I142" s="8"/>
      <c r="J142" s="8"/>
      <c r="P142" s="6"/>
      <c r="Q142" s="6"/>
      <c r="R142" s="6"/>
      <c r="S142" s="6"/>
      <c r="T142" s="6"/>
      <c r="U142" s="6"/>
      <c r="V142" s="6"/>
      <c r="W142" s="6"/>
      <c r="X142" s="6"/>
      <c r="Z142" s="6"/>
      <c r="AA142" s="7"/>
      <c r="AB142" s="7"/>
      <c r="AC142" s="7"/>
      <c r="AD142" s="7"/>
      <c r="AE142" s="7"/>
      <c r="AF142" s="7"/>
      <c r="AG142" s="7"/>
      <c r="AH142" s="7"/>
      <c r="AI142" s="7"/>
    </row>
    <row r="143" spans="1:35" ht="12.75" customHeight="1">
      <c r="A143" s="5"/>
      <c r="B143" s="5"/>
      <c r="C143" s="7"/>
      <c r="D143" s="7"/>
      <c r="E143" s="7"/>
      <c r="F143" s="7"/>
      <c r="G143" s="7"/>
      <c r="H143" s="7"/>
      <c r="I143" s="8"/>
      <c r="J143" s="8"/>
      <c r="P143" s="6"/>
      <c r="Q143" s="6"/>
      <c r="R143" s="6"/>
      <c r="S143" s="6"/>
      <c r="T143" s="6"/>
      <c r="U143" s="6"/>
      <c r="V143" s="6"/>
      <c r="W143" s="6"/>
      <c r="X143" s="6"/>
      <c r="Z143" s="6"/>
      <c r="AA143" s="7"/>
      <c r="AB143" s="7"/>
      <c r="AC143" s="7"/>
      <c r="AD143" s="7"/>
      <c r="AE143" s="7"/>
      <c r="AF143" s="7"/>
      <c r="AG143" s="7"/>
      <c r="AH143" s="7"/>
      <c r="AI143" s="7"/>
    </row>
    <row r="144" spans="1:35" ht="12.75" customHeight="1">
      <c r="A144" s="5"/>
      <c r="B144" s="5"/>
      <c r="C144" s="7"/>
      <c r="D144" s="7"/>
      <c r="E144" s="7"/>
      <c r="F144" s="7"/>
      <c r="G144" s="7"/>
      <c r="H144" s="7"/>
      <c r="I144" s="8"/>
      <c r="J144" s="8"/>
      <c r="P144" s="6"/>
      <c r="Q144" s="6"/>
      <c r="R144" s="6"/>
      <c r="S144" s="6"/>
      <c r="T144" s="6"/>
      <c r="U144" s="6"/>
      <c r="V144" s="6"/>
      <c r="W144" s="6"/>
      <c r="X144" s="6"/>
      <c r="Z144" s="6"/>
      <c r="AA144" s="7"/>
      <c r="AB144" s="7"/>
      <c r="AC144" s="7"/>
      <c r="AD144" s="7"/>
      <c r="AE144" s="7"/>
      <c r="AF144" s="7"/>
      <c r="AG144" s="7"/>
      <c r="AH144" s="7"/>
      <c r="AI144" s="7"/>
    </row>
    <row r="145" spans="1:35" ht="12.75" customHeight="1">
      <c r="A145" s="5"/>
      <c r="B145" s="5"/>
      <c r="C145" s="7"/>
      <c r="D145" s="7"/>
      <c r="E145" s="7"/>
      <c r="F145" s="7"/>
      <c r="G145" s="7"/>
      <c r="H145" s="7"/>
      <c r="I145" s="8"/>
      <c r="J145" s="8"/>
      <c r="P145" s="6"/>
      <c r="Q145" s="6"/>
      <c r="R145" s="6"/>
      <c r="S145" s="6"/>
      <c r="T145" s="6"/>
      <c r="U145" s="6"/>
      <c r="V145" s="6"/>
      <c r="W145" s="6"/>
      <c r="X145" s="6"/>
      <c r="Z145" s="6"/>
      <c r="AA145" s="7"/>
      <c r="AB145" s="7"/>
      <c r="AC145" s="7"/>
      <c r="AD145" s="7"/>
      <c r="AE145" s="7"/>
      <c r="AF145" s="7"/>
      <c r="AG145" s="7"/>
      <c r="AH145" s="7"/>
      <c r="AI145" s="7"/>
    </row>
    <row r="146" spans="1:35" ht="12.75" customHeight="1">
      <c r="A146" s="5"/>
      <c r="B146" s="5"/>
      <c r="C146" s="7"/>
      <c r="D146" s="7"/>
      <c r="E146" s="7"/>
      <c r="F146" s="7"/>
      <c r="G146" s="7"/>
      <c r="H146" s="7"/>
      <c r="I146" s="8"/>
      <c r="J146" s="8"/>
      <c r="P146" s="6"/>
      <c r="Q146" s="6"/>
      <c r="R146" s="6"/>
      <c r="S146" s="6"/>
      <c r="T146" s="6"/>
      <c r="U146" s="6"/>
      <c r="V146" s="6"/>
      <c r="W146" s="6"/>
      <c r="X146" s="6"/>
      <c r="Z146" s="6"/>
      <c r="AA146" s="7"/>
      <c r="AB146" s="7"/>
      <c r="AC146" s="7"/>
      <c r="AD146" s="7"/>
      <c r="AE146" s="7"/>
      <c r="AF146" s="7"/>
      <c r="AG146" s="7"/>
      <c r="AH146" s="7"/>
      <c r="AI146" s="7"/>
    </row>
    <row r="147" spans="1:35" ht="12.75" customHeight="1">
      <c r="A147" s="5"/>
      <c r="B147" s="5"/>
      <c r="C147" s="7"/>
      <c r="D147" s="7"/>
      <c r="E147" s="7"/>
      <c r="F147" s="7"/>
      <c r="G147" s="7"/>
      <c r="H147" s="7"/>
      <c r="I147" s="8"/>
      <c r="J147" s="8"/>
      <c r="P147" s="6"/>
      <c r="Q147" s="6"/>
      <c r="R147" s="6"/>
      <c r="S147" s="6"/>
      <c r="T147" s="6"/>
      <c r="U147" s="6"/>
      <c r="V147" s="6"/>
      <c r="W147" s="6"/>
      <c r="X147" s="6"/>
      <c r="Z147" s="6"/>
      <c r="AA147" s="7"/>
      <c r="AB147" s="7"/>
      <c r="AC147" s="7"/>
      <c r="AD147" s="7"/>
      <c r="AE147" s="7"/>
      <c r="AF147" s="7"/>
      <c r="AG147" s="7"/>
      <c r="AH147" s="7"/>
      <c r="AI147" s="7"/>
    </row>
    <row r="148" spans="1:35" ht="12.75" customHeight="1">
      <c r="A148" s="5"/>
      <c r="B148" s="5"/>
      <c r="C148" s="7"/>
      <c r="D148" s="7"/>
      <c r="E148" s="7"/>
      <c r="F148" s="7"/>
      <c r="G148" s="7"/>
      <c r="H148" s="7"/>
      <c r="I148" s="8"/>
      <c r="J148" s="8"/>
      <c r="P148" s="6"/>
      <c r="Q148" s="6"/>
      <c r="R148" s="6"/>
      <c r="S148" s="6"/>
      <c r="T148" s="6"/>
      <c r="U148" s="6"/>
      <c r="V148" s="6"/>
      <c r="W148" s="6"/>
      <c r="X148" s="6"/>
      <c r="Z148" s="6"/>
      <c r="AA148" s="7"/>
      <c r="AB148" s="7"/>
      <c r="AC148" s="7"/>
      <c r="AD148" s="7"/>
      <c r="AE148" s="7"/>
      <c r="AF148" s="7"/>
      <c r="AG148" s="7"/>
      <c r="AH148" s="7"/>
      <c r="AI148" s="7"/>
    </row>
    <row r="149" spans="1:35" ht="12.75" customHeight="1">
      <c r="A149" s="5"/>
      <c r="B149" s="5"/>
      <c r="C149" s="7"/>
      <c r="D149" s="7"/>
      <c r="E149" s="7"/>
      <c r="F149" s="7"/>
      <c r="G149" s="7"/>
      <c r="H149" s="7"/>
      <c r="I149" s="8"/>
      <c r="J149" s="8"/>
      <c r="P149" s="6"/>
      <c r="Q149" s="6"/>
      <c r="R149" s="6"/>
      <c r="S149" s="6"/>
      <c r="T149" s="6"/>
      <c r="U149" s="6"/>
      <c r="V149" s="6"/>
      <c r="W149" s="6"/>
      <c r="X149" s="6"/>
      <c r="Z149" s="6"/>
      <c r="AA149" s="7"/>
      <c r="AB149" s="7"/>
      <c r="AC149" s="7"/>
      <c r="AD149" s="7"/>
      <c r="AE149" s="7"/>
      <c r="AF149" s="7"/>
      <c r="AG149" s="7"/>
      <c r="AH149" s="7"/>
      <c r="AI149" s="7"/>
    </row>
    <row r="150" spans="1:35" ht="12.75" customHeight="1">
      <c r="A150" s="5"/>
      <c r="B150" s="5"/>
      <c r="C150" s="7"/>
      <c r="D150" s="7"/>
      <c r="E150" s="7"/>
      <c r="F150" s="7"/>
      <c r="G150" s="7"/>
      <c r="H150" s="7"/>
      <c r="I150" s="8"/>
      <c r="J150" s="8"/>
      <c r="P150" s="6"/>
      <c r="Q150" s="6"/>
      <c r="R150" s="6"/>
      <c r="S150" s="6"/>
      <c r="T150" s="6"/>
      <c r="U150" s="6"/>
      <c r="V150" s="6"/>
      <c r="W150" s="6"/>
      <c r="X150" s="6"/>
      <c r="Z150" s="6"/>
      <c r="AA150" s="7"/>
      <c r="AB150" s="7"/>
      <c r="AC150" s="7"/>
      <c r="AD150" s="7"/>
      <c r="AE150" s="7"/>
      <c r="AF150" s="7"/>
      <c r="AG150" s="7"/>
      <c r="AH150" s="7"/>
      <c r="AI150" s="7"/>
    </row>
    <row r="151" spans="1:35" ht="12.75" customHeight="1">
      <c r="A151" s="5"/>
      <c r="B151" s="5"/>
      <c r="C151" s="7"/>
      <c r="D151" s="7"/>
      <c r="E151" s="7"/>
      <c r="F151" s="7"/>
      <c r="G151" s="7"/>
      <c r="H151" s="7"/>
      <c r="I151" s="8"/>
      <c r="J151" s="8"/>
      <c r="P151" s="6"/>
      <c r="Q151" s="6"/>
      <c r="R151" s="6"/>
      <c r="S151" s="6"/>
      <c r="T151" s="6"/>
      <c r="U151" s="6"/>
      <c r="V151" s="6"/>
      <c r="W151" s="6"/>
      <c r="X151" s="6"/>
      <c r="Z151" s="6"/>
      <c r="AA151" s="7"/>
      <c r="AB151" s="7"/>
      <c r="AC151" s="7"/>
      <c r="AD151" s="7"/>
      <c r="AE151" s="7"/>
      <c r="AF151" s="7"/>
      <c r="AG151" s="7"/>
      <c r="AH151" s="7"/>
      <c r="AI151" s="7"/>
    </row>
    <row r="152" spans="1:35" ht="12.75" customHeight="1">
      <c r="A152" s="5"/>
      <c r="B152" s="5"/>
      <c r="C152" s="7"/>
      <c r="D152" s="7"/>
      <c r="E152" s="7"/>
      <c r="F152" s="7"/>
      <c r="G152" s="7"/>
      <c r="H152" s="7"/>
      <c r="I152" s="8"/>
      <c r="J152" s="8"/>
      <c r="P152" s="6"/>
      <c r="Q152" s="6"/>
      <c r="R152" s="6"/>
      <c r="S152" s="6"/>
      <c r="T152" s="6"/>
      <c r="U152" s="6"/>
      <c r="V152" s="6"/>
      <c r="W152" s="6"/>
      <c r="X152" s="6"/>
      <c r="Z152" s="6"/>
      <c r="AA152" s="7"/>
      <c r="AB152" s="7"/>
      <c r="AC152" s="7"/>
      <c r="AD152" s="7"/>
      <c r="AE152" s="7"/>
      <c r="AF152" s="7"/>
      <c r="AG152" s="7"/>
      <c r="AH152" s="7"/>
      <c r="AI152" s="7"/>
    </row>
    <row r="153" spans="1:35" ht="12.75" customHeight="1">
      <c r="A153" s="5"/>
      <c r="B153" s="5"/>
      <c r="C153" s="7"/>
      <c r="D153" s="7"/>
      <c r="E153" s="7"/>
      <c r="F153" s="7"/>
      <c r="G153" s="7"/>
      <c r="H153" s="7"/>
      <c r="I153" s="8"/>
      <c r="J153" s="8"/>
      <c r="P153" s="6"/>
      <c r="Q153" s="6"/>
      <c r="R153" s="6"/>
      <c r="S153" s="6"/>
      <c r="T153" s="6"/>
      <c r="U153" s="6"/>
      <c r="V153" s="6"/>
      <c r="W153" s="6"/>
      <c r="X153" s="6"/>
      <c r="Z153" s="6"/>
      <c r="AA153" s="7"/>
      <c r="AB153" s="7"/>
      <c r="AC153" s="7"/>
      <c r="AD153" s="7"/>
      <c r="AE153" s="7"/>
      <c r="AF153" s="7"/>
      <c r="AG153" s="7"/>
      <c r="AH153" s="7"/>
      <c r="AI153" s="7"/>
    </row>
    <row r="154" spans="1:35" ht="12.75" customHeight="1">
      <c r="A154" s="5"/>
      <c r="B154" s="5"/>
      <c r="C154" s="7"/>
      <c r="D154" s="7"/>
      <c r="E154" s="7"/>
      <c r="F154" s="7"/>
      <c r="G154" s="7"/>
      <c r="H154" s="7"/>
      <c r="I154" s="8"/>
      <c r="J154" s="8"/>
      <c r="P154" s="6"/>
      <c r="Q154" s="6"/>
      <c r="R154" s="6"/>
      <c r="S154" s="6"/>
      <c r="T154" s="6"/>
      <c r="U154" s="6"/>
      <c r="V154" s="6"/>
      <c r="W154" s="6"/>
      <c r="X154" s="6"/>
      <c r="Z154" s="6"/>
      <c r="AA154" s="7"/>
      <c r="AB154" s="7"/>
      <c r="AC154" s="7"/>
      <c r="AD154" s="7"/>
      <c r="AE154" s="7"/>
      <c r="AF154" s="7"/>
      <c r="AG154" s="7"/>
      <c r="AH154" s="7"/>
      <c r="AI154" s="7"/>
    </row>
    <row r="155" spans="1:35" ht="12.75" customHeight="1">
      <c r="A155" s="5"/>
      <c r="B155" s="5"/>
      <c r="C155" s="7"/>
      <c r="D155" s="7"/>
      <c r="E155" s="7"/>
      <c r="F155" s="7"/>
      <c r="G155" s="7"/>
      <c r="H155" s="7"/>
      <c r="I155" s="8"/>
      <c r="J155" s="8"/>
      <c r="P155" s="6"/>
      <c r="Q155" s="6"/>
      <c r="R155" s="6"/>
      <c r="S155" s="6"/>
      <c r="T155" s="6"/>
      <c r="U155" s="6"/>
      <c r="V155" s="6"/>
      <c r="W155" s="6"/>
      <c r="X155" s="6"/>
      <c r="Z155" s="6"/>
      <c r="AA155" s="7"/>
      <c r="AB155" s="7"/>
      <c r="AC155" s="7"/>
      <c r="AD155" s="7"/>
      <c r="AE155" s="7"/>
      <c r="AF155" s="7"/>
      <c r="AG155" s="7"/>
      <c r="AH155" s="7"/>
      <c r="AI155" s="7"/>
    </row>
    <row r="156" spans="1:35" ht="12.75" customHeight="1">
      <c r="A156" s="5"/>
      <c r="B156" s="5"/>
      <c r="C156" s="7"/>
      <c r="D156" s="7"/>
      <c r="E156" s="7"/>
      <c r="F156" s="7"/>
      <c r="G156" s="7"/>
      <c r="H156" s="7"/>
      <c r="I156" s="8"/>
      <c r="J156" s="8"/>
      <c r="P156" s="6"/>
      <c r="Q156" s="6"/>
      <c r="R156" s="6"/>
      <c r="S156" s="6"/>
      <c r="T156" s="6"/>
      <c r="U156" s="6"/>
      <c r="V156" s="6"/>
      <c r="W156" s="6"/>
      <c r="X156" s="6"/>
      <c r="Z156" s="6"/>
      <c r="AA156" s="7"/>
      <c r="AB156" s="7"/>
      <c r="AC156" s="7"/>
      <c r="AD156" s="7"/>
      <c r="AE156" s="7"/>
      <c r="AF156" s="7"/>
      <c r="AG156" s="7"/>
      <c r="AH156" s="7"/>
      <c r="AI156" s="7"/>
    </row>
    <row r="157" spans="1:35" ht="12.75" customHeight="1">
      <c r="A157" s="5"/>
      <c r="B157" s="5"/>
      <c r="C157" s="7"/>
      <c r="D157" s="7"/>
      <c r="E157" s="7"/>
      <c r="F157" s="7"/>
      <c r="G157" s="7"/>
      <c r="H157" s="7"/>
      <c r="I157" s="8"/>
      <c r="J157" s="8"/>
      <c r="P157" s="6"/>
      <c r="Q157" s="6"/>
      <c r="R157" s="6"/>
      <c r="S157" s="6"/>
      <c r="T157" s="6"/>
      <c r="U157" s="6"/>
      <c r="V157" s="6"/>
      <c r="W157" s="6"/>
      <c r="X157" s="6"/>
      <c r="Z157" s="6"/>
      <c r="AA157" s="7"/>
      <c r="AB157" s="7"/>
      <c r="AC157" s="7"/>
      <c r="AD157" s="7"/>
      <c r="AE157" s="7"/>
      <c r="AF157" s="7"/>
      <c r="AG157" s="7"/>
      <c r="AH157" s="7"/>
      <c r="AI157" s="7"/>
    </row>
    <row r="158" spans="1:35" ht="12.75" customHeight="1">
      <c r="A158" s="5"/>
      <c r="B158" s="5"/>
      <c r="C158" s="7"/>
      <c r="D158" s="7"/>
      <c r="E158" s="7"/>
      <c r="F158" s="7"/>
      <c r="G158" s="7"/>
      <c r="H158" s="7"/>
      <c r="I158" s="8"/>
      <c r="J158" s="8"/>
      <c r="P158" s="6"/>
      <c r="Q158" s="6"/>
      <c r="R158" s="6"/>
      <c r="S158" s="6"/>
      <c r="T158" s="6"/>
      <c r="U158" s="6"/>
      <c r="V158" s="6"/>
      <c r="W158" s="6"/>
      <c r="X158" s="6"/>
      <c r="Z158" s="6"/>
      <c r="AA158" s="7"/>
      <c r="AB158" s="7"/>
      <c r="AC158" s="7"/>
      <c r="AD158" s="7"/>
      <c r="AE158" s="7"/>
      <c r="AF158" s="7"/>
      <c r="AG158" s="7"/>
      <c r="AH158" s="7"/>
      <c r="AI158" s="7"/>
    </row>
    <row r="159" spans="1:35" ht="12.75" customHeight="1">
      <c r="A159" s="5"/>
      <c r="B159" s="5"/>
      <c r="C159" s="7"/>
      <c r="D159" s="7"/>
      <c r="E159" s="7"/>
      <c r="F159" s="7"/>
      <c r="G159" s="7"/>
      <c r="H159" s="7"/>
      <c r="I159" s="8"/>
      <c r="J159" s="8"/>
      <c r="P159" s="6"/>
      <c r="Q159" s="6"/>
      <c r="R159" s="6"/>
      <c r="S159" s="6"/>
      <c r="T159" s="6"/>
      <c r="U159" s="6"/>
      <c r="V159" s="6"/>
      <c r="W159" s="6"/>
      <c r="X159" s="6"/>
      <c r="Z159" s="6"/>
      <c r="AA159" s="7"/>
      <c r="AB159" s="7"/>
      <c r="AC159" s="7"/>
      <c r="AD159" s="7"/>
      <c r="AE159" s="7"/>
      <c r="AF159" s="7"/>
      <c r="AG159" s="7"/>
      <c r="AH159" s="7"/>
      <c r="AI159" s="7"/>
    </row>
    <row r="160" spans="1:35" ht="12.75" customHeight="1">
      <c r="A160" s="5"/>
      <c r="B160" s="5"/>
      <c r="C160" s="7"/>
      <c r="D160" s="7"/>
      <c r="E160" s="7"/>
      <c r="F160" s="7"/>
      <c r="G160" s="7"/>
      <c r="H160" s="7"/>
      <c r="I160" s="8"/>
      <c r="J160" s="8"/>
      <c r="P160" s="6"/>
      <c r="Q160" s="6"/>
      <c r="R160" s="6"/>
      <c r="S160" s="6"/>
      <c r="T160" s="6"/>
      <c r="U160" s="6"/>
      <c r="V160" s="6"/>
      <c r="W160" s="6"/>
      <c r="X160" s="6"/>
      <c r="Z160" s="6"/>
      <c r="AA160" s="7"/>
      <c r="AB160" s="7"/>
      <c r="AC160" s="7"/>
      <c r="AD160" s="7"/>
      <c r="AE160" s="7"/>
      <c r="AF160" s="7"/>
      <c r="AG160" s="7"/>
      <c r="AH160" s="7"/>
      <c r="AI160" s="7"/>
    </row>
    <row r="161" spans="1:35" ht="12.75" customHeight="1">
      <c r="A161" s="5"/>
      <c r="B161" s="5"/>
      <c r="C161" s="7"/>
      <c r="D161" s="7"/>
      <c r="E161" s="7"/>
      <c r="F161" s="7"/>
      <c r="G161" s="7"/>
      <c r="H161" s="7"/>
      <c r="I161" s="8"/>
      <c r="J161" s="8"/>
      <c r="P161" s="6"/>
      <c r="Q161" s="6"/>
      <c r="R161" s="6"/>
      <c r="S161" s="6"/>
      <c r="T161" s="6"/>
      <c r="U161" s="6"/>
      <c r="V161" s="6"/>
      <c r="W161" s="6"/>
      <c r="X161" s="6"/>
      <c r="Z161" s="6"/>
      <c r="AA161" s="7"/>
      <c r="AB161" s="7"/>
      <c r="AC161" s="7"/>
      <c r="AD161" s="7"/>
      <c r="AE161" s="7"/>
      <c r="AF161" s="7"/>
      <c r="AG161" s="7"/>
      <c r="AH161" s="7"/>
      <c r="AI161" s="7"/>
    </row>
    <row r="162" spans="1:35" ht="12.75" customHeight="1">
      <c r="A162" s="5"/>
      <c r="B162" s="5"/>
      <c r="C162" s="7"/>
      <c r="D162" s="7"/>
      <c r="E162" s="7"/>
      <c r="F162" s="7"/>
      <c r="G162" s="7"/>
      <c r="H162" s="7"/>
      <c r="I162" s="8"/>
      <c r="J162" s="8"/>
      <c r="P162" s="6"/>
      <c r="Q162" s="6"/>
      <c r="R162" s="6"/>
      <c r="S162" s="6"/>
      <c r="T162" s="6"/>
      <c r="U162" s="6"/>
      <c r="V162" s="6"/>
      <c r="W162" s="6"/>
      <c r="X162" s="6"/>
      <c r="Z162" s="6"/>
      <c r="AA162" s="7"/>
      <c r="AB162" s="7"/>
      <c r="AC162" s="7"/>
      <c r="AD162" s="7"/>
      <c r="AE162" s="7"/>
      <c r="AF162" s="7"/>
      <c r="AG162" s="7"/>
      <c r="AH162" s="7"/>
      <c r="AI162" s="7"/>
    </row>
    <row r="163" spans="1:35" ht="12.75" customHeight="1">
      <c r="A163" s="5"/>
      <c r="B163" s="5"/>
      <c r="C163" s="7"/>
      <c r="D163" s="7"/>
      <c r="E163" s="7"/>
      <c r="F163" s="7"/>
      <c r="G163" s="7"/>
      <c r="H163" s="7"/>
      <c r="I163" s="8"/>
      <c r="J163" s="8"/>
      <c r="P163" s="6"/>
      <c r="Q163" s="6"/>
      <c r="R163" s="6"/>
      <c r="S163" s="6"/>
      <c r="T163" s="6"/>
      <c r="U163" s="6"/>
      <c r="V163" s="6"/>
      <c r="W163" s="6"/>
      <c r="X163" s="6"/>
      <c r="Z163" s="6"/>
      <c r="AA163" s="7"/>
      <c r="AB163" s="7"/>
      <c r="AC163" s="7"/>
      <c r="AD163" s="7"/>
      <c r="AE163" s="7"/>
      <c r="AF163" s="7"/>
      <c r="AG163" s="7"/>
      <c r="AH163" s="7"/>
      <c r="AI163" s="7"/>
    </row>
    <row r="164" spans="1:35" ht="12.75" customHeight="1">
      <c r="A164" s="5"/>
      <c r="B164" s="5"/>
      <c r="C164" s="7"/>
      <c r="D164" s="7"/>
      <c r="E164" s="7"/>
      <c r="F164" s="7"/>
      <c r="G164" s="7"/>
      <c r="H164" s="7"/>
      <c r="I164" s="8"/>
      <c r="J164" s="8"/>
      <c r="P164" s="6"/>
      <c r="Q164" s="6"/>
      <c r="R164" s="6"/>
      <c r="S164" s="6"/>
      <c r="T164" s="6"/>
      <c r="U164" s="6"/>
      <c r="V164" s="6"/>
      <c r="W164" s="6"/>
      <c r="X164" s="6"/>
      <c r="Z164" s="6"/>
      <c r="AA164" s="7"/>
      <c r="AB164" s="7"/>
      <c r="AC164" s="7"/>
      <c r="AD164" s="7"/>
      <c r="AE164" s="7"/>
      <c r="AF164" s="7"/>
      <c r="AG164" s="7"/>
      <c r="AH164" s="7"/>
      <c r="AI164" s="7"/>
    </row>
    <row r="165" spans="1:35" ht="12.75" customHeight="1">
      <c r="A165" s="5"/>
      <c r="B165" s="5"/>
      <c r="C165" s="7"/>
      <c r="D165" s="7"/>
      <c r="E165" s="7"/>
      <c r="F165" s="7"/>
      <c r="G165" s="7"/>
      <c r="H165" s="7"/>
      <c r="I165" s="8"/>
      <c r="J165" s="8"/>
      <c r="P165" s="6"/>
      <c r="Q165" s="6"/>
      <c r="R165" s="6"/>
      <c r="S165" s="6"/>
      <c r="T165" s="6"/>
      <c r="U165" s="6"/>
      <c r="V165" s="6"/>
      <c r="W165" s="6"/>
      <c r="X165" s="6"/>
      <c r="Z165" s="6"/>
      <c r="AA165" s="7"/>
      <c r="AB165" s="7"/>
      <c r="AC165" s="7"/>
      <c r="AD165" s="7"/>
      <c r="AE165" s="7"/>
      <c r="AF165" s="7"/>
      <c r="AG165" s="7"/>
      <c r="AH165" s="7"/>
      <c r="AI165" s="7"/>
    </row>
    <row r="166" spans="1:35" ht="12.75" customHeight="1">
      <c r="A166" s="5"/>
      <c r="B166" s="5"/>
      <c r="C166" s="7"/>
      <c r="D166" s="7"/>
      <c r="E166" s="7"/>
      <c r="F166" s="7"/>
      <c r="G166" s="7"/>
      <c r="H166" s="7"/>
      <c r="I166" s="8"/>
      <c r="J166" s="8"/>
      <c r="P166" s="6"/>
      <c r="Q166" s="6"/>
      <c r="R166" s="6"/>
      <c r="S166" s="6"/>
      <c r="T166" s="6"/>
      <c r="U166" s="6"/>
      <c r="V166" s="6"/>
      <c r="W166" s="6"/>
      <c r="X166" s="6"/>
      <c r="Z166" s="6"/>
      <c r="AA166" s="7"/>
      <c r="AB166" s="7"/>
      <c r="AC166" s="7"/>
      <c r="AD166" s="7"/>
      <c r="AE166" s="7"/>
      <c r="AF166" s="7"/>
      <c r="AG166" s="7"/>
      <c r="AH166" s="7"/>
      <c r="AI166" s="7"/>
    </row>
    <row r="167" spans="1:35" ht="12.75" customHeight="1">
      <c r="A167" s="5"/>
      <c r="B167" s="5"/>
      <c r="C167" s="7"/>
      <c r="D167" s="7"/>
      <c r="E167" s="7"/>
      <c r="F167" s="7"/>
      <c r="G167" s="7"/>
      <c r="H167" s="7"/>
      <c r="I167" s="8"/>
      <c r="J167" s="8"/>
      <c r="P167" s="6"/>
      <c r="Q167" s="6"/>
      <c r="R167" s="6"/>
      <c r="S167" s="6"/>
      <c r="T167" s="6"/>
      <c r="U167" s="6"/>
      <c r="V167" s="6"/>
      <c r="W167" s="6"/>
      <c r="X167" s="6"/>
      <c r="Z167" s="6"/>
      <c r="AA167" s="7"/>
      <c r="AB167" s="7"/>
      <c r="AC167" s="7"/>
      <c r="AD167" s="7"/>
      <c r="AE167" s="7"/>
      <c r="AF167" s="7"/>
      <c r="AG167" s="7"/>
      <c r="AH167" s="7"/>
      <c r="AI167" s="7"/>
    </row>
    <row r="168" spans="1:35" ht="12.75" customHeight="1">
      <c r="A168" s="5"/>
      <c r="B168" s="5"/>
      <c r="C168" s="7"/>
      <c r="D168" s="7"/>
      <c r="E168" s="7"/>
      <c r="F168" s="7"/>
      <c r="G168" s="7"/>
      <c r="H168" s="7"/>
      <c r="I168" s="8"/>
      <c r="J168" s="8"/>
      <c r="P168" s="6"/>
      <c r="Q168" s="6"/>
      <c r="R168" s="6"/>
      <c r="S168" s="6"/>
      <c r="T168" s="6"/>
      <c r="U168" s="6"/>
      <c r="V168" s="6"/>
      <c r="W168" s="6"/>
      <c r="X168" s="6"/>
      <c r="Z168" s="6"/>
      <c r="AA168" s="7"/>
      <c r="AB168" s="7"/>
      <c r="AC168" s="7"/>
      <c r="AD168" s="7"/>
      <c r="AE168" s="7"/>
      <c r="AF168" s="7"/>
      <c r="AG168" s="7"/>
      <c r="AH168" s="7"/>
      <c r="AI168" s="7"/>
    </row>
    <row r="169" spans="1:35" ht="12.75" customHeight="1">
      <c r="A169" s="5"/>
      <c r="B169" s="5"/>
      <c r="C169" s="7"/>
      <c r="D169" s="7"/>
      <c r="E169" s="7"/>
      <c r="F169" s="7"/>
      <c r="G169" s="7"/>
      <c r="H169" s="7"/>
      <c r="I169" s="8"/>
      <c r="J169" s="8"/>
      <c r="P169" s="6"/>
      <c r="Q169" s="6"/>
      <c r="R169" s="6"/>
      <c r="S169" s="6"/>
      <c r="T169" s="6"/>
      <c r="U169" s="6"/>
      <c r="V169" s="6"/>
      <c r="W169" s="6"/>
      <c r="X169" s="6"/>
      <c r="Z169" s="6"/>
      <c r="AA169" s="7"/>
      <c r="AB169" s="7"/>
      <c r="AC169" s="7"/>
      <c r="AD169" s="7"/>
      <c r="AE169" s="7"/>
      <c r="AF169" s="7"/>
      <c r="AG169" s="7"/>
      <c r="AH169" s="7"/>
      <c r="AI169" s="7"/>
    </row>
    <row r="170" spans="1:35" ht="12.75" customHeight="1">
      <c r="A170" s="5"/>
      <c r="B170" s="5"/>
      <c r="C170" s="7"/>
      <c r="D170" s="7"/>
      <c r="E170" s="7"/>
      <c r="F170" s="7"/>
      <c r="G170" s="7"/>
      <c r="H170" s="7"/>
      <c r="I170" s="8"/>
      <c r="J170" s="8"/>
      <c r="P170" s="6"/>
      <c r="Q170" s="6"/>
      <c r="R170" s="6"/>
      <c r="S170" s="6"/>
      <c r="T170" s="6"/>
      <c r="U170" s="6"/>
      <c r="V170" s="6"/>
      <c r="W170" s="6"/>
      <c r="X170" s="6"/>
      <c r="Z170" s="6"/>
      <c r="AA170" s="7"/>
      <c r="AB170" s="7"/>
      <c r="AC170" s="7"/>
      <c r="AD170" s="7"/>
      <c r="AE170" s="7"/>
      <c r="AF170" s="7"/>
      <c r="AG170" s="7"/>
      <c r="AH170" s="7"/>
      <c r="AI170" s="7"/>
    </row>
    <row r="171" spans="1:35" ht="12.75" customHeight="1">
      <c r="A171" s="5"/>
      <c r="B171" s="5"/>
      <c r="C171" s="7"/>
      <c r="D171" s="7"/>
      <c r="E171" s="7"/>
      <c r="F171" s="7"/>
      <c r="G171" s="7"/>
      <c r="H171" s="7"/>
      <c r="I171" s="8"/>
      <c r="J171" s="8"/>
      <c r="P171" s="6"/>
      <c r="Q171" s="6"/>
      <c r="R171" s="6"/>
      <c r="S171" s="6"/>
      <c r="T171" s="6"/>
      <c r="U171" s="6"/>
      <c r="V171" s="6"/>
      <c r="W171" s="6"/>
      <c r="X171" s="6"/>
      <c r="Z171" s="6"/>
      <c r="AA171" s="7"/>
      <c r="AB171" s="7"/>
      <c r="AC171" s="7"/>
      <c r="AD171" s="7"/>
      <c r="AE171" s="7"/>
      <c r="AF171" s="7"/>
      <c r="AG171" s="7"/>
      <c r="AH171" s="7"/>
      <c r="AI171" s="7"/>
    </row>
    <row r="172" spans="1:35" ht="12.75" customHeight="1">
      <c r="A172" s="5"/>
      <c r="B172" s="5"/>
      <c r="C172" s="7"/>
      <c r="D172" s="7"/>
      <c r="E172" s="7"/>
      <c r="F172" s="7"/>
      <c r="G172" s="7"/>
      <c r="H172" s="7"/>
      <c r="I172" s="8"/>
      <c r="J172" s="8"/>
      <c r="P172" s="6"/>
      <c r="Q172" s="6"/>
      <c r="R172" s="6"/>
      <c r="S172" s="6"/>
      <c r="T172" s="6"/>
      <c r="U172" s="6"/>
      <c r="V172" s="6"/>
      <c r="W172" s="6"/>
      <c r="X172" s="6"/>
      <c r="Z172" s="6"/>
      <c r="AA172" s="7"/>
      <c r="AB172" s="7"/>
      <c r="AC172" s="7"/>
      <c r="AD172" s="7"/>
      <c r="AE172" s="7"/>
      <c r="AF172" s="7"/>
      <c r="AG172" s="7"/>
      <c r="AH172" s="7"/>
      <c r="AI172" s="7"/>
    </row>
    <row r="173" spans="1:35" ht="12.75" customHeight="1">
      <c r="A173" s="5"/>
      <c r="B173" s="5"/>
      <c r="C173" s="7"/>
      <c r="D173" s="7"/>
      <c r="E173" s="7"/>
      <c r="F173" s="7"/>
      <c r="G173" s="7"/>
      <c r="H173" s="7"/>
      <c r="I173" s="8"/>
      <c r="J173" s="8"/>
      <c r="P173" s="6"/>
      <c r="Q173" s="6"/>
      <c r="R173" s="6"/>
      <c r="S173" s="6"/>
      <c r="T173" s="6"/>
      <c r="U173" s="6"/>
      <c r="V173" s="6"/>
      <c r="W173" s="6"/>
      <c r="X173" s="6"/>
      <c r="Z173" s="6"/>
      <c r="AA173" s="7"/>
      <c r="AB173" s="7"/>
      <c r="AC173" s="7"/>
      <c r="AD173" s="7"/>
      <c r="AE173" s="7"/>
      <c r="AF173" s="7"/>
      <c r="AG173" s="7"/>
      <c r="AH173" s="7"/>
      <c r="AI173" s="7"/>
    </row>
    <row r="174" spans="1:35" ht="12.75" customHeight="1">
      <c r="A174" s="5"/>
      <c r="B174" s="5"/>
      <c r="C174" s="7"/>
      <c r="D174" s="7"/>
      <c r="E174" s="7"/>
      <c r="F174" s="7"/>
      <c r="G174" s="7"/>
      <c r="H174" s="7"/>
      <c r="I174" s="8"/>
      <c r="J174" s="8"/>
      <c r="P174" s="6"/>
      <c r="Q174" s="6"/>
      <c r="R174" s="6"/>
      <c r="S174" s="6"/>
      <c r="T174" s="6"/>
      <c r="U174" s="6"/>
      <c r="V174" s="6"/>
      <c r="W174" s="6"/>
      <c r="X174" s="6"/>
      <c r="Z174" s="6"/>
      <c r="AA174" s="7"/>
      <c r="AB174" s="7"/>
      <c r="AC174" s="7"/>
      <c r="AD174" s="7"/>
      <c r="AE174" s="7"/>
      <c r="AF174" s="7"/>
      <c r="AG174" s="7"/>
      <c r="AH174" s="7"/>
      <c r="AI174" s="7"/>
    </row>
    <row r="175" spans="1:35" ht="12.75" customHeight="1">
      <c r="A175" s="5"/>
      <c r="B175" s="5"/>
      <c r="C175" s="7"/>
      <c r="D175" s="7"/>
      <c r="E175" s="7"/>
      <c r="F175" s="7"/>
      <c r="G175" s="7"/>
      <c r="H175" s="7"/>
      <c r="I175" s="8"/>
      <c r="J175" s="8"/>
      <c r="P175" s="6"/>
      <c r="Q175" s="6"/>
      <c r="R175" s="6"/>
      <c r="S175" s="6"/>
      <c r="T175" s="6"/>
      <c r="U175" s="6"/>
      <c r="V175" s="6"/>
      <c r="W175" s="6"/>
      <c r="X175" s="6"/>
      <c r="Z175" s="6"/>
      <c r="AA175" s="7"/>
      <c r="AB175" s="7"/>
      <c r="AC175" s="7"/>
      <c r="AD175" s="7"/>
      <c r="AE175" s="7"/>
      <c r="AF175" s="7"/>
      <c r="AG175" s="7"/>
      <c r="AH175" s="7"/>
      <c r="AI175" s="7"/>
    </row>
    <row r="176" spans="1:35" ht="12.75" customHeight="1">
      <c r="A176" s="5"/>
      <c r="B176" s="5"/>
      <c r="C176" s="7"/>
      <c r="D176" s="7"/>
      <c r="E176" s="7"/>
      <c r="F176" s="7"/>
      <c r="G176" s="7"/>
      <c r="H176" s="7"/>
      <c r="I176" s="8"/>
      <c r="J176" s="8"/>
      <c r="P176" s="6"/>
      <c r="Q176" s="6"/>
      <c r="R176" s="6"/>
      <c r="S176" s="6"/>
      <c r="T176" s="6"/>
      <c r="U176" s="6"/>
      <c r="V176" s="6"/>
      <c r="W176" s="6"/>
      <c r="X176" s="6"/>
      <c r="Z176" s="6"/>
      <c r="AA176" s="7"/>
      <c r="AB176" s="7"/>
      <c r="AC176" s="7"/>
      <c r="AD176" s="7"/>
      <c r="AE176" s="7"/>
      <c r="AF176" s="7"/>
      <c r="AG176" s="7"/>
      <c r="AH176" s="7"/>
      <c r="AI176" s="7"/>
    </row>
    <row r="177" spans="1:35" ht="12.75" customHeight="1">
      <c r="A177" s="5"/>
      <c r="B177" s="5"/>
      <c r="C177" s="7"/>
      <c r="D177" s="7"/>
      <c r="E177" s="7"/>
      <c r="F177" s="7"/>
      <c r="G177" s="7"/>
      <c r="H177" s="7"/>
      <c r="I177" s="8"/>
      <c r="J177" s="8"/>
      <c r="P177" s="6"/>
      <c r="Q177" s="6"/>
      <c r="R177" s="6"/>
      <c r="S177" s="6"/>
      <c r="T177" s="6"/>
      <c r="U177" s="6"/>
      <c r="V177" s="6"/>
      <c r="W177" s="6"/>
      <c r="X177" s="6"/>
      <c r="Z177" s="6"/>
      <c r="AA177" s="7"/>
      <c r="AB177" s="7"/>
      <c r="AC177" s="7"/>
      <c r="AD177" s="7"/>
      <c r="AE177" s="7"/>
      <c r="AF177" s="7"/>
      <c r="AG177" s="7"/>
      <c r="AH177" s="7"/>
      <c r="AI177" s="7"/>
    </row>
    <row r="178" spans="1:35" ht="12.75" customHeight="1">
      <c r="A178" s="5"/>
      <c r="B178" s="5"/>
      <c r="C178" s="7"/>
      <c r="D178" s="7"/>
      <c r="E178" s="7"/>
      <c r="F178" s="7"/>
      <c r="G178" s="7"/>
      <c r="H178" s="7"/>
      <c r="I178" s="8"/>
      <c r="J178" s="8"/>
      <c r="P178" s="6"/>
      <c r="Q178" s="6"/>
      <c r="R178" s="6"/>
      <c r="S178" s="6"/>
      <c r="T178" s="6"/>
      <c r="U178" s="6"/>
      <c r="V178" s="6"/>
      <c r="W178" s="6"/>
      <c r="X178" s="6"/>
      <c r="Z178" s="6"/>
      <c r="AA178" s="7"/>
      <c r="AB178" s="7"/>
      <c r="AC178" s="7"/>
      <c r="AD178" s="7"/>
      <c r="AE178" s="7"/>
      <c r="AF178" s="7"/>
      <c r="AG178" s="7"/>
      <c r="AH178" s="7"/>
      <c r="AI178" s="7"/>
    </row>
    <row r="179" spans="1:35" ht="12.75" customHeight="1">
      <c r="A179" s="5"/>
      <c r="B179" s="5"/>
      <c r="C179" s="7"/>
      <c r="D179" s="7"/>
      <c r="E179" s="7"/>
      <c r="F179" s="7"/>
      <c r="G179" s="7"/>
      <c r="H179" s="7"/>
      <c r="I179" s="8"/>
      <c r="J179" s="8"/>
      <c r="P179" s="6"/>
      <c r="Q179" s="6"/>
      <c r="R179" s="6"/>
      <c r="S179" s="6"/>
      <c r="T179" s="6"/>
      <c r="U179" s="6"/>
      <c r="V179" s="6"/>
      <c r="W179" s="6"/>
      <c r="X179" s="6"/>
      <c r="Z179" s="6"/>
      <c r="AA179" s="7"/>
      <c r="AB179" s="7"/>
      <c r="AC179" s="7"/>
      <c r="AD179" s="7"/>
      <c r="AE179" s="7"/>
      <c r="AF179" s="7"/>
      <c r="AG179" s="7"/>
      <c r="AH179" s="7"/>
      <c r="AI179" s="7"/>
    </row>
    <row r="180" spans="1:35" ht="12.75" customHeight="1">
      <c r="A180" s="5"/>
      <c r="B180" s="5"/>
      <c r="C180" s="7"/>
      <c r="D180" s="7"/>
      <c r="E180" s="7"/>
      <c r="F180" s="7"/>
      <c r="G180" s="7"/>
      <c r="H180" s="7"/>
      <c r="I180" s="8"/>
      <c r="J180" s="8"/>
      <c r="P180" s="6"/>
      <c r="Q180" s="6"/>
      <c r="R180" s="6"/>
      <c r="S180" s="6"/>
      <c r="T180" s="6"/>
      <c r="U180" s="6"/>
      <c r="V180" s="6"/>
      <c r="W180" s="6"/>
      <c r="X180" s="6"/>
      <c r="Z180" s="6"/>
      <c r="AA180" s="7"/>
      <c r="AB180" s="7"/>
      <c r="AC180" s="7"/>
      <c r="AD180" s="7"/>
      <c r="AE180" s="7"/>
      <c r="AF180" s="7"/>
      <c r="AG180" s="7"/>
      <c r="AH180" s="7"/>
      <c r="AI180" s="7"/>
    </row>
    <row r="181" spans="1:35" ht="12.75" customHeight="1">
      <c r="A181" s="5"/>
      <c r="B181" s="5"/>
      <c r="C181" s="7"/>
      <c r="D181" s="7"/>
      <c r="E181" s="7"/>
      <c r="F181" s="7"/>
      <c r="G181" s="7"/>
      <c r="H181" s="7"/>
      <c r="I181" s="8"/>
      <c r="J181" s="8"/>
      <c r="P181" s="6"/>
      <c r="Q181" s="6"/>
      <c r="R181" s="6"/>
      <c r="S181" s="6"/>
      <c r="T181" s="6"/>
      <c r="U181" s="6"/>
      <c r="V181" s="6"/>
      <c r="W181" s="6"/>
      <c r="X181" s="6"/>
      <c r="Z181" s="6"/>
      <c r="AA181" s="7"/>
      <c r="AB181" s="7"/>
      <c r="AC181" s="7"/>
      <c r="AD181" s="7"/>
      <c r="AE181" s="7"/>
      <c r="AF181" s="7"/>
      <c r="AG181" s="7"/>
      <c r="AH181" s="7"/>
      <c r="AI181" s="7"/>
    </row>
    <row r="182" spans="1:35" ht="12.75" customHeight="1">
      <c r="A182" s="5"/>
      <c r="B182" s="5"/>
      <c r="C182" s="7"/>
      <c r="D182" s="7"/>
      <c r="E182" s="7"/>
      <c r="F182" s="7"/>
      <c r="G182" s="7"/>
      <c r="H182" s="7"/>
      <c r="I182" s="8"/>
      <c r="J182" s="8"/>
      <c r="P182" s="6"/>
      <c r="Q182" s="6"/>
      <c r="R182" s="6"/>
      <c r="S182" s="6"/>
      <c r="T182" s="6"/>
      <c r="U182" s="6"/>
      <c r="V182" s="6"/>
      <c r="W182" s="6"/>
      <c r="X182" s="6"/>
      <c r="Z182" s="6"/>
      <c r="AA182" s="7"/>
      <c r="AB182" s="7"/>
      <c r="AC182" s="7"/>
      <c r="AD182" s="7"/>
      <c r="AE182" s="7"/>
      <c r="AF182" s="7"/>
      <c r="AG182" s="7"/>
      <c r="AH182" s="7"/>
      <c r="AI182" s="7"/>
    </row>
    <row r="183" spans="1:35" ht="12.75" customHeight="1">
      <c r="A183" s="5"/>
      <c r="B183" s="5"/>
      <c r="C183" s="7"/>
      <c r="D183" s="7"/>
      <c r="E183" s="7"/>
      <c r="F183" s="7"/>
      <c r="G183" s="7"/>
      <c r="H183" s="7"/>
      <c r="I183" s="8"/>
      <c r="J183" s="8"/>
      <c r="P183" s="6"/>
      <c r="Q183" s="6"/>
      <c r="R183" s="6"/>
      <c r="S183" s="6"/>
      <c r="T183" s="6"/>
      <c r="U183" s="6"/>
      <c r="V183" s="6"/>
      <c r="W183" s="6"/>
      <c r="X183" s="6"/>
      <c r="Z183" s="6"/>
      <c r="AA183" s="7"/>
      <c r="AB183" s="7"/>
      <c r="AC183" s="7"/>
      <c r="AD183" s="7"/>
      <c r="AE183" s="7"/>
      <c r="AF183" s="7"/>
      <c r="AG183" s="7"/>
      <c r="AH183" s="7"/>
      <c r="AI183" s="7"/>
    </row>
    <row r="184" spans="1:35" ht="12.75" customHeight="1">
      <c r="A184" s="5"/>
      <c r="B184" s="5"/>
      <c r="C184" s="7"/>
      <c r="D184" s="7"/>
      <c r="E184" s="7"/>
      <c r="F184" s="7"/>
      <c r="G184" s="7"/>
      <c r="H184" s="7"/>
      <c r="I184" s="8"/>
      <c r="J184" s="8"/>
      <c r="P184" s="6"/>
      <c r="Q184" s="6"/>
      <c r="R184" s="6"/>
      <c r="S184" s="6"/>
      <c r="T184" s="6"/>
      <c r="U184" s="6"/>
      <c r="V184" s="6"/>
      <c r="W184" s="6"/>
      <c r="X184" s="6"/>
      <c r="Z184" s="6"/>
      <c r="AA184" s="7"/>
      <c r="AB184" s="7"/>
      <c r="AC184" s="7"/>
      <c r="AD184" s="7"/>
      <c r="AE184" s="7"/>
      <c r="AF184" s="7"/>
      <c r="AG184" s="7"/>
      <c r="AH184" s="7"/>
      <c r="AI184" s="7"/>
    </row>
    <row r="185" spans="1:35" ht="12.75" customHeight="1">
      <c r="A185" s="5"/>
      <c r="B185" s="5"/>
      <c r="C185" s="7"/>
      <c r="D185" s="7"/>
      <c r="E185" s="7"/>
      <c r="F185" s="7"/>
      <c r="G185" s="7"/>
      <c r="H185" s="7"/>
      <c r="I185" s="8"/>
      <c r="J185" s="8"/>
      <c r="P185" s="6"/>
      <c r="Q185" s="6"/>
      <c r="R185" s="6"/>
      <c r="S185" s="6"/>
      <c r="T185" s="6"/>
      <c r="U185" s="6"/>
      <c r="V185" s="6"/>
      <c r="W185" s="6"/>
      <c r="X185" s="6"/>
      <c r="Z185" s="6"/>
      <c r="AA185" s="7"/>
      <c r="AB185" s="7"/>
      <c r="AC185" s="7"/>
      <c r="AD185" s="7"/>
      <c r="AE185" s="7"/>
      <c r="AF185" s="7"/>
      <c r="AG185" s="7"/>
      <c r="AH185" s="7"/>
      <c r="AI185" s="7"/>
    </row>
    <row r="186" spans="1:35" ht="12.75" customHeight="1">
      <c r="A186" s="5"/>
      <c r="B186" s="5"/>
      <c r="C186" s="7"/>
      <c r="D186" s="7"/>
      <c r="E186" s="7"/>
      <c r="F186" s="7"/>
      <c r="G186" s="7"/>
      <c r="H186" s="7"/>
      <c r="I186" s="8"/>
      <c r="J186" s="8"/>
      <c r="P186" s="6"/>
      <c r="Q186" s="6"/>
      <c r="R186" s="6"/>
      <c r="S186" s="6"/>
      <c r="T186" s="6"/>
      <c r="U186" s="6"/>
      <c r="V186" s="6"/>
      <c r="W186" s="6"/>
      <c r="X186" s="6"/>
      <c r="Z186" s="6"/>
      <c r="AA186" s="7"/>
      <c r="AB186" s="7"/>
      <c r="AC186" s="7"/>
      <c r="AD186" s="7"/>
      <c r="AE186" s="7"/>
      <c r="AF186" s="7"/>
      <c r="AG186" s="7"/>
      <c r="AH186" s="7"/>
      <c r="AI186" s="7"/>
    </row>
    <row r="187" spans="1:35" ht="12.75" customHeight="1">
      <c r="A187" s="5"/>
      <c r="B187" s="5"/>
      <c r="C187" s="7"/>
      <c r="D187" s="7"/>
      <c r="E187" s="7"/>
      <c r="F187" s="7"/>
      <c r="G187" s="7"/>
      <c r="H187" s="7"/>
      <c r="I187" s="8"/>
      <c r="J187" s="8"/>
      <c r="P187" s="6"/>
      <c r="Q187" s="6"/>
      <c r="R187" s="6"/>
      <c r="S187" s="6"/>
      <c r="T187" s="6"/>
      <c r="U187" s="6"/>
      <c r="V187" s="6"/>
      <c r="W187" s="6"/>
      <c r="X187" s="6"/>
      <c r="Z187" s="6"/>
      <c r="AA187" s="7"/>
      <c r="AB187" s="7"/>
      <c r="AC187" s="7"/>
      <c r="AD187" s="7"/>
      <c r="AE187" s="7"/>
      <c r="AF187" s="7"/>
      <c r="AG187" s="7"/>
      <c r="AH187" s="7"/>
      <c r="AI187" s="7"/>
    </row>
    <row r="188" spans="1:35" ht="12.75" customHeight="1">
      <c r="A188" s="5"/>
      <c r="B188" s="5"/>
      <c r="C188" s="7"/>
      <c r="D188" s="7"/>
      <c r="E188" s="7"/>
      <c r="F188" s="7"/>
      <c r="G188" s="7"/>
      <c r="H188" s="7"/>
      <c r="I188" s="8"/>
      <c r="J188" s="8"/>
      <c r="P188" s="6"/>
      <c r="Q188" s="6"/>
      <c r="R188" s="6"/>
      <c r="S188" s="6"/>
      <c r="T188" s="6"/>
      <c r="U188" s="6"/>
      <c r="V188" s="6"/>
      <c r="W188" s="6"/>
      <c r="X188" s="6"/>
      <c r="Z188" s="6"/>
      <c r="AA188" s="7"/>
      <c r="AB188" s="7"/>
      <c r="AC188" s="7"/>
      <c r="AD188" s="7"/>
      <c r="AE188" s="7"/>
      <c r="AF188" s="7"/>
      <c r="AG188" s="7"/>
      <c r="AH188" s="7"/>
      <c r="AI188" s="7"/>
    </row>
    <row r="189" spans="1:35" ht="12.75" customHeight="1">
      <c r="A189" s="5"/>
      <c r="B189" s="5"/>
      <c r="C189" s="7"/>
      <c r="D189" s="7"/>
      <c r="E189" s="7"/>
      <c r="F189" s="7"/>
      <c r="G189" s="7"/>
      <c r="H189" s="7"/>
      <c r="I189" s="8"/>
      <c r="J189" s="8"/>
      <c r="P189" s="6"/>
      <c r="Q189" s="6"/>
      <c r="R189" s="6"/>
      <c r="S189" s="6"/>
      <c r="T189" s="6"/>
      <c r="U189" s="6"/>
      <c r="V189" s="6"/>
      <c r="W189" s="6"/>
      <c r="X189" s="6"/>
      <c r="Z189" s="6"/>
      <c r="AA189" s="7"/>
      <c r="AB189" s="7"/>
      <c r="AC189" s="7"/>
      <c r="AD189" s="7"/>
      <c r="AE189" s="7"/>
      <c r="AF189" s="7"/>
      <c r="AG189" s="7"/>
      <c r="AH189" s="7"/>
      <c r="AI189" s="7"/>
    </row>
    <row r="190" spans="1:35" ht="12.75" customHeight="1">
      <c r="A190" s="5"/>
      <c r="B190" s="5"/>
      <c r="C190" s="7"/>
      <c r="D190" s="7"/>
      <c r="E190" s="7"/>
      <c r="F190" s="7"/>
      <c r="G190" s="7"/>
      <c r="H190" s="7"/>
      <c r="I190" s="8"/>
      <c r="J190" s="8"/>
      <c r="P190" s="6"/>
      <c r="Q190" s="6"/>
      <c r="R190" s="6"/>
      <c r="S190" s="6"/>
      <c r="T190" s="6"/>
      <c r="U190" s="6"/>
      <c r="V190" s="6"/>
      <c r="W190" s="6"/>
      <c r="X190" s="6"/>
      <c r="Z190" s="6"/>
      <c r="AA190" s="7"/>
      <c r="AB190" s="7"/>
      <c r="AC190" s="7"/>
      <c r="AD190" s="7"/>
      <c r="AE190" s="7"/>
      <c r="AF190" s="7"/>
      <c r="AG190" s="7"/>
      <c r="AH190" s="7"/>
      <c r="AI190" s="7"/>
    </row>
    <row r="191" spans="1:35" ht="12.75" customHeight="1">
      <c r="A191" s="5"/>
      <c r="B191" s="5"/>
      <c r="C191" s="7"/>
      <c r="D191" s="7"/>
      <c r="E191" s="7"/>
      <c r="F191" s="7"/>
      <c r="G191" s="7"/>
      <c r="H191" s="7"/>
      <c r="I191" s="8"/>
      <c r="J191" s="8"/>
      <c r="P191" s="6"/>
      <c r="Q191" s="6"/>
      <c r="R191" s="6"/>
      <c r="S191" s="6"/>
      <c r="T191" s="6"/>
      <c r="U191" s="6"/>
      <c r="V191" s="6"/>
      <c r="W191" s="6"/>
      <c r="X191" s="6"/>
      <c r="Z191" s="6"/>
      <c r="AA191" s="7"/>
      <c r="AB191" s="7"/>
      <c r="AC191" s="7"/>
      <c r="AD191" s="7"/>
      <c r="AE191" s="7"/>
      <c r="AF191" s="7"/>
      <c r="AG191" s="7"/>
      <c r="AH191" s="7"/>
      <c r="AI191" s="7"/>
    </row>
    <row r="192" spans="1:35" ht="12.75" customHeight="1">
      <c r="A192" s="5"/>
      <c r="B192" s="5"/>
      <c r="C192" s="7"/>
      <c r="D192" s="7"/>
      <c r="E192" s="7"/>
      <c r="F192" s="7"/>
      <c r="G192" s="7"/>
      <c r="H192" s="7"/>
      <c r="I192" s="8"/>
      <c r="J192" s="8"/>
      <c r="P192" s="6"/>
      <c r="Q192" s="6"/>
      <c r="R192" s="6"/>
      <c r="S192" s="6"/>
      <c r="T192" s="6"/>
      <c r="U192" s="6"/>
      <c r="V192" s="6"/>
      <c r="W192" s="6"/>
      <c r="X192" s="6"/>
      <c r="Z192" s="6"/>
      <c r="AA192" s="7"/>
      <c r="AB192" s="7"/>
      <c r="AC192" s="7"/>
      <c r="AD192" s="7"/>
      <c r="AE192" s="7"/>
      <c r="AF192" s="7"/>
      <c r="AG192" s="7"/>
      <c r="AH192" s="7"/>
      <c r="AI192" s="7"/>
    </row>
    <row r="193" spans="1:35" ht="12.75" customHeight="1">
      <c r="A193" s="5"/>
      <c r="B193" s="5"/>
      <c r="C193" s="7"/>
      <c r="D193" s="7"/>
      <c r="E193" s="7"/>
      <c r="F193" s="7"/>
      <c r="G193" s="7"/>
      <c r="H193" s="7"/>
      <c r="I193" s="8"/>
      <c r="J193" s="8"/>
      <c r="P193" s="6"/>
      <c r="Q193" s="6"/>
      <c r="R193" s="6"/>
      <c r="S193" s="6"/>
      <c r="T193" s="6"/>
      <c r="U193" s="6"/>
      <c r="V193" s="6"/>
      <c r="W193" s="6"/>
      <c r="X193" s="6"/>
      <c r="Z193" s="6"/>
      <c r="AA193" s="7"/>
      <c r="AB193" s="7"/>
      <c r="AC193" s="7"/>
      <c r="AD193" s="7"/>
      <c r="AE193" s="7"/>
      <c r="AF193" s="7"/>
      <c r="AG193" s="7"/>
      <c r="AH193" s="7"/>
      <c r="AI193" s="7"/>
    </row>
    <row r="194" spans="1:35" ht="12.75" customHeight="1">
      <c r="A194" s="5"/>
      <c r="B194" s="5"/>
      <c r="C194" s="7"/>
      <c r="D194" s="7"/>
      <c r="E194" s="7"/>
      <c r="F194" s="7"/>
      <c r="G194" s="7"/>
      <c r="H194" s="7"/>
      <c r="I194" s="8"/>
      <c r="J194" s="8"/>
      <c r="P194" s="6"/>
      <c r="Q194" s="6"/>
      <c r="R194" s="6"/>
      <c r="S194" s="6"/>
      <c r="T194" s="6"/>
      <c r="U194" s="6"/>
      <c r="V194" s="6"/>
      <c r="W194" s="6"/>
      <c r="X194" s="6"/>
      <c r="Z194" s="6"/>
      <c r="AA194" s="7"/>
      <c r="AB194" s="7"/>
      <c r="AC194" s="7"/>
      <c r="AD194" s="7"/>
      <c r="AE194" s="7"/>
      <c r="AF194" s="7"/>
      <c r="AG194" s="7"/>
      <c r="AH194" s="7"/>
      <c r="AI194" s="7"/>
    </row>
    <row r="195" spans="1:35" ht="12.75" customHeight="1">
      <c r="A195" s="5"/>
      <c r="B195" s="5"/>
      <c r="C195" s="7"/>
      <c r="D195" s="7"/>
      <c r="E195" s="7"/>
      <c r="F195" s="7"/>
      <c r="G195" s="7"/>
      <c r="H195" s="7"/>
      <c r="I195" s="8"/>
      <c r="J195" s="8"/>
      <c r="P195" s="6"/>
      <c r="Q195" s="6"/>
      <c r="R195" s="6"/>
      <c r="S195" s="6"/>
      <c r="T195" s="6"/>
      <c r="U195" s="6"/>
      <c r="V195" s="6"/>
      <c r="W195" s="6"/>
      <c r="X195" s="6"/>
      <c r="Z195" s="6"/>
      <c r="AA195" s="7"/>
      <c r="AB195" s="7"/>
      <c r="AC195" s="7"/>
      <c r="AD195" s="7"/>
      <c r="AE195" s="7"/>
      <c r="AF195" s="7"/>
      <c r="AG195" s="7"/>
      <c r="AH195" s="7"/>
      <c r="AI195" s="7"/>
    </row>
    <row r="196" spans="1:35" ht="12.75" customHeight="1">
      <c r="A196" s="5"/>
      <c r="B196" s="5"/>
      <c r="C196" s="7"/>
      <c r="D196" s="7"/>
      <c r="E196" s="7"/>
      <c r="F196" s="7"/>
      <c r="G196" s="7"/>
      <c r="H196" s="7"/>
      <c r="I196" s="8"/>
      <c r="J196" s="8"/>
      <c r="P196" s="6"/>
      <c r="Q196" s="6"/>
      <c r="R196" s="6"/>
      <c r="S196" s="6"/>
      <c r="T196" s="6"/>
      <c r="U196" s="6"/>
      <c r="V196" s="6"/>
      <c r="W196" s="6"/>
      <c r="X196" s="6"/>
      <c r="Z196" s="6"/>
      <c r="AA196" s="7"/>
      <c r="AB196" s="7"/>
      <c r="AC196" s="7"/>
      <c r="AD196" s="7"/>
      <c r="AE196" s="7"/>
      <c r="AF196" s="7"/>
      <c r="AG196" s="7"/>
      <c r="AH196" s="7"/>
      <c r="AI196" s="7"/>
    </row>
    <row r="197" spans="1:35" ht="12.75" customHeight="1">
      <c r="A197" s="5"/>
      <c r="B197" s="5"/>
      <c r="C197" s="7"/>
      <c r="D197" s="7"/>
      <c r="E197" s="7"/>
      <c r="F197" s="7"/>
      <c r="G197" s="7"/>
      <c r="H197" s="7"/>
      <c r="I197" s="8"/>
      <c r="J197" s="8"/>
      <c r="P197" s="6"/>
      <c r="Q197" s="6"/>
      <c r="R197" s="6"/>
      <c r="S197" s="6"/>
      <c r="T197" s="6"/>
      <c r="U197" s="6"/>
      <c r="V197" s="6"/>
      <c r="W197" s="6"/>
      <c r="X197" s="6"/>
      <c r="Z197" s="6"/>
      <c r="AA197" s="7"/>
      <c r="AB197" s="7"/>
      <c r="AC197" s="7"/>
      <c r="AD197" s="7"/>
      <c r="AE197" s="7"/>
      <c r="AF197" s="7"/>
      <c r="AG197" s="7"/>
      <c r="AH197" s="7"/>
      <c r="AI197" s="7"/>
    </row>
    <row r="198" spans="1:35" ht="12.75" customHeight="1">
      <c r="A198" s="5"/>
      <c r="B198" s="5"/>
      <c r="C198" s="7"/>
      <c r="D198" s="7"/>
      <c r="E198" s="7"/>
      <c r="F198" s="7"/>
      <c r="G198" s="7"/>
      <c r="H198" s="7"/>
      <c r="I198" s="8"/>
      <c r="J198" s="8"/>
      <c r="P198" s="6"/>
      <c r="Q198" s="6"/>
      <c r="R198" s="6"/>
      <c r="S198" s="6"/>
      <c r="T198" s="6"/>
      <c r="U198" s="6"/>
      <c r="V198" s="6"/>
      <c r="W198" s="6"/>
      <c r="X198" s="6"/>
      <c r="Z198" s="6"/>
      <c r="AA198" s="7"/>
      <c r="AB198" s="7"/>
      <c r="AC198" s="7"/>
      <c r="AD198" s="7"/>
      <c r="AE198" s="7"/>
      <c r="AF198" s="7"/>
      <c r="AG198" s="7"/>
      <c r="AH198" s="7"/>
      <c r="AI198" s="7"/>
    </row>
    <row r="199" spans="1:35" ht="12.75" customHeight="1">
      <c r="A199" s="5"/>
      <c r="B199" s="5"/>
      <c r="C199" s="7"/>
      <c r="D199" s="7"/>
      <c r="E199" s="7"/>
      <c r="F199" s="7"/>
      <c r="G199" s="7"/>
      <c r="H199" s="7"/>
      <c r="I199" s="8"/>
      <c r="J199" s="8"/>
      <c r="P199" s="6"/>
      <c r="Q199" s="6"/>
      <c r="R199" s="6"/>
      <c r="S199" s="6"/>
      <c r="T199" s="6"/>
      <c r="U199" s="6"/>
      <c r="V199" s="6"/>
      <c r="W199" s="6"/>
      <c r="X199" s="6"/>
      <c r="Z199" s="6"/>
      <c r="AA199" s="7"/>
      <c r="AB199" s="7"/>
      <c r="AC199" s="7"/>
      <c r="AD199" s="7"/>
      <c r="AE199" s="7"/>
      <c r="AF199" s="7"/>
      <c r="AG199" s="7"/>
      <c r="AH199" s="7"/>
      <c r="AI199" s="7"/>
    </row>
    <row r="200" spans="1:35" ht="12.75" customHeight="1">
      <c r="A200" s="5"/>
      <c r="B200" s="5"/>
      <c r="C200" s="7"/>
      <c r="D200" s="7"/>
      <c r="E200" s="7"/>
      <c r="F200" s="7"/>
      <c r="G200" s="7"/>
      <c r="H200" s="7"/>
      <c r="I200" s="8"/>
      <c r="J200" s="8"/>
      <c r="P200" s="6"/>
      <c r="Q200" s="6"/>
      <c r="R200" s="6"/>
      <c r="S200" s="6"/>
      <c r="T200" s="6"/>
      <c r="U200" s="6"/>
      <c r="V200" s="6"/>
      <c r="W200" s="6"/>
      <c r="X200" s="6"/>
      <c r="Z200" s="6"/>
      <c r="AA200" s="7"/>
      <c r="AB200" s="7"/>
      <c r="AC200" s="7"/>
      <c r="AD200" s="7"/>
      <c r="AE200" s="7"/>
      <c r="AF200" s="7"/>
      <c r="AG200" s="7"/>
      <c r="AH200" s="7"/>
      <c r="AI200" s="7"/>
    </row>
    <row r="201" spans="1:35" ht="12.75" customHeight="1">
      <c r="A201" s="5"/>
      <c r="B201" s="5"/>
      <c r="C201" s="7"/>
      <c r="D201" s="7"/>
      <c r="E201" s="7"/>
      <c r="F201" s="7"/>
      <c r="G201" s="7"/>
      <c r="H201" s="7"/>
      <c r="I201" s="8"/>
      <c r="J201" s="8"/>
      <c r="P201" s="6"/>
      <c r="Q201" s="6"/>
      <c r="R201" s="6"/>
      <c r="S201" s="6"/>
      <c r="T201" s="6"/>
      <c r="U201" s="6"/>
      <c r="V201" s="6"/>
      <c r="W201" s="6"/>
      <c r="X201" s="6"/>
      <c r="Z201" s="6"/>
      <c r="AA201" s="7"/>
      <c r="AB201" s="7"/>
      <c r="AC201" s="7"/>
      <c r="AD201" s="7"/>
      <c r="AE201" s="7"/>
      <c r="AF201" s="7"/>
      <c r="AG201" s="7"/>
      <c r="AH201" s="7"/>
      <c r="AI201" s="7"/>
    </row>
    <row r="202" spans="1:35" ht="12.75" customHeight="1">
      <c r="A202" s="5"/>
      <c r="B202" s="5"/>
      <c r="C202" s="7"/>
      <c r="D202" s="7"/>
      <c r="E202" s="7"/>
      <c r="F202" s="7"/>
      <c r="G202" s="7"/>
      <c r="H202" s="7"/>
      <c r="I202" s="8"/>
      <c r="J202" s="8"/>
      <c r="P202" s="6"/>
      <c r="Q202" s="6"/>
      <c r="R202" s="6"/>
      <c r="S202" s="6"/>
      <c r="T202" s="6"/>
      <c r="U202" s="6"/>
      <c r="V202" s="6"/>
      <c r="W202" s="6"/>
      <c r="X202" s="6"/>
      <c r="Z202" s="6"/>
      <c r="AA202" s="7"/>
      <c r="AB202" s="7"/>
      <c r="AC202" s="7"/>
      <c r="AD202" s="7"/>
      <c r="AE202" s="7"/>
      <c r="AF202" s="7"/>
      <c r="AG202" s="7"/>
      <c r="AH202" s="7"/>
      <c r="AI202" s="7"/>
    </row>
    <row r="203" spans="1:35" ht="12.75" customHeight="1">
      <c r="A203" s="5"/>
      <c r="B203" s="5"/>
      <c r="C203" s="7"/>
      <c r="D203" s="7"/>
      <c r="E203" s="7"/>
      <c r="F203" s="7"/>
      <c r="G203" s="7"/>
      <c r="H203" s="7"/>
      <c r="I203" s="8"/>
      <c r="J203" s="8"/>
      <c r="P203" s="6"/>
      <c r="Q203" s="6"/>
      <c r="R203" s="6"/>
      <c r="S203" s="6"/>
      <c r="T203" s="6"/>
      <c r="U203" s="6"/>
      <c r="V203" s="6"/>
      <c r="W203" s="6"/>
      <c r="X203" s="6"/>
      <c r="Z203" s="6"/>
      <c r="AA203" s="7"/>
      <c r="AB203" s="7"/>
      <c r="AC203" s="7"/>
      <c r="AD203" s="7"/>
      <c r="AE203" s="7"/>
      <c r="AF203" s="7"/>
      <c r="AG203" s="7"/>
      <c r="AH203" s="7"/>
      <c r="AI203" s="7"/>
    </row>
    <row r="204" spans="1:35" ht="12.75" customHeight="1">
      <c r="A204" s="5"/>
      <c r="B204" s="5"/>
      <c r="C204" s="7"/>
      <c r="D204" s="7"/>
      <c r="E204" s="7"/>
      <c r="F204" s="7"/>
      <c r="G204" s="7"/>
      <c r="H204" s="7"/>
      <c r="I204" s="8"/>
      <c r="J204" s="8"/>
      <c r="P204" s="6"/>
      <c r="Q204" s="6"/>
      <c r="R204" s="6"/>
      <c r="S204" s="6"/>
      <c r="T204" s="6"/>
      <c r="U204" s="6"/>
      <c r="V204" s="6"/>
      <c r="W204" s="6"/>
      <c r="X204" s="6"/>
      <c r="Z204" s="6"/>
      <c r="AA204" s="7"/>
      <c r="AB204" s="7"/>
      <c r="AC204" s="7"/>
      <c r="AD204" s="7"/>
      <c r="AE204" s="7"/>
      <c r="AF204" s="7"/>
      <c r="AG204" s="7"/>
      <c r="AH204" s="7"/>
      <c r="AI204" s="7"/>
    </row>
    <row r="205" spans="1:35" ht="12.75" customHeight="1">
      <c r="A205" s="5"/>
      <c r="B205" s="5"/>
      <c r="C205" s="7"/>
      <c r="D205" s="7"/>
      <c r="E205" s="7"/>
      <c r="F205" s="7"/>
      <c r="G205" s="7"/>
      <c r="H205" s="7"/>
      <c r="I205" s="8"/>
      <c r="J205" s="8"/>
      <c r="P205" s="6"/>
      <c r="Q205" s="6"/>
      <c r="R205" s="6"/>
      <c r="S205" s="6"/>
      <c r="T205" s="6"/>
      <c r="U205" s="6"/>
      <c r="V205" s="6"/>
      <c r="W205" s="6"/>
      <c r="X205" s="6"/>
      <c r="Z205" s="6"/>
      <c r="AA205" s="7"/>
      <c r="AB205" s="7"/>
      <c r="AC205" s="7"/>
      <c r="AD205" s="7"/>
      <c r="AE205" s="7"/>
      <c r="AF205" s="7"/>
      <c r="AG205" s="7"/>
      <c r="AH205" s="7"/>
      <c r="AI205" s="7"/>
    </row>
    <row r="206" spans="1:35" ht="12.75" customHeight="1">
      <c r="A206" s="5"/>
      <c r="B206" s="5"/>
      <c r="C206" s="7"/>
      <c r="D206" s="7"/>
      <c r="E206" s="7"/>
      <c r="F206" s="7"/>
      <c r="G206" s="7"/>
      <c r="H206" s="7"/>
      <c r="I206" s="8"/>
      <c r="J206" s="8"/>
      <c r="P206" s="6"/>
      <c r="Q206" s="6"/>
      <c r="R206" s="6"/>
      <c r="S206" s="6"/>
      <c r="T206" s="6"/>
      <c r="U206" s="6"/>
      <c r="V206" s="6"/>
      <c r="W206" s="6"/>
      <c r="X206" s="6"/>
      <c r="Z206" s="6"/>
      <c r="AA206" s="7"/>
      <c r="AB206" s="7"/>
      <c r="AC206" s="7"/>
      <c r="AD206" s="7"/>
      <c r="AE206" s="7"/>
      <c r="AF206" s="7"/>
      <c r="AG206" s="7"/>
      <c r="AH206" s="7"/>
      <c r="AI206" s="7"/>
    </row>
    <row r="207" spans="1:35" ht="12.75" customHeight="1">
      <c r="A207" s="5"/>
      <c r="B207" s="5"/>
      <c r="C207" s="7"/>
      <c r="D207" s="7"/>
      <c r="E207" s="7"/>
      <c r="F207" s="7"/>
      <c r="G207" s="7"/>
      <c r="H207" s="7"/>
      <c r="I207" s="8"/>
      <c r="J207" s="8"/>
      <c r="P207" s="6"/>
      <c r="Q207" s="6"/>
      <c r="R207" s="6"/>
      <c r="S207" s="6"/>
      <c r="T207" s="6"/>
      <c r="U207" s="6"/>
      <c r="V207" s="6"/>
      <c r="W207" s="6"/>
      <c r="X207" s="6"/>
      <c r="Z207" s="6"/>
      <c r="AA207" s="7"/>
      <c r="AB207" s="7"/>
      <c r="AC207" s="7"/>
      <c r="AD207" s="7"/>
      <c r="AE207" s="7"/>
      <c r="AF207" s="7"/>
      <c r="AG207" s="7"/>
      <c r="AH207" s="7"/>
      <c r="AI207" s="7"/>
    </row>
    <row r="208" spans="1:35" ht="12.75" customHeight="1">
      <c r="A208" s="5"/>
      <c r="B208" s="5"/>
      <c r="C208" s="7"/>
      <c r="D208" s="7"/>
      <c r="E208" s="7"/>
      <c r="F208" s="7"/>
      <c r="G208" s="7"/>
      <c r="H208" s="7"/>
      <c r="I208" s="8"/>
      <c r="J208" s="8"/>
      <c r="P208" s="6"/>
      <c r="Q208" s="6"/>
      <c r="R208" s="6"/>
      <c r="S208" s="6"/>
      <c r="T208" s="6"/>
      <c r="U208" s="6"/>
      <c r="V208" s="6"/>
      <c r="W208" s="6"/>
      <c r="X208" s="6"/>
      <c r="Z208" s="6"/>
      <c r="AA208" s="7"/>
      <c r="AB208" s="7"/>
      <c r="AC208" s="7"/>
      <c r="AD208" s="7"/>
      <c r="AE208" s="7"/>
      <c r="AF208" s="7"/>
      <c r="AG208" s="7"/>
      <c r="AH208" s="7"/>
      <c r="AI208" s="7"/>
    </row>
    <row r="209" spans="1:35" ht="12.75" customHeight="1">
      <c r="A209" s="5"/>
      <c r="B209" s="5"/>
      <c r="C209" s="7"/>
      <c r="D209" s="7"/>
      <c r="E209" s="7"/>
      <c r="F209" s="7"/>
      <c r="G209" s="7"/>
      <c r="H209" s="7"/>
      <c r="I209" s="8"/>
      <c r="J209" s="8"/>
      <c r="P209" s="6"/>
      <c r="Q209" s="6"/>
      <c r="R209" s="6"/>
      <c r="S209" s="6"/>
      <c r="T209" s="6"/>
      <c r="U209" s="6"/>
      <c r="V209" s="6"/>
      <c r="W209" s="6"/>
      <c r="X209" s="6"/>
      <c r="Z209" s="6"/>
      <c r="AA209" s="7"/>
      <c r="AB209" s="7"/>
      <c r="AC209" s="7"/>
      <c r="AD209" s="7"/>
      <c r="AE209" s="7"/>
      <c r="AF209" s="7"/>
      <c r="AG209" s="7"/>
      <c r="AH209" s="7"/>
      <c r="AI209" s="7"/>
    </row>
    <row r="210" spans="1:35" ht="12.75" customHeight="1">
      <c r="A210" s="5"/>
      <c r="B210" s="5"/>
      <c r="C210" s="7"/>
      <c r="D210" s="7"/>
      <c r="E210" s="7"/>
      <c r="F210" s="7"/>
      <c r="G210" s="7"/>
      <c r="H210" s="7"/>
      <c r="I210" s="8"/>
      <c r="J210" s="8"/>
      <c r="P210" s="6"/>
      <c r="Q210" s="6"/>
      <c r="R210" s="6"/>
      <c r="S210" s="6"/>
      <c r="T210" s="6"/>
      <c r="U210" s="6"/>
      <c r="V210" s="6"/>
      <c r="W210" s="6"/>
      <c r="X210" s="6"/>
      <c r="Z210" s="6"/>
      <c r="AA210" s="7"/>
      <c r="AB210" s="7"/>
      <c r="AC210" s="7"/>
      <c r="AD210" s="7"/>
      <c r="AE210" s="7"/>
      <c r="AF210" s="7"/>
      <c r="AG210" s="7"/>
      <c r="AH210" s="7"/>
      <c r="AI210" s="7"/>
    </row>
    <row r="211" spans="1:35" ht="12.75" customHeight="1">
      <c r="A211" s="5"/>
      <c r="B211" s="5"/>
      <c r="C211" s="7"/>
      <c r="D211" s="7"/>
      <c r="E211" s="7"/>
      <c r="F211" s="7"/>
      <c r="G211" s="7"/>
      <c r="H211" s="7"/>
      <c r="I211" s="8"/>
      <c r="J211" s="8"/>
      <c r="P211" s="6"/>
      <c r="Q211" s="6"/>
      <c r="R211" s="6"/>
      <c r="S211" s="6"/>
      <c r="T211" s="6"/>
      <c r="U211" s="6"/>
      <c r="V211" s="6"/>
      <c r="W211" s="6"/>
      <c r="X211" s="6"/>
      <c r="Z211" s="6"/>
      <c r="AA211" s="7"/>
      <c r="AB211" s="7"/>
      <c r="AC211" s="7"/>
      <c r="AD211" s="7"/>
      <c r="AE211" s="7"/>
      <c r="AF211" s="7"/>
      <c r="AG211" s="7"/>
      <c r="AH211" s="7"/>
      <c r="AI211" s="7"/>
    </row>
    <row r="212" spans="1:35" ht="12.75" customHeight="1">
      <c r="A212" s="5"/>
      <c r="B212" s="5"/>
      <c r="C212" s="7"/>
      <c r="D212" s="7"/>
      <c r="E212" s="7"/>
      <c r="F212" s="7"/>
      <c r="G212" s="7"/>
      <c r="H212" s="7"/>
      <c r="I212" s="8"/>
      <c r="J212" s="8"/>
      <c r="P212" s="6"/>
      <c r="Q212" s="6"/>
      <c r="R212" s="6"/>
      <c r="S212" s="6"/>
      <c r="T212" s="6"/>
      <c r="U212" s="6"/>
      <c r="V212" s="6"/>
      <c r="W212" s="6"/>
      <c r="X212" s="6"/>
      <c r="Z212" s="6"/>
      <c r="AA212" s="7"/>
      <c r="AB212" s="7"/>
      <c r="AC212" s="7"/>
      <c r="AD212" s="7"/>
      <c r="AE212" s="7"/>
      <c r="AF212" s="7"/>
      <c r="AG212" s="7"/>
      <c r="AH212" s="7"/>
      <c r="AI212" s="7"/>
    </row>
    <row r="213" spans="1:35" ht="12.75" customHeight="1">
      <c r="A213" s="5"/>
      <c r="B213" s="5"/>
      <c r="C213" s="7"/>
      <c r="D213" s="7"/>
      <c r="E213" s="7"/>
      <c r="F213" s="7"/>
      <c r="G213" s="7"/>
      <c r="H213" s="7"/>
      <c r="I213" s="8"/>
      <c r="J213" s="8"/>
      <c r="P213" s="6"/>
      <c r="Q213" s="6"/>
      <c r="R213" s="6"/>
      <c r="S213" s="6"/>
      <c r="T213" s="6"/>
      <c r="U213" s="6"/>
      <c r="V213" s="6"/>
      <c r="W213" s="6"/>
      <c r="X213" s="6"/>
      <c r="Z213" s="6"/>
      <c r="AA213" s="7"/>
      <c r="AB213" s="7"/>
      <c r="AC213" s="7"/>
      <c r="AD213" s="7"/>
      <c r="AE213" s="7"/>
      <c r="AF213" s="7"/>
      <c r="AG213" s="7"/>
      <c r="AH213" s="7"/>
      <c r="AI213" s="7"/>
    </row>
    <row r="214" spans="1:35" ht="12.75" customHeight="1">
      <c r="A214" s="5"/>
      <c r="B214" s="5"/>
      <c r="C214" s="7"/>
      <c r="D214" s="7"/>
      <c r="E214" s="7"/>
      <c r="F214" s="7"/>
      <c r="G214" s="7"/>
      <c r="H214" s="7"/>
      <c r="I214" s="8"/>
      <c r="J214" s="8"/>
      <c r="P214" s="6"/>
      <c r="Q214" s="6"/>
      <c r="R214" s="6"/>
      <c r="S214" s="6"/>
      <c r="T214" s="6"/>
      <c r="U214" s="6"/>
      <c r="V214" s="6"/>
      <c r="W214" s="6"/>
      <c r="X214" s="6"/>
      <c r="Z214" s="6"/>
      <c r="AA214" s="7"/>
      <c r="AB214" s="7"/>
      <c r="AC214" s="7"/>
      <c r="AD214" s="7"/>
      <c r="AE214" s="7"/>
      <c r="AF214" s="7"/>
      <c r="AG214" s="7"/>
      <c r="AH214" s="7"/>
      <c r="AI214" s="7"/>
    </row>
    <row r="215" spans="1:35" ht="12.75" customHeight="1">
      <c r="A215" s="5"/>
      <c r="B215" s="5"/>
      <c r="C215" s="7"/>
      <c r="D215" s="7"/>
      <c r="E215" s="7"/>
      <c r="F215" s="7"/>
      <c r="G215" s="7"/>
      <c r="H215" s="7"/>
      <c r="I215" s="8"/>
      <c r="J215" s="8"/>
      <c r="P215" s="6"/>
      <c r="Q215" s="6"/>
      <c r="R215" s="6"/>
      <c r="S215" s="6"/>
      <c r="T215" s="6"/>
      <c r="U215" s="6"/>
      <c r="V215" s="6"/>
      <c r="W215" s="6"/>
      <c r="X215" s="6"/>
      <c r="Z215" s="6"/>
      <c r="AA215" s="7"/>
      <c r="AB215" s="7"/>
      <c r="AC215" s="7"/>
      <c r="AD215" s="7"/>
      <c r="AE215" s="7"/>
      <c r="AF215" s="7"/>
      <c r="AG215" s="7"/>
      <c r="AH215" s="7"/>
      <c r="AI215" s="7"/>
    </row>
    <row r="216" spans="1:35" ht="12.75" customHeight="1">
      <c r="A216" s="5"/>
      <c r="B216" s="5"/>
      <c r="C216" s="7"/>
      <c r="D216" s="7"/>
      <c r="E216" s="7"/>
      <c r="F216" s="7"/>
      <c r="G216" s="7"/>
      <c r="H216" s="7"/>
      <c r="I216" s="8"/>
      <c r="J216" s="8"/>
      <c r="P216" s="6"/>
      <c r="Q216" s="6"/>
      <c r="R216" s="6"/>
      <c r="S216" s="6"/>
      <c r="T216" s="6"/>
      <c r="U216" s="6"/>
      <c r="V216" s="6"/>
      <c r="W216" s="6"/>
      <c r="X216" s="6"/>
      <c r="Z216" s="6"/>
      <c r="AA216" s="7"/>
      <c r="AB216" s="7"/>
      <c r="AC216" s="7"/>
      <c r="AD216" s="7"/>
      <c r="AE216" s="7"/>
      <c r="AF216" s="7"/>
      <c r="AG216" s="7"/>
      <c r="AH216" s="7"/>
      <c r="AI216" s="7"/>
    </row>
    <row r="217" spans="1:35" ht="12.75" customHeight="1">
      <c r="A217" s="5"/>
      <c r="B217" s="5"/>
      <c r="C217" s="7"/>
      <c r="D217" s="7"/>
      <c r="E217" s="7"/>
      <c r="F217" s="7"/>
      <c r="G217" s="7"/>
      <c r="H217" s="7"/>
      <c r="I217" s="8"/>
      <c r="J217" s="8"/>
      <c r="P217" s="6"/>
      <c r="Q217" s="6"/>
      <c r="R217" s="6"/>
      <c r="S217" s="6"/>
      <c r="T217" s="6"/>
      <c r="U217" s="6"/>
      <c r="V217" s="6"/>
      <c r="W217" s="6"/>
      <c r="X217" s="6"/>
      <c r="Z217" s="6"/>
      <c r="AA217" s="7"/>
      <c r="AB217" s="7"/>
      <c r="AC217" s="7"/>
      <c r="AD217" s="7"/>
      <c r="AE217" s="7"/>
      <c r="AF217" s="7"/>
      <c r="AG217" s="7"/>
      <c r="AH217" s="7"/>
      <c r="AI217" s="7"/>
    </row>
    <row r="218" spans="1:35" ht="12.75" customHeight="1">
      <c r="A218" s="5"/>
      <c r="B218" s="5"/>
      <c r="C218" s="7"/>
      <c r="D218" s="7"/>
      <c r="E218" s="7"/>
      <c r="F218" s="7"/>
      <c r="G218" s="7"/>
      <c r="H218" s="7"/>
      <c r="I218" s="8"/>
      <c r="J218" s="8"/>
      <c r="P218" s="6"/>
      <c r="Q218" s="6"/>
      <c r="R218" s="6"/>
      <c r="S218" s="6"/>
      <c r="T218" s="6"/>
      <c r="U218" s="6"/>
      <c r="V218" s="6"/>
      <c r="W218" s="6"/>
      <c r="X218" s="6"/>
      <c r="Z218" s="6"/>
      <c r="AA218" s="7"/>
      <c r="AB218" s="7"/>
      <c r="AC218" s="7"/>
      <c r="AD218" s="7"/>
      <c r="AE218" s="7"/>
      <c r="AF218" s="7"/>
      <c r="AG218" s="7"/>
      <c r="AH218" s="7"/>
      <c r="AI218" s="7"/>
    </row>
    <row r="219" spans="1:35" ht="12.75" customHeight="1">
      <c r="A219" s="5"/>
      <c r="B219" s="5"/>
      <c r="C219" s="7"/>
      <c r="D219" s="7"/>
      <c r="E219" s="7"/>
      <c r="F219" s="7"/>
      <c r="G219" s="7"/>
      <c r="H219" s="7"/>
      <c r="I219" s="8"/>
      <c r="J219" s="8"/>
      <c r="P219" s="6"/>
      <c r="Q219" s="6"/>
      <c r="R219" s="6"/>
      <c r="S219" s="6"/>
      <c r="T219" s="6"/>
      <c r="U219" s="6"/>
      <c r="V219" s="6"/>
      <c r="W219" s="6"/>
      <c r="X219" s="6"/>
      <c r="Z219" s="6"/>
      <c r="AA219" s="7"/>
      <c r="AB219" s="7"/>
      <c r="AC219" s="7"/>
      <c r="AD219" s="7"/>
      <c r="AE219" s="7"/>
      <c r="AF219" s="7"/>
      <c r="AG219" s="7"/>
      <c r="AH219" s="7"/>
      <c r="AI219" s="7"/>
    </row>
    <row r="220" spans="1:35" ht="12.75" customHeight="1">
      <c r="A220" s="5"/>
      <c r="B220" s="5"/>
      <c r="C220" s="7"/>
      <c r="D220" s="7"/>
      <c r="E220" s="7"/>
      <c r="F220" s="7"/>
      <c r="G220" s="7"/>
      <c r="H220" s="7"/>
      <c r="I220" s="8"/>
      <c r="J220" s="8"/>
      <c r="P220" s="6"/>
      <c r="Q220" s="6"/>
      <c r="R220" s="6"/>
      <c r="S220" s="6"/>
      <c r="T220" s="6"/>
      <c r="U220" s="6"/>
      <c r="V220" s="6"/>
      <c r="W220" s="6"/>
      <c r="X220" s="6"/>
      <c r="Z220" s="6"/>
      <c r="AA220" s="7"/>
      <c r="AB220" s="7"/>
      <c r="AC220" s="7"/>
      <c r="AD220" s="7"/>
      <c r="AE220" s="7"/>
      <c r="AF220" s="7"/>
      <c r="AG220" s="7"/>
      <c r="AH220" s="7"/>
      <c r="AI220" s="7"/>
    </row>
    <row r="221" spans="1:35" ht="12.75" customHeight="1">
      <c r="A221" s="5"/>
      <c r="B221" s="5"/>
      <c r="C221" s="7"/>
      <c r="D221" s="7"/>
      <c r="E221" s="7"/>
      <c r="F221" s="7"/>
      <c r="G221" s="7"/>
      <c r="H221" s="7"/>
      <c r="I221" s="8"/>
      <c r="J221" s="8"/>
      <c r="P221" s="6"/>
      <c r="Q221" s="6"/>
      <c r="R221" s="6"/>
      <c r="S221" s="6"/>
      <c r="T221" s="6"/>
      <c r="U221" s="6"/>
      <c r="V221" s="6"/>
      <c r="W221" s="6"/>
      <c r="X221" s="6"/>
      <c r="Z221" s="6"/>
      <c r="AA221" s="7"/>
      <c r="AB221" s="7"/>
      <c r="AC221" s="7"/>
      <c r="AD221" s="7"/>
      <c r="AE221" s="7"/>
      <c r="AF221" s="7"/>
      <c r="AG221" s="7"/>
      <c r="AH221" s="7"/>
      <c r="AI221" s="7"/>
    </row>
    <row r="222" spans="1:35" ht="12.75" customHeight="1">
      <c r="A222" s="5"/>
      <c r="B222" s="5"/>
      <c r="C222" s="7"/>
      <c r="D222" s="7"/>
      <c r="E222" s="7"/>
      <c r="F222" s="7"/>
      <c r="G222" s="7"/>
      <c r="H222" s="7"/>
      <c r="I222" s="8"/>
      <c r="J222" s="8"/>
      <c r="P222" s="6"/>
      <c r="Q222" s="6"/>
      <c r="R222" s="6"/>
      <c r="S222" s="6"/>
      <c r="T222" s="6"/>
      <c r="U222" s="6"/>
      <c r="V222" s="6"/>
      <c r="W222" s="6"/>
      <c r="X222" s="6"/>
      <c r="Z222" s="6"/>
      <c r="AA222" s="7"/>
      <c r="AB222" s="7"/>
      <c r="AC222" s="7"/>
      <c r="AD222" s="7"/>
      <c r="AE222" s="7"/>
      <c r="AF222" s="7"/>
      <c r="AG222" s="7"/>
      <c r="AH222" s="7"/>
      <c r="AI222" s="7"/>
    </row>
    <row r="223" spans="1:35" ht="12.75" customHeight="1">
      <c r="A223" s="5"/>
      <c r="B223" s="5"/>
      <c r="C223" s="7"/>
      <c r="D223" s="7"/>
      <c r="E223" s="7"/>
      <c r="F223" s="7"/>
      <c r="G223" s="7"/>
      <c r="H223" s="7"/>
      <c r="I223" s="8"/>
      <c r="J223" s="8"/>
      <c r="P223" s="6"/>
      <c r="Q223" s="6"/>
      <c r="R223" s="6"/>
      <c r="S223" s="6"/>
      <c r="T223" s="6"/>
      <c r="U223" s="6"/>
      <c r="V223" s="6"/>
      <c r="W223" s="6"/>
      <c r="X223" s="6"/>
      <c r="Z223" s="6"/>
      <c r="AA223" s="7"/>
      <c r="AB223" s="7"/>
      <c r="AC223" s="7"/>
      <c r="AD223" s="7"/>
      <c r="AE223" s="7"/>
      <c r="AF223" s="7"/>
      <c r="AG223" s="7"/>
      <c r="AH223" s="7"/>
      <c r="AI223" s="7"/>
    </row>
    <row r="224" spans="1:35" ht="12.75" customHeight="1">
      <c r="A224" s="5"/>
      <c r="B224" s="5"/>
      <c r="C224" s="7"/>
      <c r="D224" s="7"/>
      <c r="E224" s="7"/>
      <c r="F224" s="7"/>
      <c r="G224" s="7"/>
      <c r="H224" s="7"/>
      <c r="I224" s="8"/>
      <c r="J224" s="8"/>
      <c r="P224" s="6"/>
      <c r="Q224" s="6"/>
      <c r="R224" s="6"/>
      <c r="S224" s="6"/>
      <c r="T224" s="6"/>
      <c r="U224" s="6"/>
      <c r="V224" s="6"/>
      <c r="W224" s="6"/>
      <c r="X224" s="6"/>
      <c r="Z224" s="6"/>
      <c r="AA224" s="7"/>
      <c r="AB224" s="7"/>
      <c r="AC224" s="7"/>
      <c r="AD224" s="7"/>
      <c r="AE224" s="7"/>
      <c r="AF224" s="7"/>
      <c r="AG224" s="7"/>
      <c r="AH224" s="7"/>
      <c r="AI224" s="7"/>
    </row>
    <row r="225" spans="1:35" ht="12.75" customHeight="1">
      <c r="A225" s="7"/>
      <c r="B225" s="7"/>
      <c r="C225" s="7"/>
      <c r="D225" s="7"/>
      <c r="E225" s="7"/>
      <c r="F225" s="7"/>
      <c r="G225" s="7"/>
      <c r="H225" s="7"/>
      <c r="I225" s="8"/>
      <c r="J225" s="8"/>
      <c r="P225" s="10"/>
      <c r="Q225" s="10"/>
      <c r="R225" s="10"/>
      <c r="S225" s="10"/>
      <c r="T225" s="10"/>
      <c r="U225" s="10"/>
      <c r="V225" s="10"/>
      <c r="W225" s="10"/>
      <c r="X225" s="10"/>
      <c r="Z225" s="10"/>
      <c r="AA225" s="7"/>
      <c r="AB225" s="7"/>
      <c r="AC225" s="7"/>
      <c r="AD225" s="7"/>
      <c r="AE225" s="7"/>
      <c r="AF225" s="7"/>
      <c r="AG225" s="7"/>
      <c r="AH225" s="7"/>
      <c r="AI225" s="7"/>
    </row>
    <row r="226" spans="1:35" ht="12.75" customHeight="1">
      <c r="A226" s="7"/>
      <c r="B226" s="7"/>
      <c r="C226" s="7"/>
      <c r="D226" s="7"/>
      <c r="E226" s="7"/>
      <c r="F226" s="7"/>
      <c r="G226" s="7"/>
      <c r="H226" s="7"/>
      <c r="I226" s="8"/>
      <c r="J226" s="8"/>
      <c r="P226" s="10"/>
      <c r="Q226" s="10"/>
      <c r="R226" s="10"/>
      <c r="S226" s="10"/>
      <c r="T226" s="10"/>
      <c r="U226" s="10"/>
      <c r="V226" s="10"/>
      <c r="W226" s="10"/>
      <c r="X226" s="10"/>
      <c r="Z226" s="10"/>
      <c r="AA226" s="7"/>
      <c r="AB226" s="7"/>
      <c r="AC226" s="7"/>
      <c r="AD226" s="7"/>
      <c r="AE226" s="7"/>
      <c r="AF226" s="7"/>
      <c r="AG226" s="7"/>
      <c r="AH226" s="7"/>
      <c r="AI226" s="7"/>
    </row>
    <row r="227" spans="1:35" ht="12.75" customHeight="1">
      <c r="A227" s="7"/>
      <c r="B227" s="7"/>
      <c r="C227" s="7"/>
      <c r="D227" s="7"/>
      <c r="E227" s="7"/>
      <c r="F227" s="7"/>
      <c r="G227" s="7"/>
      <c r="H227" s="7"/>
      <c r="I227" s="8"/>
      <c r="J227" s="8"/>
      <c r="P227" s="10"/>
      <c r="Q227" s="10"/>
      <c r="R227" s="10"/>
      <c r="S227" s="10"/>
      <c r="T227" s="10"/>
      <c r="U227" s="10"/>
      <c r="V227" s="10"/>
      <c r="W227" s="10"/>
      <c r="X227" s="10"/>
      <c r="Z227" s="10"/>
      <c r="AA227" s="7"/>
      <c r="AB227" s="7"/>
      <c r="AC227" s="7"/>
      <c r="AD227" s="7"/>
      <c r="AE227" s="7"/>
      <c r="AF227" s="7"/>
      <c r="AG227" s="7"/>
      <c r="AH227" s="7"/>
      <c r="AI227" s="7"/>
    </row>
    <row r="228" spans="1:35" ht="12.75" customHeight="1">
      <c r="A228" s="7"/>
      <c r="B228" s="7"/>
      <c r="C228" s="7"/>
      <c r="D228" s="7"/>
      <c r="E228" s="7"/>
      <c r="F228" s="7"/>
      <c r="G228" s="7"/>
      <c r="H228" s="7"/>
      <c r="I228" s="8"/>
      <c r="J228" s="8"/>
      <c r="P228" s="10"/>
      <c r="Q228" s="10"/>
      <c r="R228" s="10"/>
      <c r="S228" s="10"/>
      <c r="T228" s="10"/>
      <c r="U228" s="10"/>
      <c r="V228" s="10"/>
      <c r="W228" s="10"/>
      <c r="X228" s="10"/>
      <c r="Z228" s="10"/>
      <c r="AA228" s="7"/>
      <c r="AB228" s="7"/>
      <c r="AC228" s="7"/>
      <c r="AD228" s="7"/>
      <c r="AE228" s="7"/>
      <c r="AF228" s="7"/>
      <c r="AG228" s="7"/>
      <c r="AH228" s="7"/>
      <c r="AI228" s="7"/>
    </row>
    <row r="229" spans="1:35" ht="12.75" customHeight="1">
      <c r="A229" s="7"/>
      <c r="B229" s="7"/>
      <c r="C229" s="7"/>
      <c r="D229" s="7"/>
      <c r="E229" s="7"/>
      <c r="F229" s="7"/>
      <c r="G229" s="7"/>
      <c r="H229" s="7"/>
      <c r="I229" s="8"/>
      <c r="J229" s="8"/>
      <c r="P229" s="10"/>
      <c r="Q229" s="10"/>
      <c r="R229" s="10"/>
      <c r="S229" s="10"/>
      <c r="T229" s="10"/>
      <c r="U229" s="10"/>
      <c r="V229" s="10"/>
      <c r="W229" s="10"/>
      <c r="X229" s="10"/>
      <c r="Z229" s="10"/>
      <c r="AA229" s="7"/>
      <c r="AB229" s="7"/>
      <c r="AC229" s="7"/>
      <c r="AD229" s="7"/>
      <c r="AE229" s="7"/>
      <c r="AF229" s="7"/>
      <c r="AG229" s="7"/>
      <c r="AH229" s="7"/>
      <c r="AI229" s="7"/>
    </row>
    <row r="230" spans="1:35" ht="12.75" customHeight="1">
      <c r="A230" s="7"/>
      <c r="B230" s="7"/>
      <c r="C230" s="7"/>
      <c r="D230" s="7"/>
      <c r="E230" s="7"/>
      <c r="F230" s="7"/>
      <c r="G230" s="7"/>
      <c r="H230" s="7"/>
      <c r="I230" s="8"/>
      <c r="J230" s="8"/>
      <c r="P230" s="10"/>
      <c r="Q230" s="10"/>
      <c r="R230" s="10"/>
      <c r="S230" s="10"/>
      <c r="T230" s="10"/>
      <c r="U230" s="10"/>
      <c r="V230" s="10"/>
      <c r="W230" s="10"/>
      <c r="X230" s="10"/>
      <c r="Z230" s="10"/>
      <c r="AA230" s="7"/>
      <c r="AB230" s="7"/>
      <c r="AC230" s="7"/>
      <c r="AD230" s="7"/>
      <c r="AE230" s="7"/>
      <c r="AF230" s="7"/>
      <c r="AG230" s="7"/>
      <c r="AH230" s="7"/>
      <c r="AI230" s="7"/>
    </row>
    <row r="231" spans="1:35" ht="12.75" customHeight="1">
      <c r="A231" s="7"/>
      <c r="B231" s="7"/>
      <c r="C231" s="7"/>
      <c r="D231" s="7"/>
      <c r="E231" s="7"/>
      <c r="F231" s="7"/>
      <c r="G231" s="7"/>
      <c r="H231" s="7"/>
      <c r="I231" s="8"/>
      <c r="J231" s="8"/>
      <c r="P231" s="10"/>
      <c r="Q231" s="10"/>
      <c r="R231" s="10"/>
      <c r="S231" s="10"/>
      <c r="T231" s="10"/>
      <c r="U231" s="10"/>
      <c r="V231" s="10"/>
      <c r="W231" s="10"/>
      <c r="X231" s="10"/>
      <c r="Z231" s="10"/>
      <c r="AA231" s="7"/>
      <c r="AB231" s="7"/>
      <c r="AC231" s="7"/>
      <c r="AD231" s="7"/>
      <c r="AE231" s="7"/>
      <c r="AF231" s="7"/>
      <c r="AG231" s="7"/>
      <c r="AH231" s="7"/>
      <c r="AI231" s="7"/>
    </row>
    <row r="232" spans="1:35" ht="12.75" customHeight="1">
      <c r="A232" s="7"/>
      <c r="B232" s="7"/>
      <c r="C232" s="7"/>
      <c r="D232" s="7"/>
      <c r="E232" s="7"/>
      <c r="F232" s="7"/>
      <c r="G232" s="7"/>
      <c r="H232" s="7"/>
      <c r="I232" s="8"/>
      <c r="J232" s="8"/>
      <c r="P232" s="10"/>
      <c r="Q232" s="10"/>
      <c r="R232" s="10"/>
      <c r="S232" s="10"/>
      <c r="T232" s="10"/>
      <c r="U232" s="10"/>
      <c r="V232" s="10"/>
      <c r="W232" s="10"/>
      <c r="X232" s="10"/>
      <c r="Z232" s="10"/>
      <c r="AA232" s="7"/>
      <c r="AB232" s="7"/>
      <c r="AC232" s="7"/>
      <c r="AD232" s="7"/>
      <c r="AE232" s="7"/>
      <c r="AF232" s="7"/>
      <c r="AG232" s="7"/>
      <c r="AH232" s="7"/>
      <c r="AI232" s="7"/>
    </row>
    <row r="233" spans="1:35" ht="12.75" customHeight="1">
      <c r="A233" s="7"/>
      <c r="B233" s="7"/>
      <c r="C233" s="7"/>
      <c r="D233" s="7"/>
      <c r="E233" s="7"/>
      <c r="F233" s="7"/>
      <c r="G233" s="7"/>
      <c r="H233" s="7"/>
      <c r="I233" s="8"/>
      <c r="J233" s="8"/>
      <c r="P233" s="10"/>
      <c r="Q233" s="10"/>
      <c r="R233" s="10"/>
      <c r="S233" s="10"/>
      <c r="T233" s="10"/>
      <c r="U233" s="10"/>
      <c r="V233" s="10"/>
      <c r="W233" s="10"/>
      <c r="X233" s="10"/>
      <c r="Z233" s="10"/>
      <c r="AA233" s="7"/>
      <c r="AB233" s="7"/>
      <c r="AC233" s="7"/>
      <c r="AD233" s="7"/>
      <c r="AE233" s="7"/>
      <c r="AF233" s="7"/>
      <c r="AG233" s="7"/>
      <c r="AH233" s="7"/>
      <c r="AI233" s="7"/>
    </row>
    <row r="234" spans="1:35" ht="12.75" customHeight="1">
      <c r="A234" s="7"/>
      <c r="B234" s="7"/>
      <c r="C234" s="7"/>
      <c r="D234" s="7"/>
      <c r="E234" s="7"/>
      <c r="F234" s="7"/>
      <c r="G234" s="7"/>
      <c r="H234" s="7"/>
      <c r="I234" s="8"/>
      <c r="J234" s="8"/>
      <c r="P234" s="10"/>
      <c r="Q234" s="10"/>
      <c r="R234" s="10"/>
      <c r="S234" s="10"/>
      <c r="T234" s="10"/>
      <c r="U234" s="10"/>
      <c r="V234" s="10"/>
      <c r="W234" s="10"/>
      <c r="X234" s="10"/>
      <c r="Z234" s="10"/>
      <c r="AA234" s="7"/>
      <c r="AB234" s="7"/>
      <c r="AC234" s="7"/>
      <c r="AD234" s="7"/>
      <c r="AE234" s="7"/>
      <c r="AF234" s="7"/>
      <c r="AG234" s="7"/>
      <c r="AH234" s="7"/>
      <c r="AI234" s="7"/>
    </row>
    <row r="235" spans="1:35" ht="12.75" customHeight="1">
      <c r="A235" s="7"/>
      <c r="B235" s="7"/>
      <c r="C235" s="7"/>
      <c r="D235" s="7"/>
      <c r="E235" s="7"/>
      <c r="F235" s="7"/>
      <c r="G235" s="7"/>
      <c r="H235" s="7"/>
      <c r="I235" s="8"/>
      <c r="J235" s="8"/>
      <c r="P235" s="10"/>
      <c r="Q235" s="10"/>
      <c r="R235" s="10"/>
      <c r="S235" s="10"/>
      <c r="T235" s="10"/>
      <c r="U235" s="10"/>
      <c r="V235" s="10"/>
      <c r="W235" s="10"/>
      <c r="X235" s="10"/>
      <c r="Z235" s="10"/>
      <c r="AA235" s="7"/>
      <c r="AB235" s="7"/>
      <c r="AC235" s="7"/>
      <c r="AD235" s="7"/>
      <c r="AE235" s="7"/>
      <c r="AF235" s="7"/>
      <c r="AG235" s="7"/>
      <c r="AH235" s="7"/>
      <c r="AI235" s="7"/>
    </row>
    <row r="236" spans="1:35" ht="12.75" customHeight="1">
      <c r="A236" s="7"/>
      <c r="B236" s="7"/>
      <c r="C236" s="7"/>
      <c r="D236" s="7"/>
      <c r="E236" s="7"/>
      <c r="F236" s="7"/>
      <c r="G236" s="7"/>
      <c r="H236" s="7"/>
      <c r="I236" s="8"/>
      <c r="J236" s="8"/>
      <c r="P236" s="10"/>
      <c r="Q236" s="10"/>
      <c r="R236" s="10"/>
      <c r="S236" s="10"/>
      <c r="T236" s="10"/>
      <c r="U236" s="10"/>
      <c r="V236" s="10"/>
      <c r="W236" s="10"/>
      <c r="X236" s="10"/>
      <c r="Z236" s="10"/>
      <c r="AA236" s="7"/>
      <c r="AB236" s="7"/>
      <c r="AC236" s="7"/>
      <c r="AD236" s="7"/>
      <c r="AE236" s="7"/>
      <c r="AF236" s="7"/>
      <c r="AG236" s="7"/>
      <c r="AH236" s="7"/>
      <c r="AI236" s="7"/>
    </row>
    <row r="237" spans="1:35" ht="12.75" customHeight="1">
      <c r="A237" s="7"/>
      <c r="B237" s="7"/>
      <c r="C237" s="7"/>
      <c r="D237" s="7"/>
      <c r="E237" s="7"/>
      <c r="F237" s="7"/>
      <c r="G237" s="7"/>
      <c r="H237" s="7"/>
      <c r="I237" s="8"/>
      <c r="J237" s="8"/>
      <c r="P237" s="10"/>
      <c r="Q237" s="10"/>
      <c r="R237" s="10"/>
      <c r="S237" s="10"/>
      <c r="T237" s="10"/>
      <c r="U237" s="10"/>
      <c r="V237" s="10"/>
      <c r="W237" s="10"/>
      <c r="X237" s="10"/>
      <c r="Z237" s="10"/>
      <c r="AA237" s="7"/>
      <c r="AB237" s="7"/>
      <c r="AC237" s="7"/>
      <c r="AD237" s="7"/>
      <c r="AE237" s="7"/>
      <c r="AF237" s="7"/>
      <c r="AG237" s="7"/>
      <c r="AH237" s="7"/>
      <c r="AI237" s="7"/>
    </row>
    <row r="238" spans="1:35" ht="12.75" customHeight="1">
      <c r="A238" s="7"/>
      <c r="B238" s="7"/>
      <c r="C238" s="7"/>
      <c r="D238" s="7"/>
      <c r="E238" s="7"/>
      <c r="F238" s="7"/>
      <c r="G238" s="7"/>
      <c r="H238" s="7"/>
      <c r="I238" s="8"/>
      <c r="J238" s="8"/>
      <c r="P238" s="10"/>
      <c r="Q238" s="10"/>
      <c r="R238" s="10"/>
      <c r="S238" s="10"/>
      <c r="T238" s="10"/>
      <c r="U238" s="10"/>
      <c r="V238" s="10"/>
      <c r="W238" s="10"/>
      <c r="X238" s="10"/>
      <c r="Z238" s="10"/>
      <c r="AA238" s="7"/>
      <c r="AB238" s="7"/>
      <c r="AC238" s="7"/>
      <c r="AD238" s="7"/>
      <c r="AE238" s="7"/>
      <c r="AF238" s="7"/>
      <c r="AG238" s="7"/>
      <c r="AH238" s="7"/>
      <c r="AI238" s="7"/>
    </row>
    <row r="239" spans="1:35" ht="12.75" customHeight="1">
      <c r="A239" s="7"/>
      <c r="B239" s="7"/>
      <c r="C239" s="7"/>
      <c r="D239" s="7"/>
      <c r="E239" s="7"/>
      <c r="F239" s="7"/>
      <c r="G239" s="7"/>
      <c r="H239" s="7"/>
      <c r="I239" s="8"/>
      <c r="J239" s="8"/>
      <c r="P239" s="10"/>
      <c r="Q239" s="10"/>
      <c r="R239" s="10"/>
      <c r="S239" s="10"/>
      <c r="T239" s="10"/>
      <c r="U239" s="10"/>
      <c r="V239" s="10"/>
      <c r="W239" s="10"/>
      <c r="X239" s="10"/>
      <c r="Z239" s="10"/>
      <c r="AA239" s="7"/>
      <c r="AB239" s="7"/>
      <c r="AC239" s="7"/>
      <c r="AD239" s="7"/>
      <c r="AE239" s="7"/>
      <c r="AF239" s="7"/>
      <c r="AG239" s="7"/>
      <c r="AH239" s="7"/>
      <c r="AI239" s="7"/>
    </row>
    <row r="240" spans="1:35" ht="12.75" customHeight="1">
      <c r="A240" s="7"/>
      <c r="B240" s="7"/>
      <c r="C240" s="7"/>
      <c r="D240" s="7"/>
      <c r="E240" s="7"/>
      <c r="F240" s="7"/>
      <c r="G240" s="7"/>
      <c r="H240" s="7"/>
      <c r="I240" s="8"/>
      <c r="J240" s="8"/>
      <c r="P240" s="10"/>
      <c r="Q240" s="10"/>
      <c r="R240" s="10"/>
      <c r="S240" s="10"/>
      <c r="T240" s="10"/>
      <c r="U240" s="10"/>
      <c r="V240" s="10"/>
      <c r="W240" s="10"/>
      <c r="X240" s="10"/>
      <c r="Z240" s="10"/>
      <c r="AA240" s="7"/>
      <c r="AB240" s="7"/>
      <c r="AC240" s="7"/>
      <c r="AD240" s="7"/>
      <c r="AE240" s="7"/>
      <c r="AF240" s="7"/>
      <c r="AG240" s="7"/>
      <c r="AH240" s="7"/>
      <c r="AI240" s="7"/>
    </row>
    <row r="241" spans="1:35" ht="12.75" customHeight="1">
      <c r="A241" s="7"/>
      <c r="B241" s="7"/>
      <c r="C241" s="7"/>
      <c r="D241" s="7"/>
      <c r="E241" s="7"/>
      <c r="F241" s="7"/>
      <c r="G241" s="7"/>
      <c r="H241" s="7"/>
      <c r="I241" s="8"/>
      <c r="J241" s="8"/>
      <c r="P241" s="10"/>
      <c r="Q241" s="10"/>
      <c r="R241" s="10"/>
      <c r="S241" s="10"/>
      <c r="T241" s="10"/>
      <c r="U241" s="10"/>
      <c r="V241" s="10"/>
      <c r="W241" s="10"/>
      <c r="X241" s="10"/>
      <c r="Z241" s="10"/>
      <c r="AA241" s="7"/>
      <c r="AB241" s="7"/>
      <c r="AC241" s="7"/>
      <c r="AD241" s="7"/>
      <c r="AE241" s="7"/>
      <c r="AF241" s="7"/>
      <c r="AG241" s="7"/>
      <c r="AH241" s="7"/>
      <c r="AI241" s="7"/>
    </row>
    <row r="242" spans="1:35" ht="12.75" customHeight="1">
      <c r="A242" s="7"/>
      <c r="B242" s="7"/>
      <c r="C242" s="7"/>
      <c r="D242" s="7"/>
      <c r="E242" s="7"/>
      <c r="F242" s="7"/>
      <c r="G242" s="7"/>
      <c r="H242" s="7"/>
      <c r="I242" s="8"/>
      <c r="J242" s="8"/>
      <c r="P242" s="10"/>
      <c r="Q242" s="10"/>
      <c r="R242" s="10"/>
      <c r="S242" s="10"/>
      <c r="T242" s="10"/>
      <c r="U242" s="10"/>
      <c r="V242" s="10"/>
      <c r="W242" s="10"/>
      <c r="X242" s="10"/>
      <c r="Z242" s="10"/>
      <c r="AA242" s="7"/>
      <c r="AB242" s="7"/>
      <c r="AC242" s="7"/>
      <c r="AD242" s="7"/>
      <c r="AE242" s="7"/>
      <c r="AF242" s="7"/>
      <c r="AG242" s="7"/>
      <c r="AH242" s="7"/>
      <c r="AI242" s="7"/>
    </row>
    <row r="243" spans="1:35" ht="12.75" customHeight="1">
      <c r="A243" s="7"/>
      <c r="B243" s="7"/>
      <c r="C243" s="7"/>
      <c r="D243" s="7"/>
      <c r="E243" s="7"/>
      <c r="F243" s="7"/>
      <c r="G243" s="7"/>
      <c r="H243" s="7"/>
      <c r="I243" s="8"/>
      <c r="J243" s="8"/>
      <c r="P243" s="10"/>
      <c r="Q243" s="10"/>
      <c r="R243" s="10"/>
      <c r="S243" s="10"/>
      <c r="T243" s="10"/>
      <c r="U243" s="10"/>
      <c r="V243" s="10"/>
      <c r="W243" s="10"/>
      <c r="X243" s="10"/>
      <c r="Z243" s="10"/>
      <c r="AA243" s="7"/>
      <c r="AB243" s="7"/>
      <c r="AC243" s="7"/>
      <c r="AD243" s="7"/>
      <c r="AE243" s="7"/>
      <c r="AF243" s="7"/>
      <c r="AG243" s="7"/>
      <c r="AH243" s="7"/>
      <c r="AI243" s="7"/>
    </row>
    <row r="244" spans="1:35" ht="12.75" customHeight="1">
      <c r="A244" s="7"/>
      <c r="B244" s="7"/>
      <c r="C244" s="7"/>
      <c r="D244" s="7"/>
      <c r="E244" s="7"/>
      <c r="F244" s="7"/>
      <c r="G244" s="7"/>
      <c r="H244" s="7"/>
      <c r="I244" s="8"/>
      <c r="J244" s="8"/>
      <c r="P244" s="10"/>
      <c r="Q244" s="10"/>
      <c r="R244" s="10"/>
      <c r="S244" s="10"/>
      <c r="T244" s="10"/>
      <c r="U244" s="10"/>
      <c r="V244" s="10"/>
      <c r="W244" s="10"/>
      <c r="X244" s="10"/>
      <c r="Z244" s="10"/>
      <c r="AA244" s="7"/>
      <c r="AB244" s="7"/>
      <c r="AC244" s="7"/>
      <c r="AD244" s="7"/>
      <c r="AE244" s="7"/>
      <c r="AF244" s="7"/>
      <c r="AG244" s="7"/>
      <c r="AH244" s="7"/>
      <c r="AI244" s="7"/>
    </row>
    <row r="245" spans="1:35" ht="12.75" customHeight="1">
      <c r="A245" s="7"/>
      <c r="B245" s="7"/>
      <c r="C245" s="7"/>
      <c r="D245" s="7"/>
      <c r="E245" s="7"/>
      <c r="F245" s="7"/>
      <c r="G245" s="7"/>
      <c r="H245" s="7"/>
      <c r="I245" s="8"/>
      <c r="J245" s="8"/>
      <c r="P245" s="10"/>
      <c r="Q245" s="10"/>
      <c r="R245" s="10"/>
      <c r="S245" s="10"/>
      <c r="T245" s="10"/>
      <c r="U245" s="10"/>
      <c r="V245" s="10"/>
      <c r="W245" s="10"/>
      <c r="X245" s="10"/>
      <c r="Z245" s="10"/>
      <c r="AA245" s="7"/>
      <c r="AB245" s="7"/>
      <c r="AC245" s="7"/>
      <c r="AD245" s="7"/>
      <c r="AE245" s="7"/>
      <c r="AF245" s="7"/>
      <c r="AG245" s="7"/>
      <c r="AH245" s="7"/>
      <c r="AI245" s="7"/>
    </row>
    <row r="246" spans="1:35" ht="12.75" customHeight="1">
      <c r="A246" s="7"/>
      <c r="B246" s="7"/>
      <c r="C246" s="7"/>
      <c r="D246" s="7"/>
      <c r="E246" s="7"/>
      <c r="F246" s="7"/>
      <c r="G246" s="7"/>
      <c r="H246" s="7"/>
      <c r="I246" s="8"/>
      <c r="J246" s="8"/>
      <c r="P246" s="10"/>
      <c r="Q246" s="10"/>
      <c r="R246" s="10"/>
      <c r="S246" s="10"/>
      <c r="T246" s="10"/>
      <c r="U246" s="10"/>
      <c r="V246" s="10"/>
      <c r="W246" s="10"/>
      <c r="X246" s="10"/>
      <c r="Z246" s="10"/>
      <c r="AA246" s="7"/>
      <c r="AB246" s="7"/>
      <c r="AC246" s="7"/>
      <c r="AD246" s="7"/>
      <c r="AE246" s="7"/>
      <c r="AF246" s="7"/>
      <c r="AG246" s="7"/>
      <c r="AH246" s="7"/>
      <c r="AI246" s="7"/>
    </row>
    <row r="247" spans="1:35" ht="12.75" customHeight="1">
      <c r="A247" s="7"/>
      <c r="B247" s="7"/>
      <c r="C247" s="7"/>
      <c r="D247" s="7"/>
      <c r="E247" s="7"/>
      <c r="F247" s="7"/>
      <c r="G247" s="7"/>
      <c r="H247" s="7"/>
      <c r="I247" s="8"/>
      <c r="J247" s="8"/>
      <c r="P247" s="10"/>
      <c r="Q247" s="10"/>
      <c r="R247" s="10"/>
      <c r="S247" s="10"/>
      <c r="T247" s="10"/>
      <c r="U247" s="10"/>
      <c r="V247" s="10"/>
      <c r="W247" s="10"/>
      <c r="X247" s="10"/>
      <c r="Z247" s="10"/>
      <c r="AA247" s="7"/>
      <c r="AB247" s="7"/>
      <c r="AC247" s="7"/>
      <c r="AD247" s="7"/>
      <c r="AE247" s="7"/>
      <c r="AF247" s="7"/>
      <c r="AG247" s="7"/>
      <c r="AH247" s="7"/>
      <c r="AI247" s="7"/>
    </row>
    <row r="248" spans="1:35" ht="12.75" customHeight="1">
      <c r="A248" s="7"/>
      <c r="B248" s="7"/>
      <c r="C248" s="7"/>
      <c r="D248" s="7"/>
      <c r="E248" s="7"/>
      <c r="F248" s="7"/>
      <c r="G248" s="7"/>
      <c r="H248" s="7"/>
      <c r="I248" s="8"/>
      <c r="J248" s="8"/>
      <c r="P248" s="10"/>
      <c r="Q248" s="10"/>
      <c r="R248" s="10"/>
      <c r="S248" s="10"/>
      <c r="T248" s="10"/>
      <c r="U248" s="10"/>
      <c r="V248" s="10"/>
      <c r="W248" s="10"/>
      <c r="X248" s="10"/>
      <c r="Z248" s="10"/>
      <c r="AA248" s="7"/>
      <c r="AB248" s="7"/>
      <c r="AC248" s="7"/>
      <c r="AD248" s="7"/>
      <c r="AE248" s="7"/>
      <c r="AF248" s="7"/>
      <c r="AG248" s="7"/>
      <c r="AH248" s="7"/>
      <c r="AI248" s="7"/>
    </row>
    <row r="249" spans="1:35" ht="12.75" customHeight="1">
      <c r="A249" s="7"/>
      <c r="B249" s="7"/>
      <c r="C249" s="7"/>
      <c r="D249" s="7"/>
      <c r="E249" s="7"/>
      <c r="F249" s="7"/>
      <c r="G249" s="7"/>
      <c r="H249" s="7"/>
      <c r="I249" s="8"/>
      <c r="J249" s="8"/>
      <c r="P249" s="10"/>
      <c r="Q249" s="10"/>
      <c r="R249" s="10"/>
      <c r="S249" s="10"/>
      <c r="T249" s="10"/>
      <c r="U249" s="10"/>
      <c r="V249" s="10"/>
      <c r="W249" s="10"/>
      <c r="X249" s="10"/>
      <c r="Z249" s="10"/>
      <c r="AA249" s="7"/>
      <c r="AB249" s="7"/>
      <c r="AC249" s="7"/>
      <c r="AD249" s="7"/>
      <c r="AE249" s="7"/>
      <c r="AF249" s="7"/>
      <c r="AG249" s="7"/>
      <c r="AH249" s="7"/>
      <c r="AI249" s="7"/>
    </row>
    <row r="250" spans="1:35" ht="12.75" customHeight="1">
      <c r="A250" s="7"/>
      <c r="B250" s="7"/>
      <c r="C250" s="7"/>
      <c r="D250" s="7"/>
      <c r="E250" s="7"/>
      <c r="F250" s="7"/>
      <c r="G250" s="7"/>
      <c r="H250" s="7"/>
      <c r="I250" s="8"/>
      <c r="J250" s="8"/>
      <c r="P250" s="10"/>
      <c r="Q250" s="10"/>
      <c r="R250" s="10"/>
      <c r="S250" s="10"/>
      <c r="T250" s="10"/>
      <c r="U250" s="10"/>
      <c r="V250" s="10"/>
      <c r="W250" s="10"/>
      <c r="X250" s="10"/>
      <c r="Z250" s="10"/>
      <c r="AA250" s="7"/>
      <c r="AB250" s="7"/>
      <c r="AC250" s="7"/>
      <c r="AD250" s="7"/>
      <c r="AE250" s="7"/>
      <c r="AF250" s="7"/>
      <c r="AG250" s="7"/>
      <c r="AH250" s="7"/>
      <c r="AI250" s="7"/>
    </row>
    <row r="251" spans="1:35" ht="12.75" customHeight="1">
      <c r="A251" s="7"/>
      <c r="B251" s="7"/>
      <c r="C251" s="7"/>
      <c r="D251" s="7"/>
      <c r="E251" s="7"/>
      <c r="F251" s="7"/>
      <c r="G251" s="7"/>
      <c r="H251" s="7"/>
      <c r="I251" s="8"/>
      <c r="J251" s="8"/>
      <c r="P251" s="10"/>
      <c r="Q251" s="10"/>
      <c r="R251" s="10"/>
      <c r="S251" s="10"/>
      <c r="T251" s="10"/>
      <c r="U251" s="10"/>
      <c r="V251" s="10"/>
      <c r="W251" s="10"/>
      <c r="X251" s="10"/>
      <c r="Z251" s="10"/>
      <c r="AA251" s="7"/>
      <c r="AB251" s="7"/>
      <c r="AC251" s="7"/>
      <c r="AD251" s="7"/>
      <c r="AE251" s="7"/>
      <c r="AF251" s="7"/>
      <c r="AG251" s="7"/>
      <c r="AH251" s="7"/>
      <c r="AI251" s="7"/>
    </row>
    <row r="252" spans="1:35" ht="12.75" customHeight="1">
      <c r="A252" s="7"/>
      <c r="B252" s="7"/>
      <c r="C252" s="7"/>
      <c r="D252" s="7"/>
      <c r="E252" s="7"/>
      <c r="F252" s="7"/>
      <c r="G252" s="7"/>
      <c r="H252" s="7"/>
      <c r="I252" s="8"/>
      <c r="J252" s="8"/>
      <c r="P252" s="10"/>
      <c r="Q252" s="10"/>
      <c r="R252" s="10"/>
      <c r="S252" s="10"/>
      <c r="T252" s="10"/>
      <c r="U252" s="10"/>
      <c r="V252" s="10"/>
      <c r="W252" s="10"/>
      <c r="X252" s="10"/>
      <c r="Z252" s="10"/>
      <c r="AA252" s="7"/>
      <c r="AB252" s="7"/>
      <c r="AC252" s="7"/>
      <c r="AD252" s="7"/>
      <c r="AE252" s="7"/>
      <c r="AF252" s="7"/>
      <c r="AG252" s="7"/>
      <c r="AH252" s="7"/>
      <c r="AI252" s="7"/>
    </row>
    <row r="253" spans="1:35" ht="12.75" customHeight="1">
      <c r="A253" s="7"/>
      <c r="B253" s="7"/>
      <c r="C253" s="7"/>
      <c r="D253" s="7"/>
      <c r="E253" s="7"/>
      <c r="F253" s="7"/>
      <c r="G253" s="7"/>
      <c r="H253" s="7"/>
      <c r="I253" s="8"/>
      <c r="J253" s="8"/>
      <c r="P253" s="10"/>
      <c r="Q253" s="10"/>
      <c r="R253" s="10"/>
      <c r="S253" s="10"/>
      <c r="T253" s="10"/>
      <c r="U253" s="10"/>
      <c r="V253" s="10"/>
      <c r="W253" s="10"/>
      <c r="X253" s="10"/>
      <c r="Z253" s="10"/>
      <c r="AA253" s="7"/>
      <c r="AB253" s="7"/>
      <c r="AC253" s="7"/>
      <c r="AD253" s="7"/>
      <c r="AE253" s="7"/>
      <c r="AF253" s="7"/>
      <c r="AG253" s="7"/>
      <c r="AH253" s="7"/>
      <c r="AI253" s="7"/>
    </row>
    <row r="254" spans="1:35" ht="12.75" customHeight="1">
      <c r="A254" s="7"/>
      <c r="B254" s="7"/>
      <c r="C254" s="7"/>
      <c r="D254" s="7"/>
      <c r="E254" s="7"/>
      <c r="F254" s="7"/>
      <c r="G254" s="7"/>
      <c r="H254" s="7"/>
      <c r="I254" s="8"/>
      <c r="J254" s="8"/>
      <c r="P254" s="10"/>
      <c r="Q254" s="10"/>
      <c r="R254" s="10"/>
      <c r="S254" s="10"/>
      <c r="T254" s="10"/>
      <c r="U254" s="10"/>
      <c r="V254" s="10"/>
      <c r="W254" s="10"/>
      <c r="X254" s="10"/>
      <c r="Z254" s="10"/>
      <c r="AA254" s="7"/>
      <c r="AB254" s="7"/>
      <c r="AC254" s="7"/>
      <c r="AD254" s="7"/>
      <c r="AE254" s="7"/>
      <c r="AF254" s="7"/>
      <c r="AG254" s="7"/>
      <c r="AH254" s="7"/>
      <c r="AI254" s="7"/>
    </row>
    <row r="255" spans="1:35" ht="12.75" customHeight="1">
      <c r="A255" s="7"/>
      <c r="B255" s="7"/>
      <c r="C255" s="7"/>
      <c r="D255" s="7"/>
      <c r="E255" s="7"/>
      <c r="F255" s="7"/>
      <c r="G255" s="7"/>
      <c r="H255" s="7"/>
      <c r="I255" s="8"/>
      <c r="J255" s="8"/>
      <c r="P255" s="10"/>
      <c r="Q255" s="10"/>
      <c r="R255" s="10"/>
      <c r="S255" s="10"/>
      <c r="T255" s="10"/>
      <c r="U255" s="10"/>
      <c r="V255" s="10"/>
      <c r="W255" s="10"/>
      <c r="X255" s="10"/>
      <c r="Z255" s="10"/>
      <c r="AA255" s="7"/>
      <c r="AB255" s="7"/>
      <c r="AC255" s="7"/>
      <c r="AD255" s="7"/>
      <c r="AE255" s="7"/>
      <c r="AF255" s="7"/>
      <c r="AG255" s="7"/>
      <c r="AH255" s="7"/>
      <c r="AI255" s="7"/>
    </row>
    <row r="256" spans="1:35" ht="12.75" customHeight="1">
      <c r="A256" s="7"/>
      <c r="B256" s="7"/>
      <c r="C256" s="7"/>
      <c r="D256" s="7"/>
      <c r="E256" s="7"/>
      <c r="F256" s="7"/>
      <c r="G256" s="7"/>
      <c r="H256" s="7"/>
      <c r="I256" s="8"/>
      <c r="J256" s="8"/>
      <c r="P256" s="10"/>
      <c r="Q256" s="10"/>
      <c r="R256" s="10"/>
      <c r="S256" s="10"/>
      <c r="T256" s="10"/>
      <c r="U256" s="10"/>
      <c r="V256" s="10"/>
      <c r="W256" s="10"/>
      <c r="X256" s="10"/>
      <c r="Z256" s="10"/>
      <c r="AA256" s="7"/>
      <c r="AB256" s="7"/>
      <c r="AC256" s="7"/>
      <c r="AD256" s="7"/>
      <c r="AE256" s="7"/>
      <c r="AF256" s="7"/>
      <c r="AG256" s="7"/>
      <c r="AH256" s="7"/>
      <c r="AI256" s="7"/>
    </row>
    <row r="257" spans="1:35" ht="12.75" customHeight="1">
      <c r="A257" s="7"/>
      <c r="B257" s="7"/>
      <c r="C257" s="7"/>
      <c r="D257" s="7"/>
      <c r="E257" s="7"/>
      <c r="F257" s="7"/>
      <c r="G257" s="7"/>
      <c r="H257" s="7"/>
      <c r="I257" s="8"/>
      <c r="J257" s="8"/>
      <c r="P257" s="10"/>
      <c r="Q257" s="10"/>
      <c r="R257" s="10"/>
      <c r="S257" s="10"/>
      <c r="T257" s="10"/>
      <c r="U257" s="10"/>
      <c r="V257" s="10"/>
      <c r="W257" s="10"/>
      <c r="X257" s="10"/>
      <c r="Z257" s="10"/>
      <c r="AA257" s="7"/>
      <c r="AB257" s="7"/>
      <c r="AC257" s="7"/>
      <c r="AD257" s="7"/>
      <c r="AE257" s="7"/>
      <c r="AF257" s="7"/>
      <c r="AG257" s="7"/>
      <c r="AH257" s="7"/>
      <c r="AI257" s="7"/>
    </row>
    <row r="258" spans="1:35" ht="12.75" customHeight="1">
      <c r="A258" s="7"/>
      <c r="B258" s="7"/>
      <c r="C258" s="7"/>
      <c r="D258" s="7"/>
      <c r="E258" s="7"/>
      <c r="F258" s="7"/>
      <c r="G258" s="7"/>
      <c r="H258" s="7"/>
      <c r="I258" s="8"/>
      <c r="J258" s="8"/>
      <c r="P258" s="10"/>
      <c r="Q258" s="10"/>
      <c r="R258" s="10"/>
      <c r="S258" s="10"/>
      <c r="T258" s="10"/>
      <c r="U258" s="10"/>
      <c r="V258" s="10"/>
      <c r="W258" s="10"/>
      <c r="X258" s="10"/>
      <c r="Z258" s="10"/>
      <c r="AA258" s="7"/>
      <c r="AB258" s="7"/>
      <c r="AC258" s="7"/>
      <c r="AD258" s="7"/>
      <c r="AE258" s="7"/>
      <c r="AF258" s="7"/>
      <c r="AG258" s="7"/>
      <c r="AH258" s="7"/>
      <c r="AI258" s="7"/>
    </row>
    <row r="259" spans="1:35" ht="12.75" customHeight="1">
      <c r="A259" s="7"/>
      <c r="B259" s="7"/>
      <c r="C259" s="7"/>
      <c r="D259" s="7"/>
      <c r="E259" s="7"/>
      <c r="F259" s="7"/>
      <c r="G259" s="7"/>
      <c r="H259" s="7"/>
      <c r="I259" s="8"/>
      <c r="J259" s="8"/>
      <c r="P259" s="10"/>
      <c r="Q259" s="10"/>
      <c r="R259" s="10"/>
      <c r="S259" s="10"/>
      <c r="T259" s="10"/>
      <c r="U259" s="10"/>
      <c r="V259" s="10"/>
      <c r="W259" s="10"/>
      <c r="X259" s="10"/>
      <c r="Z259" s="10"/>
      <c r="AA259" s="7"/>
      <c r="AB259" s="7"/>
      <c r="AC259" s="7"/>
      <c r="AD259" s="7"/>
      <c r="AE259" s="7"/>
      <c r="AF259" s="7"/>
      <c r="AG259" s="7"/>
      <c r="AH259" s="7"/>
      <c r="AI259" s="7"/>
    </row>
    <row r="260" spans="1:35" ht="12.75" customHeight="1">
      <c r="A260" s="7"/>
      <c r="B260" s="7"/>
      <c r="C260" s="7"/>
      <c r="D260" s="7"/>
      <c r="E260" s="7"/>
      <c r="F260" s="7"/>
      <c r="G260" s="7"/>
      <c r="H260" s="7"/>
      <c r="I260" s="8"/>
      <c r="J260" s="8"/>
      <c r="P260" s="10"/>
      <c r="Q260" s="10"/>
      <c r="R260" s="10"/>
      <c r="S260" s="10"/>
      <c r="T260" s="10"/>
      <c r="U260" s="10"/>
      <c r="V260" s="10"/>
      <c r="W260" s="10"/>
      <c r="X260" s="10"/>
      <c r="Z260" s="10"/>
      <c r="AA260" s="7"/>
      <c r="AB260" s="7"/>
      <c r="AC260" s="7"/>
      <c r="AD260" s="7"/>
      <c r="AE260" s="7"/>
      <c r="AF260" s="7"/>
      <c r="AG260" s="7"/>
      <c r="AH260" s="7"/>
      <c r="AI260" s="7"/>
    </row>
    <row r="261" spans="1:35" ht="12.75" customHeight="1">
      <c r="A261" s="7"/>
      <c r="B261" s="7"/>
      <c r="C261" s="7"/>
      <c r="D261" s="7"/>
      <c r="E261" s="7"/>
      <c r="F261" s="7"/>
      <c r="G261" s="7"/>
      <c r="H261" s="7"/>
      <c r="I261" s="8"/>
      <c r="J261" s="8"/>
      <c r="P261" s="10"/>
      <c r="Q261" s="10"/>
      <c r="R261" s="10"/>
      <c r="S261" s="10"/>
      <c r="T261" s="10"/>
      <c r="U261" s="10"/>
      <c r="V261" s="10"/>
      <c r="W261" s="10"/>
      <c r="X261" s="10"/>
      <c r="Z261" s="10"/>
      <c r="AA261" s="7"/>
      <c r="AB261" s="7"/>
      <c r="AC261" s="7"/>
      <c r="AD261" s="7"/>
      <c r="AE261" s="7"/>
      <c r="AF261" s="7"/>
      <c r="AG261" s="7"/>
      <c r="AH261" s="7"/>
      <c r="AI261" s="7"/>
    </row>
    <row r="262" spans="1:35" ht="12.75" customHeight="1">
      <c r="A262" s="7"/>
      <c r="B262" s="7"/>
      <c r="C262" s="7"/>
      <c r="D262" s="7"/>
      <c r="E262" s="7"/>
      <c r="F262" s="7"/>
      <c r="G262" s="7"/>
      <c r="H262" s="7"/>
      <c r="I262" s="8"/>
      <c r="J262" s="8"/>
      <c r="P262" s="10"/>
      <c r="Q262" s="10"/>
      <c r="R262" s="10"/>
      <c r="S262" s="10"/>
      <c r="T262" s="10"/>
      <c r="U262" s="10"/>
      <c r="V262" s="10"/>
      <c r="W262" s="10"/>
      <c r="X262" s="10"/>
      <c r="Z262" s="10"/>
      <c r="AA262" s="7"/>
      <c r="AB262" s="7"/>
      <c r="AC262" s="7"/>
      <c r="AD262" s="7"/>
      <c r="AE262" s="7"/>
      <c r="AF262" s="7"/>
      <c r="AG262" s="7"/>
      <c r="AH262" s="7"/>
      <c r="AI262" s="7"/>
    </row>
    <row r="263" spans="1:35" ht="12.75" customHeight="1">
      <c r="A263" s="7"/>
      <c r="B263" s="7"/>
      <c r="C263" s="7"/>
      <c r="D263" s="7"/>
      <c r="E263" s="7"/>
      <c r="F263" s="7"/>
      <c r="G263" s="7"/>
      <c r="H263" s="7"/>
      <c r="I263" s="8"/>
      <c r="J263" s="8"/>
      <c r="P263" s="10"/>
      <c r="Q263" s="10"/>
      <c r="R263" s="10"/>
      <c r="S263" s="10"/>
      <c r="T263" s="10"/>
      <c r="U263" s="10"/>
      <c r="V263" s="10"/>
      <c r="W263" s="10"/>
      <c r="X263" s="10"/>
      <c r="Z263" s="10"/>
      <c r="AA263" s="7"/>
      <c r="AB263" s="7"/>
      <c r="AC263" s="7"/>
      <c r="AD263" s="7"/>
      <c r="AE263" s="7"/>
      <c r="AF263" s="7"/>
      <c r="AG263" s="7"/>
      <c r="AH263" s="7"/>
      <c r="AI263" s="7"/>
    </row>
    <row r="264" spans="1:35" ht="12.75" customHeight="1">
      <c r="A264" s="7"/>
      <c r="B264" s="7"/>
      <c r="C264" s="7"/>
      <c r="D264" s="7"/>
      <c r="E264" s="7"/>
      <c r="F264" s="7"/>
      <c r="G264" s="7"/>
      <c r="H264" s="7"/>
      <c r="I264" s="8"/>
      <c r="J264" s="8"/>
      <c r="P264" s="10"/>
      <c r="Q264" s="10"/>
      <c r="R264" s="10"/>
      <c r="S264" s="10"/>
      <c r="T264" s="10"/>
      <c r="U264" s="10"/>
      <c r="V264" s="10"/>
      <c r="W264" s="10"/>
      <c r="X264" s="10"/>
      <c r="Z264" s="10"/>
      <c r="AA264" s="7"/>
      <c r="AB264" s="7"/>
      <c r="AC264" s="7"/>
      <c r="AD264" s="7"/>
      <c r="AE264" s="7"/>
      <c r="AF264" s="7"/>
      <c r="AG264" s="7"/>
      <c r="AH264" s="7"/>
      <c r="AI264" s="7"/>
    </row>
    <row r="265" spans="1:35" ht="12.75" customHeight="1">
      <c r="A265" s="7"/>
      <c r="B265" s="7"/>
      <c r="C265" s="7"/>
      <c r="D265" s="7"/>
      <c r="E265" s="7"/>
      <c r="F265" s="7"/>
      <c r="G265" s="7"/>
      <c r="H265" s="7"/>
      <c r="I265" s="8"/>
      <c r="J265" s="8"/>
      <c r="P265" s="10"/>
      <c r="Q265" s="10"/>
      <c r="R265" s="10"/>
      <c r="S265" s="10"/>
      <c r="T265" s="10"/>
      <c r="U265" s="10"/>
      <c r="V265" s="10"/>
      <c r="W265" s="10"/>
      <c r="X265" s="10"/>
      <c r="Z265" s="10"/>
      <c r="AA265" s="7"/>
      <c r="AB265" s="7"/>
      <c r="AC265" s="7"/>
      <c r="AD265" s="7"/>
      <c r="AE265" s="7"/>
      <c r="AF265" s="7"/>
      <c r="AG265" s="7"/>
      <c r="AH265" s="7"/>
      <c r="AI265" s="7"/>
    </row>
    <row r="266" spans="1:35" ht="12.75" customHeight="1">
      <c r="A266" s="7"/>
      <c r="B266" s="7"/>
      <c r="C266" s="7"/>
      <c r="D266" s="7"/>
      <c r="E266" s="7"/>
      <c r="F266" s="7"/>
      <c r="G266" s="7"/>
      <c r="H266" s="7"/>
      <c r="I266" s="8"/>
      <c r="J266" s="8"/>
      <c r="P266" s="10"/>
      <c r="Q266" s="10"/>
      <c r="R266" s="10"/>
      <c r="S266" s="10"/>
      <c r="T266" s="10"/>
      <c r="U266" s="10"/>
      <c r="V266" s="10"/>
      <c r="W266" s="10"/>
      <c r="X266" s="10"/>
      <c r="Z266" s="10"/>
      <c r="AA266" s="7"/>
      <c r="AB266" s="7"/>
      <c r="AC266" s="7"/>
      <c r="AD266" s="7"/>
      <c r="AE266" s="7"/>
      <c r="AF266" s="7"/>
      <c r="AG266" s="7"/>
      <c r="AH266" s="7"/>
      <c r="AI266" s="7"/>
    </row>
    <row r="267" spans="1:35" ht="12.75" customHeight="1">
      <c r="A267" s="7"/>
      <c r="B267" s="7"/>
      <c r="C267" s="7"/>
      <c r="D267" s="7"/>
      <c r="E267" s="7"/>
      <c r="F267" s="7"/>
      <c r="G267" s="7"/>
      <c r="H267" s="7"/>
      <c r="I267" s="8"/>
      <c r="J267" s="8"/>
      <c r="P267" s="10"/>
      <c r="Q267" s="10"/>
      <c r="R267" s="10"/>
      <c r="S267" s="10"/>
      <c r="T267" s="10"/>
      <c r="U267" s="10"/>
      <c r="V267" s="10"/>
      <c r="W267" s="10"/>
      <c r="X267" s="10"/>
      <c r="Z267" s="10"/>
      <c r="AA267" s="7"/>
      <c r="AB267" s="7"/>
      <c r="AC267" s="7"/>
      <c r="AD267" s="7"/>
      <c r="AE267" s="7"/>
      <c r="AF267" s="7"/>
      <c r="AG267" s="7"/>
      <c r="AH267" s="7"/>
      <c r="AI267" s="7"/>
    </row>
    <row r="268" spans="1:35" ht="12.75" customHeight="1">
      <c r="A268" s="7"/>
      <c r="B268" s="7"/>
      <c r="C268" s="7"/>
      <c r="D268" s="7"/>
      <c r="E268" s="7"/>
      <c r="F268" s="7"/>
      <c r="G268" s="7"/>
      <c r="H268" s="7"/>
      <c r="I268" s="8"/>
      <c r="J268" s="8"/>
      <c r="P268" s="10"/>
      <c r="Q268" s="10"/>
      <c r="R268" s="10"/>
      <c r="S268" s="10"/>
      <c r="T268" s="10"/>
      <c r="U268" s="10"/>
      <c r="V268" s="10"/>
      <c r="W268" s="10"/>
      <c r="X268" s="10"/>
      <c r="Z268" s="10"/>
      <c r="AA268" s="7"/>
      <c r="AB268" s="7"/>
      <c r="AC268" s="7"/>
      <c r="AD268" s="7"/>
      <c r="AE268" s="7"/>
      <c r="AF268" s="7"/>
      <c r="AG268" s="7"/>
      <c r="AH268" s="7"/>
      <c r="AI268" s="7"/>
    </row>
    <row r="269" spans="1:35" ht="12.75" customHeight="1">
      <c r="A269" s="7"/>
      <c r="B269" s="7"/>
      <c r="C269" s="7"/>
      <c r="D269" s="7"/>
      <c r="E269" s="7"/>
      <c r="F269" s="7"/>
      <c r="G269" s="7"/>
      <c r="H269" s="7"/>
      <c r="I269" s="8"/>
      <c r="J269" s="8"/>
      <c r="P269" s="10"/>
      <c r="Q269" s="10"/>
      <c r="R269" s="10"/>
      <c r="S269" s="10"/>
      <c r="T269" s="10"/>
      <c r="U269" s="10"/>
      <c r="V269" s="10"/>
      <c r="W269" s="10"/>
      <c r="X269" s="10"/>
      <c r="Z269" s="10"/>
      <c r="AA269" s="7"/>
      <c r="AB269" s="7"/>
      <c r="AC269" s="7"/>
      <c r="AD269" s="7"/>
      <c r="AE269" s="7"/>
      <c r="AF269" s="7"/>
      <c r="AG269" s="7"/>
      <c r="AH269" s="7"/>
      <c r="AI269" s="7"/>
    </row>
    <row r="270" spans="1:35" ht="12.75" customHeight="1">
      <c r="A270" s="7"/>
      <c r="B270" s="7"/>
      <c r="C270" s="7"/>
      <c r="D270" s="7"/>
      <c r="E270" s="7"/>
      <c r="F270" s="7"/>
      <c r="G270" s="7"/>
      <c r="H270" s="7"/>
      <c r="I270" s="8"/>
      <c r="J270" s="8"/>
      <c r="P270" s="10"/>
      <c r="Q270" s="10"/>
      <c r="R270" s="10"/>
      <c r="S270" s="10"/>
      <c r="T270" s="10"/>
      <c r="U270" s="10"/>
      <c r="V270" s="10"/>
      <c r="W270" s="10"/>
      <c r="X270" s="10"/>
      <c r="Z270" s="10"/>
      <c r="AA270" s="7"/>
      <c r="AB270" s="7"/>
      <c r="AC270" s="7"/>
      <c r="AD270" s="7"/>
      <c r="AE270" s="7"/>
      <c r="AF270" s="7"/>
      <c r="AG270" s="7"/>
      <c r="AH270" s="7"/>
      <c r="AI270" s="7"/>
    </row>
    <row r="271" spans="1:35" ht="12.75" customHeight="1">
      <c r="A271" s="7"/>
      <c r="B271" s="7"/>
      <c r="C271" s="7"/>
      <c r="D271" s="7"/>
      <c r="E271" s="7"/>
      <c r="F271" s="7"/>
      <c r="G271" s="7"/>
      <c r="H271" s="7"/>
      <c r="I271" s="8"/>
      <c r="J271" s="8"/>
      <c r="P271" s="10"/>
      <c r="Q271" s="10"/>
      <c r="R271" s="10"/>
      <c r="S271" s="10"/>
      <c r="T271" s="10"/>
      <c r="U271" s="10"/>
      <c r="V271" s="10"/>
      <c r="W271" s="10"/>
      <c r="X271" s="10"/>
      <c r="Z271" s="10"/>
      <c r="AA271" s="7"/>
      <c r="AB271" s="7"/>
      <c r="AC271" s="7"/>
      <c r="AD271" s="7"/>
      <c r="AE271" s="7"/>
      <c r="AF271" s="7"/>
      <c r="AG271" s="7"/>
      <c r="AH271" s="7"/>
      <c r="AI271" s="7"/>
    </row>
    <row r="272" spans="1:35" ht="12.75" customHeight="1">
      <c r="A272" s="7"/>
      <c r="B272" s="7"/>
      <c r="C272" s="7"/>
      <c r="D272" s="7"/>
      <c r="E272" s="7"/>
      <c r="F272" s="7"/>
      <c r="G272" s="7"/>
      <c r="H272" s="7"/>
      <c r="I272" s="8"/>
      <c r="J272" s="8"/>
      <c r="P272" s="10"/>
      <c r="Q272" s="10"/>
      <c r="R272" s="10"/>
      <c r="S272" s="10"/>
      <c r="T272" s="10"/>
      <c r="U272" s="10"/>
      <c r="V272" s="10"/>
      <c r="W272" s="10"/>
      <c r="X272" s="10"/>
      <c r="Z272" s="10"/>
      <c r="AA272" s="7"/>
      <c r="AB272" s="7"/>
      <c r="AC272" s="7"/>
      <c r="AD272" s="7"/>
      <c r="AE272" s="7"/>
      <c r="AF272" s="7"/>
      <c r="AG272" s="7"/>
      <c r="AH272" s="7"/>
      <c r="AI272" s="7"/>
    </row>
    <row r="273" spans="1:35" ht="12.75" customHeight="1">
      <c r="A273" s="7"/>
      <c r="B273" s="7"/>
      <c r="C273" s="7"/>
      <c r="D273" s="7"/>
      <c r="E273" s="7"/>
      <c r="F273" s="7"/>
      <c r="G273" s="7"/>
      <c r="H273" s="7"/>
      <c r="I273" s="8"/>
      <c r="J273" s="8"/>
      <c r="P273" s="10"/>
      <c r="Q273" s="10"/>
      <c r="R273" s="10"/>
      <c r="S273" s="10"/>
      <c r="T273" s="10"/>
      <c r="U273" s="10"/>
      <c r="V273" s="10"/>
      <c r="W273" s="10"/>
      <c r="X273" s="10"/>
      <c r="Z273" s="10"/>
      <c r="AA273" s="7"/>
      <c r="AB273" s="7"/>
      <c r="AC273" s="7"/>
      <c r="AD273" s="7"/>
      <c r="AE273" s="7"/>
      <c r="AF273" s="7"/>
      <c r="AG273" s="7"/>
      <c r="AH273" s="7"/>
      <c r="AI273" s="7"/>
    </row>
    <row r="274" spans="1:35" ht="12.75" customHeight="1">
      <c r="A274" s="7"/>
      <c r="B274" s="7"/>
      <c r="C274" s="7"/>
      <c r="D274" s="7"/>
      <c r="E274" s="7"/>
      <c r="F274" s="7"/>
      <c r="G274" s="7"/>
      <c r="H274" s="7"/>
      <c r="I274" s="8"/>
      <c r="J274" s="8"/>
      <c r="P274" s="10"/>
      <c r="Q274" s="10"/>
      <c r="R274" s="10"/>
      <c r="S274" s="10"/>
      <c r="T274" s="10"/>
      <c r="U274" s="10"/>
      <c r="V274" s="10"/>
      <c r="W274" s="10"/>
      <c r="X274" s="10"/>
      <c r="Z274" s="10"/>
      <c r="AA274" s="7"/>
      <c r="AB274" s="7"/>
      <c r="AC274" s="7"/>
      <c r="AD274" s="7"/>
      <c r="AE274" s="7"/>
      <c r="AF274" s="7"/>
      <c r="AG274" s="7"/>
      <c r="AH274" s="7"/>
      <c r="AI274" s="7"/>
    </row>
    <row r="275" spans="1:35" ht="12.75" customHeight="1">
      <c r="A275" s="7"/>
      <c r="B275" s="7"/>
      <c r="C275" s="7"/>
      <c r="D275" s="7"/>
      <c r="E275" s="7"/>
      <c r="F275" s="7"/>
      <c r="G275" s="7"/>
      <c r="H275" s="7"/>
      <c r="I275" s="8"/>
      <c r="J275" s="8"/>
      <c r="P275" s="10"/>
      <c r="Q275" s="10"/>
      <c r="R275" s="10"/>
      <c r="S275" s="10"/>
      <c r="T275" s="10"/>
      <c r="U275" s="10"/>
      <c r="V275" s="10"/>
      <c r="W275" s="10"/>
      <c r="X275" s="10"/>
      <c r="Z275" s="10"/>
      <c r="AA275" s="7"/>
      <c r="AB275" s="7"/>
      <c r="AC275" s="7"/>
      <c r="AD275" s="7"/>
      <c r="AE275" s="7"/>
      <c r="AF275" s="7"/>
      <c r="AG275" s="7"/>
      <c r="AH275" s="7"/>
      <c r="AI275" s="7"/>
    </row>
    <row r="276" spans="1:35" ht="12.75" customHeight="1">
      <c r="A276" s="7"/>
      <c r="B276" s="7"/>
      <c r="C276" s="7"/>
      <c r="D276" s="7"/>
      <c r="E276" s="7"/>
      <c r="F276" s="7"/>
      <c r="G276" s="7"/>
      <c r="H276" s="7"/>
      <c r="I276" s="8"/>
      <c r="J276" s="8"/>
      <c r="P276" s="10"/>
      <c r="Q276" s="10"/>
      <c r="R276" s="10"/>
      <c r="S276" s="10"/>
      <c r="T276" s="10"/>
      <c r="U276" s="10"/>
      <c r="V276" s="10"/>
      <c r="W276" s="10"/>
      <c r="X276" s="10"/>
      <c r="Z276" s="10"/>
      <c r="AA276" s="7"/>
      <c r="AB276" s="7"/>
      <c r="AC276" s="7"/>
      <c r="AD276" s="7"/>
      <c r="AE276" s="7"/>
      <c r="AF276" s="7"/>
      <c r="AG276" s="7"/>
      <c r="AH276" s="7"/>
      <c r="AI276" s="7"/>
    </row>
    <row r="277" spans="1:35" ht="12.75" customHeight="1">
      <c r="A277" s="7"/>
      <c r="B277" s="7"/>
      <c r="C277" s="7"/>
      <c r="D277" s="7"/>
      <c r="E277" s="7"/>
      <c r="F277" s="7"/>
      <c r="G277" s="7"/>
      <c r="H277" s="7"/>
      <c r="I277" s="8"/>
      <c r="J277" s="8"/>
      <c r="P277" s="10"/>
      <c r="Q277" s="10"/>
      <c r="R277" s="10"/>
      <c r="S277" s="10"/>
      <c r="T277" s="10"/>
      <c r="U277" s="10"/>
      <c r="V277" s="10"/>
      <c r="W277" s="10"/>
      <c r="X277" s="10"/>
      <c r="Z277" s="10"/>
      <c r="AA277" s="7"/>
      <c r="AB277" s="7"/>
      <c r="AC277" s="7"/>
      <c r="AD277" s="7"/>
      <c r="AE277" s="7"/>
      <c r="AF277" s="7"/>
      <c r="AG277" s="7"/>
      <c r="AH277" s="7"/>
      <c r="AI277" s="7"/>
    </row>
    <row r="278" spans="1:35" ht="12.75" customHeight="1">
      <c r="A278" s="7"/>
      <c r="B278" s="7"/>
      <c r="C278" s="7"/>
      <c r="D278" s="7"/>
      <c r="E278" s="7"/>
      <c r="F278" s="7"/>
      <c r="G278" s="7"/>
      <c r="H278" s="7"/>
      <c r="I278" s="8"/>
      <c r="J278" s="8"/>
      <c r="P278" s="10"/>
      <c r="Q278" s="10"/>
      <c r="R278" s="10"/>
      <c r="S278" s="10"/>
      <c r="T278" s="10"/>
      <c r="U278" s="10"/>
      <c r="V278" s="10"/>
      <c r="W278" s="10"/>
      <c r="X278" s="10"/>
      <c r="Z278" s="10"/>
      <c r="AA278" s="7"/>
      <c r="AB278" s="7"/>
      <c r="AC278" s="7"/>
      <c r="AD278" s="7"/>
      <c r="AE278" s="7"/>
      <c r="AF278" s="7"/>
      <c r="AG278" s="7"/>
      <c r="AH278" s="7"/>
      <c r="AI278" s="7"/>
    </row>
    <row r="279" spans="1:35" ht="12.75" customHeight="1">
      <c r="A279" s="7"/>
      <c r="B279" s="7"/>
      <c r="C279" s="7"/>
      <c r="D279" s="7"/>
      <c r="E279" s="7"/>
      <c r="F279" s="7"/>
      <c r="G279" s="7"/>
      <c r="H279" s="7"/>
      <c r="I279" s="8"/>
      <c r="J279" s="8"/>
      <c r="P279" s="10"/>
      <c r="Q279" s="10"/>
      <c r="R279" s="10"/>
      <c r="S279" s="10"/>
      <c r="T279" s="10"/>
      <c r="U279" s="10"/>
      <c r="V279" s="10"/>
      <c r="W279" s="10"/>
      <c r="X279" s="10"/>
      <c r="Z279" s="10"/>
      <c r="AA279" s="7"/>
      <c r="AB279" s="7"/>
      <c r="AC279" s="7"/>
      <c r="AD279" s="7"/>
      <c r="AE279" s="7"/>
      <c r="AF279" s="7"/>
      <c r="AG279" s="7"/>
      <c r="AH279" s="7"/>
      <c r="AI279" s="7"/>
    </row>
    <row r="280" spans="1:35" ht="12.75" customHeight="1">
      <c r="A280" s="7"/>
      <c r="B280" s="7"/>
      <c r="C280" s="7"/>
      <c r="D280" s="7"/>
      <c r="E280" s="7"/>
      <c r="F280" s="7"/>
      <c r="G280" s="7"/>
      <c r="H280" s="7"/>
      <c r="I280" s="8"/>
      <c r="J280" s="8"/>
      <c r="P280" s="10"/>
      <c r="Q280" s="10"/>
      <c r="R280" s="10"/>
      <c r="S280" s="10"/>
      <c r="T280" s="10"/>
      <c r="U280" s="10"/>
      <c r="V280" s="10"/>
      <c r="W280" s="10"/>
      <c r="X280" s="10"/>
      <c r="Z280" s="10"/>
      <c r="AA280" s="7"/>
      <c r="AB280" s="7"/>
      <c r="AC280" s="7"/>
      <c r="AD280" s="7"/>
      <c r="AE280" s="7"/>
      <c r="AF280" s="7"/>
      <c r="AG280" s="7"/>
      <c r="AH280" s="7"/>
      <c r="AI280" s="7"/>
    </row>
    <row r="281" spans="1:35" ht="12.75" customHeight="1">
      <c r="A281" s="7"/>
      <c r="B281" s="7"/>
      <c r="C281" s="7"/>
      <c r="D281" s="7"/>
      <c r="E281" s="7"/>
      <c r="F281" s="7"/>
      <c r="G281" s="7"/>
      <c r="H281" s="7"/>
      <c r="I281" s="8"/>
      <c r="J281" s="8"/>
      <c r="P281" s="10"/>
      <c r="Q281" s="10"/>
      <c r="R281" s="10"/>
      <c r="S281" s="10"/>
      <c r="T281" s="10"/>
      <c r="U281" s="10"/>
      <c r="V281" s="10"/>
      <c r="W281" s="10"/>
      <c r="X281" s="10"/>
      <c r="Z281" s="10"/>
      <c r="AA281" s="7"/>
      <c r="AB281" s="7"/>
      <c r="AC281" s="7"/>
      <c r="AD281" s="7"/>
      <c r="AE281" s="7"/>
      <c r="AF281" s="7"/>
      <c r="AG281" s="7"/>
      <c r="AH281" s="7"/>
      <c r="AI281" s="7"/>
    </row>
    <row r="282" spans="1:35" ht="12.75" customHeight="1">
      <c r="A282" s="7"/>
      <c r="B282" s="7"/>
      <c r="C282" s="7"/>
      <c r="D282" s="7"/>
      <c r="E282" s="7"/>
      <c r="F282" s="7"/>
      <c r="G282" s="7"/>
      <c r="H282" s="7"/>
      <c r="I282" s="8"/>
      <c r="J282" s="8"/>
      <c r="P282" s="10"/>
      <c r="Q282" s="10"/>
      <c r="R282" s="10"/>
      <c r="S282" s="10"/>
      <c r="T282" s="10"/>
      <c r="U282" s="10"/>
      <c r="V282" s="10"/>
      <c r="W282" s="10"/>
      <c r="X282" s="10"/>
      <c r="Z282" s="10"/>
      <c r="AA282" s="7"/>
      <c r="AB282" s="7"/>
      <c r="AC282" s="7"/>
      <c r="AD282" s="7"/>
      <c r="AE282" s="7"/>
      <c r="AF282" s="7"/>
      <c r="AG282" s="7"/>
      <c r="AH282" s="7"/>
      <c r="AI282" s="7"/>
    </row>
    <row r="283" spans="1:35" ht="12.75" customHeight="1">
      <c r="A283" s="7"/>
      <c r="B283" s="7"/>
      <c r="C283" s="7"/>
      <c r="D283" s="7"/>
      <c r="E283" s="7"/>
      <c r="F283" s="7"/>
      <c r="G283" s="7"/>
      <c r="H283" s="7"/>
      <c r="I283" s="8"/>
      <c r="J283" s="8"/>
      <c r="P283" s="10"/>
      <c r="Q283" s="10"/>
      <c r="R283" s="10"/>
      <c r="S283" s="10"/>
      <c r="T283" s="10"/>
      <c r="U283" s="10"/>
      <c r="V283" s="10"/>
      <c r="W283" s="10"/>
      <c r="X283" s="10"/>
      <c r="Z283" s="10"/>
      <c r="AA283" s="7"/>
      <c r="AB283" s="7"/>
      <c r="AC283" s="7"/>
      <c r="AD283" s="7"/>
      <c r="AE283" s="7"/>
      <c r="AF283" s="7"/>
      <c r="AG283" s="7"/>
      <c r="AH283" s="7"/>
      <c r="AI283" s="7"/>
    </row>
    <row r="284" spans="1:35" ht="12.75" customHeight="1">
      <c r="A284" s="7"/>
      <c r="B284" s="7"/>
      <c r="C284" s="7"/>
      <c r="D284" s="7"/>
      <c r="E284" s="7"/>
      <c r="F284" s="7"/>
      <c r="G284" s="7"/>
      <c r="H284" s="7"/>
      <c r="I284" s="8"/>
      <c r="J284" s="8"/>
      <c r="P284" s="10"/>
      <c r="Q284" s="10"/>
      <c r="R284" s="10"/>
      <c r="S284" s="10"/>
      <c r="T284" s="10"/>
      <c r="U284" s="10"/>
      <c r="V284" s="10"/>
      <c r="W284" s="10"/>
      <c r="X284" s="10"/>
      <c r="Z284" s="10"/>
      <c r="AA284" s="7"/>
      <c r="AB284" s="7"/>
      <c r="AC284" s="7"/>
      <c r="AD284" s="7"/>
      <c r="AE284" s="7"/>
      <c r="AF284" s="7"/>
      <c r="AG284" s="7"/>
      <c r="AH284" s="7"/>
      <c r="AI284" s="7"/>
    </row>
    <row r="285" spans="1:35" ht="12.75" customHeight="1">
      <c r="A285" s="7"/>
      <c r="B285" s="7"/>
      <c r="C285" s="7"/>
      <c r="D285" s="7"/>
      <c r="E285" s="7"/>
      <c r="F285" s="7"/>
      <c r="G285" s="7"/>
      <c r="H285" s="7"/>
      <c r="I285" s="8"/>
      <c r="J285" s="8"/>
      <c r="P285" s="10"/>
      <c r="Q285" s="10"/>
      <c r="R285" s="10"/>
      <c r="S285" s="10"/>
      <c r="T285" s="10"/>
      <c r="U285" s="10"/>
      <c r="V285" s="10"/>
      <c r="W285" s="10"/>
      <c r="X285" s="10"/>
      <c r="Z285" s="10"/>
      <c r="AA285" s="7"/>
      <c r="AB285" s="7"/>
      <c r="AC285" s="7"/>
      <c r="AD285" s="7"/>
      <c r="AE285" s="7"/>
      <c r="AF285" s="7"/>
      <c r="AG285" s="7"/>
      <c r="AH285" s="7"/>
      <c r="AI285" s="7"/>
    </row>
    <row r="286" spans="1:35" ht="12.75" customHeight="1">
      <c r="A286" s="7"/>
      <c r="B286" s="7"/>
      <c r="C286" s="7"/>
      <c r="D286" s="7"/>
      <c r="E286" s="7"/>
      <c r="F286" s="7"/>
      <c r="G286" s="7"/>
      <c r="H286" s="7"/>
      <c r="I286" s="8"/>
      <c r="J286" s="8"/>
      <c r="P286" s="10"/>
      <c r="Q286" s="10"/>
      <c r="R286" s="10"/>
      <c r="S286" s="10"/>
      <c r="T286" s="10"/>
      <c r="U286" s="10"/>
      <c r="V286" s="10"/>
      <c r="W286" s="10"/>
      <c r="X286" s="10"/>
      <c r="Z286" s="10"/>
      <c r="AA286" s="7"/>
      <c r="AB286" s="7"/>
      <c r="AC286" s="7"/>
      <c r="AD286" s="7"/>
      <c r="AE286" s="7"/>
      <c r="AF286" s="7"/>
      <c r="AG286" s="7"/>
      <c r="AH286" s="7"/>
      <c r="AI286" s="7"/>
    </row>
    <row r="287" spans="1:35" ht="12.75" customHeight="1">
      <c r="A287" s="7"/>
      <c r="B287" s="7"/>
      <c r="C287" s="7"/>
      <c r="D287" s="7"/>
      <c r="E287" s="7"/>
      <c r="F287" s="7"/>
      <c r="G287" s="7"/>
      <c r="H287" s="7"/>
      <c r="I287" s="8"/>
      <c r="J287" s="8"/>
      <c r="P287" s="10"/>
      <c r="Q287" s="10"/>
      <c r="R287" s="10"/>
      <c r="S287" s="10"/>
      <c r="T287" s="10"/>
      <c r="U287" s="10"/>
      <c r="V287" s="10"/>
      <c r="W287" s="10"/>
      <c r="X287" s="10"/>
      <c r="Z287" s="10"/>
      <c r="AA287" s="7"/>
      <c r="AB287" s="7"/>
      <c r="AC287" s="7"/>
      <c r="AD287" s="7"/>
      <c r="AE287" s="7"/>
      <c r="AF287" s="7"/>
      <c r="AG287" s="7"/>
      <c r="AH287" s="7"/>
      <c r="AI287" s="7"/>
    </row>
    <row r="288" spans="1:35" ht="12.75" customHeight="1">
      <c r="A288" s="7"/>
      <c r="B288" s="7"/>
      <c r="C288" s="7"/>
      <c r="D288" s="7"/>
      <c r="E288" s="7"/>
      <c r="F288" s="7"/>
      <c r="G288" s="7"/>
      <c r="H288" s="7"/>
      <c r="I288" s="8"/>
      <c r="J288" s="8"/>
      <c r="P288" s="10"/>
      <c r="Q288" s="10"/>
      <c r="R288" s="10"/>
      <c r="S288" s="10"/>
      <c r="T288" s="10"/>
      <c r="U288" s="10"/>
      <c r="V288" s="10"/>
      <c r="W288" s="10"/>
      <c r="X288" s="10"/>
      <c r="Z288" s="10"/>
      <c r="AA288" s="7"/>
      <c r="AB288" s="7"/>
      <c r="AC288" s="7"/>
      <c r="AD288" s="7"/>
      <c r="AE288" s="7"/>
      <c r="AF288" s="7"/>
      <c r="AG288" s="7"/>
      <c r="AH288" s="7"/>
      <c r="AI288" s="7"/>
    </row>
    <row r="289" spans="1:35" ht="12.75" customHeight="1">
      <c r="A289" s="7"/>
      <c r="B289" s="7"/>
      <c r="C289" s="7"/>
      <c r="D289" s="7"/>
      <c r="E289" s="7"/>
      <c r="F289" s="7"/>
      <c r="G289" s="7"/>
      <c r="H289" s="7"/>
      <c r="I289" s="8"/>
      <c r="J289" s="8"/>
      <c r="P289" s="10"/>
      <c r="Q289" s="10"/>
      <c r="R289" s="10"/>
      <c r="S289" s="10"/>
      <c r="T289" s="10"/>
      <c r="U289" s="10"/>
      <c r="V289" s="10"/>
      <c r="W289" s="10"/>
      <c r="X289" s="10"/>
      <c r="Z289" s="10"/>
      <c r="AA289" s="7"/>
      <c r="AB289" s="7"/>
      <c r="AC289" s="7"/>
      <c r="AD289" s="7"/>
      <c r="AE289" s="7"/>
      <c r="AF289" s="7"/>
      <c r="AG289" s="7"/>
      <c r="AH289" s="7"/>
      <c r="AI289" s="7"/>
    </row>
    <row r="290" spans="1:35" ht="12.75" customHeight="1">
      <c r="A290" s="7"/>
      <c r="B290" s="7"/>
      <c r="C290" s="7"/>
      <c r="D290" s="7"/>
      <c r="E290" s="7"/>
      <c r="F290" s="7"/>
      <c r="G290" s="7"/>
      <c r="H290" s="7"/>
      <c r="I290" s="8"/>
      <c r="J290" s="8"/>
      <c r="P290" s="10"/>
      <c r="Q290" s="10"/>
      <c r="R290" s="10"/>
      <c r="S290" s="10"/>
      <c r="T290" s="10"/>
      <c r="U290" s="10"/>
      <c r="V290" s="10"/>
      <c r="W290" s="10"/>
      <c r="X290" s="10"/>
      <c r="Z290" s="10"/>
      <c r="AA290" s="7"/>
      <c r="AB290" s="7"/>
      <c r="AC290" s="7"/>
      <c r="AD290" s="7"/>
      <c r="AE290" s="7"/>
      <c r="AF290" s="7"/>
      <c r="AG290" s="7"/>
      <c r="AH290" s="7"/>
      <c r="AI290" s="7"/>
    </row>
    <row r="291" spans="1:35" ht="12.75" customHeight="1">
      <c r="A291" s="7"/>
      <c r="B291" s="7"/>
      <c r="C291" s="7"/>
      <c r="D291" s="7"/>
      <c r="E291" s="7"/>
      <c r="F291" s="7"/>
      <c r="G291" s="7"/>
      <c r="H291" s="7"/>
      <c r="I291" s="8"/>
      <c r="J291" s="8"/>
      <c r="P291" s="10"/>
      <c r="Q291" s="10"/>
      <c r="R291" s="10"/>
      <c r="S291" s="10"/>
      <c r="T291" s="10"/>
      <c r="U291" s="10"/>
      <c r="V291" s="10"/>
      <c r="W291" s="10"/>
      <c r="X291" s="10"/>
      <c r="Z291" s="10"/>
      <c r="AA291" s="7"/>
      <c r="AB291" s="7"/>
      <c r="AC291" s="7"/>
      <c r="AD291" s="7"/>
      <c r="AE291" s="7"/>
      <c r="AF291" s="7"/>
      <c r="AG291" s="7"/>
      <c r="AH291" s="7"/>
      <c r="AI291" s="7"/>
    </row>
    <row r="292" spans="1:35" ht="12.75" customHeight="1">
      <c r="A292" s="7"/>
      <c r="B292" s="7"/>
      <c r="C292" s="7"/>
      <c r="D292" s="7"/>
      <c r="E292" s="7"/>
      <c r="F292" s="7"/>
      <c r="G292" s="7"/>
      <c r="H292" s="7"/>
      <c r="I292" s="8"/>
      <c r="J292" s="8"/>
      <c r="P292" s="10"/>
      <c r="Q292" s="10"/>
      <c r="R292" s="10"/>
      <c r="S292" s="10"/>
      <c r="T292" s="10"/>
      <c r="U292" s="10"/>
      <c r="V292" s="10"/>
      <c r="W292" s="10"/>
      <c r="X292" s="10"/>
      <c r="Z292" s="10"/>
      <c r="AA292" s="7"/>
      <c r="AB292" s="7"/>
      <c r="AC292" s="7"/>
      <c r="AD292" s="7"/>
      <c r="AE292" s="7"/>
      <c r="AF292" s="7"/>
      <c r="AG292" s="7"/>
      <c r="AH292" s="7"/>
      <c r="AI292" s="7"/>
    </row>
    <row r="293" spans="1:35" ht="12.75" customHeight="1">
      <c r="A293" s="7"/>
      <c r="B293" s="7"/>
      <c r="C293" s="7"/>
      <c r="D293" s="7"/>
      <c r="E293" s="7"/>
      <c r="F293" s="7"/>
      <c r="G293" s="7"/>
      <c r="H293" s="7"/>
      <c r="I293" s="8"/>
      <c r="J293" s="8"/>
      <c r="P293" s="10"/>
      <c r="Q293" s="10"/>
      <c r="R293" s="10"/>
      <c r="S293" s="10"/>
      <c r="T293" s="10"/>
      <c r="U293" s="10"/>
      <c r="V293" s="10"/>
      <c r="W293" s="10"/>
      <c r="X293" s="10"/>
      <c r="Z293" s="10"/>
      <c r="AA293" s="7"/>
      <c r="AB293" s="7"/>
      <c r="AC293" s="7"/>
      <c r="AD293" s="7"/>
      <c r="AE293" s="7"/>
      <c r="AF293" s="7"/>
      <c r="AG293" s="7"/>
      <c r="AH293" s="7"/>
      <c r="AI293" s="7"/>
    </row>
    <row r="294" spans="1:35" ht="12.75" customHeight="1">
      <c r="A294" s="7"/>
      <c r="B294" s="7"/>
      <c r="C294" s="7"/>
      <c r="D294" s="7"/>
      <c r="E294" s="7"/>
      <c r="F294" s="7"/>
      <c r="G294" s="7"/>
      <c r="H294" s="7"/>
      <c r="I294" s="8"/>
      <c r="J294" s="8"/>
      <c r="P294" s="10"/>
      <c r="Q294" s="10"/>
      <c r="R294" s="10"/>
      <c r="S294" s="10"/>
      <c r="T294" s="10"/>
      <c r="U294" s="10"/>
      <c r="V294" s="10"/>
      <c r="W294" s="10"/>
      <c r="X294" s="10"/>
      <c r="Z294" s="10"/>
      <c r="AA294" s="7"/>
      <c r="AB294" s="7"/>
      <c r="AC294" s="7"/>
      <c r="AD294" s="7"/>
      <c r="AE294" s="7"/>
      <c r="AF294" s="7"/>
      <c r="AG294" s="7"/>
      <c r="AH294" s="7"/>
      <c r="AI294" s="7"/>
    </row>
    <row r="295" spans="1:35" ht="12.75" customHeight="1">
      <c r="A295" s="7"/>
      <c r="B295" s="7"/>
      <c r="C295" s="7"/>
      <c r="D295" s="7"/>
      <c r="E295" s="7"/>
      <c r="F295" s="7"/>
      <c r="G295" s="7"/>
      <c r="H295" s="7"/>
      <c r="I295" s="8"/>
      <c r="J295" s="8"/>
      <c r="P295" s="10"/>
      <c r="Q295" s="10"/>
      <c r="R295" s="10"/>
      <c r="S295" s="10"/>
      <c r="T295" s="10"/>
      <c r="U295" s="10"/>
      <c r="V295" s="10"/>
      <c r="W295" s="10"/>
      <c r="X295" s="10"/>
      <c r="Z295" s="10"/>
      <c r="AA295" s="7"/>
      <c r="AB295" s="7"/>
      <c r="AC295" s="7"/>
      <c r="AD295" s="7"/>
      <c r="AE295" s="7"/>
      <c r="AF295" s="7"/>
      <c r="AG295" s="7"/>
      <c r="AH295" s="7"/>
      <c r="AI295" s="7"/>
    </row>
    <row r="296" spans="1:35" ht="12.75" customHeight="1">
      <c r="A296" s="7"/>
      <c r="B296" s="7"/>
      <c r="C296" s="7"/>
      <c r="D296" s="7"/>
      <c r="E296" s="7"/>
      <c r="F296" s="7"/>
      <c r="G296" s="7"/>
      <c r="H296" s="7"/>
      <c r="I296" s="8"/>
      <c r="J296" s="8"/>
      <c r="P296" s="10"/>
      <c r="Q296" s="10"/>
      <c r="R296" s="10"/>
      <c r="S296" s="10"/>
      <c r="T296" s="10"/>
      <c r="U296" s="10"/>
      <c r="V296" s="10"/>
      <c r="W296" s="10"/>
      <c r="X296" s="10"/>
      <c r="Z296" s="10"/>
      <c r="AA296" s="7"/>
      <c r="AB296" s="7"/>
      <c r="AC296" s="7"/>
      <c r="AD296" s="7"/>
      <c r="AE296" s="7"/>
      <c r="AF296" s="7"/>
      <c r="AG296" s="7"/>
      <c r="AH296" s="7"/>
      <c r="AI296" s="7"/>
    </row>
    <row r="297" spans="1:35" ht="12.75" customHeight="1">
      <c r="A297" s="7"/>
      <c r="B297" s="7"/>
      <c r="C297" s="7"/>
      <c r="D297" s="7"/>
      <c r="E297" s="7"/>
      <c r="F297" s="7"/>
      <c r="G297" s="7"/>
      <c r="H297" s="7"/>
      <c r="I297" s="8"/>
      <c r="J297" s="8"/>
      <c r="P297" s="10"/>
      <c r="Q297" s="10"/>
      <c r="R297" s="10"/>
      <c r="S297" s="10"/>
      <c r="T297" s="10"/>
      <c r="U297" s="10"/>
      <c r="V297" s="10"/>
      <c r="W297" s="10"/>
      <c r="X297" s="10"/>
      <c r="Z297" s="10"/>
      <c r="AA297" s="7"/>
      <c r="AB297" s="7"/>
      <c r="AC297" s="7"/>
      <c r="AD297" s="7"/>
      <c r="AE297" s="7"/>
      <c r="AF297" s="7"/>
      <c r="AG297" s="7"/>
      <c r="AH297" s="7"/>
      <c r="AI297" s="7"/>
    </row>
    <row r="298" spans="1:35" ht="12.75" customHeight="1">
      <c r="A298" s="7"/>
      <c r="B298" s="7"/>
      <c r="C298" s="7"/>
      <c r="D298" s="7"/>
      <c r="E298" s="7"/>
      <c r="F298" s="7"/>
      <c r="G298" s="7"/>
      <c r="H298" s="7"/>
      <c r="I298" s="8"/>
      <c r="J298" s="8"/>
      <c r="P298" s="10"/>
      <c r="Q298" s="10"/>
      <c r="R298" s="10"/>
      <c r="S298" s="10"/>
      <c r="T298" s="10"/>
      <c r="U298" s="10"/>
      <c r="V298" s="10"/>
      <c r="W298" s="10"/>
      <c r="X298" s="10"/>
      <c r="Z298" s="10"/>
      <c r="AA298" s="7"/>
      <c r="AB298" s="7"/>
      <c r="AC298" s="7"/>
      <c r="AD298" s="7"/>
      <c r="AE298" s="7"/>
      <c r="AF298" s="7"/>
      <c r="AG298" s="7"/>
      <c r="AH298" s="7"/>
      <c r="AI298" s="7"/>
    </row>
    <row r="299" spans="1:35" ht="12.75" customHeight="1">
      <c r="A299" s="7"/>
      <c r="B299" s="7"/>
      <c r="C299" s="7"/>
      <c r="D299" s="7"/>
      <c r="E299" s="7"/>
      <c r="F299" s="7"/>
      <c r="G299" s="7"/>
      <c r="H299" s="7"/>
      <c r="I299" s="8"/>
      <c r="J299" s="8"/>
      <c r="P299" s="10"/>
      <c r="Q299" s="10"/>
      <c r="R299" s="10"/>
      <c r="S299" s="10"/>
      <c r="T299" s="10"/>
      <c r="U299" s="10"/>
      <c r="V299" s="10"/>
      <c r="W299" s="10"/>
      <c r="X299" s="10"/>
      <c r="Z299" s="10"/>
      <c r="AA299" s="7"/>
      <c r="AB299" s="7"/>
      <c r="AC299" s="7"/>
      <c r="AD299" s="7"/>
      <c r="AE299" s="7"/>
      <c r="AF299" s="7"/>
      <c r="AG299" s="7"/>
      <c r="AH299" s="7"/>
      <c r="AI299" s="7"/>
    </row>
    <row r="300" spans="1:35" ht="12.75" customHeight="1">
      <c r="A300" s="7"/>
      <c r="B300" s="7"/>
      <c r="C300" s="7"/>
      <c r="D300" s="7"/>
      <c r="E300" s="7"/>
      <c r="F300" s="7"/>
      <c r="G300" s="7"/>
      <c r="H300" s="7"/>
      <c r="I300" s="8"/>
      <c r="J300" s="8"/>
      <c r="P300" s="10"/>
      <c r="Q300" s="10"/>
      <c r="R300" s="10"/>
      <c r="S300" s="10"/>
      <c r="T300" s="10"/>
      <c r="U300" s="10"/>
      <c r="V300" s="10"/>
      <c r="W300" s="10"/>
      <c r="X300" s="10"/>
      <c r="Z300" s="10"/>
      <c r="AA300" s="7"/>
      <c r="AB300" s="7"/>
      <c r="AC300" s="7"/>
      <c r="AD300" s="7"/>
      <c r="AE300" s="7"/>
      <c r="AF300" s="7"/>
      <c r="AG300" s="7"/>
      <c r="AH300" s="7"/>
      <c r="AI300" s="7"/>
    </row>
    <row r="301" spans="1:35" ht="12.75" customHeight="1">
      <c r="A301" s="7"/>
      <c r="B301" s="7"/>
      <c r="C301" s="7"/>
      <c r="D301" s="7"/>
      <c r="E301" s="7"/>
      <c r="F301" s="7"/>
      <c r="G301" s="7"/>
      <c r="H301" s="7"/>
      <c r="I301" s="8"/>
      <c r="J301" s="8"/>
      <c r="P301" s="10"/>
      <c r="Q301" s="10"/>
      <c r="R301" s="10"/>
      <c r="S301" s="10"/>
      <c r="T301" s="10"/>
      <c r="U301" s="10"/>
      <c r="V301" s="10"/>
      <c r="W301" s="10"/>
      <c r="X301" s="10"/>
      <c r="Z301" s="10"/>
      <c r="AA301" s="7"/>
      <c r="AB301" s="7"/>
      <c r="AC301" s="7"/>
      <c r="AD301" s="7"/>
      <c r="AE301" s="7"/>
      <c r="AF301" s="7"/>
      <c r="AG301" s="7"/>
      <c r="AH301" s="7"/>
      <c r="AI301" s="7"/>
    </row>
    <row r="302" spans="1:35" ht="12.75" customHeight="1">
      <c r="A302" s="7"/>
      <c r="B302" s="7"/>
      <c r="C302" s="7"/>
      <c r="D302" s="7"/>
      <c r="E302" s="7"/>
      <c r="F302" s="7"/>
      <c r="G302" s="7"/>
      <c r="H302" s="7"/>
      <c r="I302" s="8"/>
      <c r="J302" s="8"/>
      <c r="P302" s="10"/>
      <c r="Q302" s="10"/>
      <c r="R302" s="10"/>
      <c r="S302" s="10"/>
      <c r="T302" s="10"/>
      <c r="U302" s="10"/>
      <c r="V302" s="10"/>
      <c r="W302" s="10"/>
      <c r="X302" s="10"/>
      <c r="Z302" s="10"/>
      <c r="AA302" s="7"/>
      <c r="AB302" s="7"/>
      <c r="AC302" s="7"/>
      <c r="AD302" s="7"/>
      <c r="AE302" s="7"/>
      <c r="AF302" s="7"/>
      <c r="AG302" s="7"/>
      <c r="AH302" s="7"/>
      <c r="AI302" s="7"/>
    </row>
    <row r="303" spans="1:35" ht="12.75" customHeight="1">
      <c r="A303" s="7"/>
      <c r="B303" s="7"/>
      <c r="C303" s="7"/>
      <c r="D303" s="7"/>
      <c r="E303" s="7"/>
      <c r="F303" s="7"/>
      <c r="G303" s="7"/>
      <c r="H303" s="7"/>
      <c r="I303" s="8"/>
      <c r="J303" s="8"/>
      <c r="P303" s="10"/>
      <c r="Q303" s="10"/>
      <c r="R303" s="10"/>
      <c r="S303" s="10"/>
      <c r="T303" s="10"/>
      <c r="U303" s="10"/>
      <c r="V303" s="10"/>
      <c r="W303" s="10"/>
      <c r="X303" s="10"/>
      <c r="Z303" s="10"/>
      <c r="AA303" s="7"/>
      <c r="AB303" s="7"/>
      <c r="AC303" s="7"/>
      <c r="AD303" s="7"/>
      <c r="AE303" s="7"/>
      <c r="AF303" s="7"/>
      <c r="AG303" s="7"/>
      <c r="AH303" s="7"/>
      <c r="AI303" s="7"/>
    </row>
    <row r="304" spans="1:35" ht="12.75" customHeight="1">
      <c r="A304" s="7"/>
      <c r="B304" s="7"/>
      <c r="C304" s="7"/>
      <c r="D304" s="7"/>
      <c r="E304" s="7"/>
      <c r="F304" s="7"/>
      <c r="G304" s="7"/>
      <c r="H304" s="7"/>
      <c r="I304" s="8"/>
      <c r="J304" s="8"/>
      <c r="P304" s="10"/>
      <c r="Q304" s="10"/>
      <c r="R304" s="10"/>
      <c r="S304" s="10"/>
      <c r="T304" s="10"/>
      <c r="U304" s="10"/>
      <c r="V304" s="10"/>
      <c r="W304" s="10"/>
      <c r="X304" s="10"/>
      <c r="Z304" s="10"/>
      <c r="AA304" s="7"/>
      <c r="AB304" s="7"/>
      <c r="AC304" s="7"/>
      <c r="AD304" s="7"/>
      <c r="AE304" s="7"/>
      <c r="AF304" s="7"/>
      <c r="AG304" s="7"/>
      <c r="AH304" s="7"/>
      <c r="AI304" s="7"/>
    </row>
    <row r="305" spans="1:35" ht="12.75" customHeight="1">
      <c r="A305" s="7"/>
      <c r="B305" s="7"/>
      <c r="C305" s="7"/>
      <c r="D305" s="7"/>
      <c r="E305" s="7"/>
      <c r="F305" s="7"/>
      <c r="G305" s="7"/>
      <c r="H305" s="7"/>
      <c r="I305" s="8"/>
      <c r="J305" s="8"/>
      <c r="P305" s="10"/>
      <c r="Q305" s="10"/>
      <c r="R305" s="10"/>
      <c r="S305" s="10"/>
      <c r="T305" s="10"/>
      <c r="U305" s="10"/>
      <c r="V305" s="10"/>
      <c r="W305" s="10"/>
      <c r="X305" s="10"/>
      <c r="Z305" s="10"/>
      <c r="AA305" s="7"/>
      <c r="AB305" s="7"/>
      <c r="AC305" s="7"/>
      <c r="AD305" s="7"/>
      <c r="AE305" s="7"/>
      <c r="AF305" s="7"/>
      <c r="AG305" s="7"/>
      <c r="AH305" s="7"/>
      <c r="AI305" s="7"/>
    </row>
    <row r="306" spans="1:35" ht="12.75" customHeight="1">
      <c r="A306" s="7"/>
      <c r="B306" s="7"/>
      <c r="C306" s="7"/>
      <c r="D306" s="7"/>
      <c r="E306" s="7"/>
      <c r="F306" s="7"/>
      <c r="G306" s="7"/>
      <c r="H306" s="7"/>
      <c r="I306" s="8"/>
      <c r="J306" s="8"/>
      <c r="P306" s="10"/>
      <c r="Q306" s="10"/>
      <c r="R306" s="10"/>
      <c r="S306" s="10"/>
      <c r="T306" s="10"/>
      <c r="U306" s="10"/>
      <c r="V306" s="10"/>
      <c r="W306" s="10"/>
      <c r="X306" s="10"/>
      <c r="Z306" s="10"/>
      <c r="AA306" s="7"/>
      <c r="AB306" s="7"/>
      <c r="AC306" s="7"/>
      <c r="AD306" s="7"/>
      <c r="AE306" s="7"/>
      <c r="AF306" s="7"/>
      <c r="AG306" s="7"/>
      <c r="AH306" s="7"/>
      <c r="AI306" s="7"/>
    </row>
    <row r="307" spans="1:35" ht="12.75" customHeight="1">
      <c r="A307" s="7"/>
      <c r="B307" s="7"/>
      <c r="C307" s="7"/>
      <c r="D307" s="7"/>
      <c r="E307" s="7"/>
      <c r="F307" s="7"/>
      <c r="G307" s="7"/>
      <c r="H307" s="7"/>
      <c r="I307" s="8"/>
      <c r="J307" s="8"/>
      <c r="P307" s="10"/>
      <c r="Q307" s="10"/>
      <c r="R307" s="10"/>
      <c r="S307" s="10"/>
      <c r="T307" s="10"/>
      <c r="U307" s="10"/>
      <c r="V307" s="10"/>
      <c r="W307" s="10"/>
      <c r="X307" s="10"/>
      <c r="Z307" s="10"/>
      <c r="AA307" s="7"/>
      <c r="AB307" s="7"/>
      <c r="AC307" s="7"/>
      <c r="AD307" s="7"/>
      <c r="AE307" s="7"/>
      <c r="AF307" s="7"/>
      <c r="AG307" s="7"/>
      <c r="AH307" s="7"/>
      <c r="AI307" s="7"/>
    </row>
    <row r="308" spans="1:35" ht="12.75" customHeight="1">
      <c r="A308" s="7"/>
      <c r="B308" s="7"/>
      <c r="C308" s="7"/>
      <c r="D308" s="7"/>
      <c r="E308" s="7"/>
      <c r="F308" s="7"/>
      <c r="G308" s="7"/>
      <c r="H308" s="7"/>
      <c r="I308" s="8"/>
      <c r="J308" s="8"/>
      <c r="P308" s="10"/>
      <c r="Q308" s="10"/>
      <c r="R308" s="10"/>
      <c r="S308" s="10"/>
      <c r="T308" s="10"/>
      <c r="U308" s="10"/>
      <c r="V308" s="10"/>
      <c r="W308" s="10"/>
      <c r="X308" s="10"/>
      <c r="Z308" s="10"/>
      <c r="AA308" s="7"/>
      <c r="AB308" s="7"/>
      <c r="AC308" s="7"/>
      <c r="AD308" s="7"/>
      <c r="AE308" s="7"/>
      <c r="AF308" s="7"/>
      <c r="AG308" s="7"/>
      <c r="AH308" s="7"/>
      <c r="AI308" s="7"/>
    </row>
    <row r="309" spans="1:35" ht="12.75" customHeight="1">
      <c r="A309" s="7"/>
      <c r="B309" s="7"/>
      <c r="C309" s="7"/>
      <c r="D309" s="7"/>
      <c r="E309" s="7"/>
      <c r="F309" s="7"/>
      <c r="G309" s="7"/>
      <c r="H309" s="7"/>
      <c r="I309" s="8"/>
      <c r="J309" s="8"/>
      <c r="P309" s="10"/>
      <c r="Q309" s="10"/>
      <c r="R309" s="10"/>
      <c r="S309" s="10"/>
      <c r="T309" s="10"/>
      <c r="U309" s="10"/>
      <c r="V309" s="10"/>
      <c r="W309" s="10"/>
      <c r="X309" s="10"/>
      <c r="Z309" s="10"/>
      <c r="AA309" s="7"/>
      <c r="AB309" s="7"/>
      <c r="AC309" s="7"/>
      <c r="AD309" s="7"/>
      <c r="AE309" s="7"/>
      <c r="AF309" s="7"/>
      <c r="AG309" s="7"/>
      <c r="AH309" s="7"/>
      <c r="AI309" s="7"/>
    </row>
    <row r="310" spans="1:35" ht="12.75" customHeight="1">
      <c r="A310" s="7"/>
      <c r="B310" s="7"/>
      <c r="C310" s="7"/>
      <c r="D310" s="7"/>
      <c r="E310" s="7"/>
      <c r="F310" s="7"/>
      <c r="G310" s="7"/>
      <c r="H310" s="7"/>
      <c r="I310" s="8"/>
      <c r="J310" s="8"/>
      <c r="P310" s="10"/>
      <c r="Q310" s="10"/>
      <c r="R310" s="10"/>
      <c r="S310" s="10"/>
      <c r="T310" s="10"/>
      <c r="U310" s="10"/>
      <c r="V310" s="10"/>
      <c r="W310" s="10"/>
      <c r="X310" s="10"/>
      <c r="Z310" s="10"/>
      <c r="AA310" s="7"/>
      <c r="AB310" s="7"/>
      <c r="AC310" s="7"/>
      <c r="AD310" s="7"/>
      <c r="AE310" s="7"/>
      <c r="AF310" s="7"/>
      <c r="AG310" s="7"/>
      <c r="AH310" s="7"/>
      <c r="AI310" s="7"/>
    </row>
    <row r="311" spans="1:35" ht="12.75" customHeight="1">
      <c r="A311" s="7"/>
      <c r="B311" s="7"/>
      <c r="C311" s="7"/>
      <c r="D311" s="7"/>
      <c r="E311" s="7"/>
      <c r="F311" s="7"/>
      <c r="G311" s="7"/>
      <c r="H311" s="7"/>
      <c r="I311" s="8"/>
      <c r="J311" s="8"/>
      <c r="P311" s="10"/>
      <c r="Q311" s="10"/>
      <c r="R311" s="10"/>
      <c r="S311" s="10"/>
      <c r="T311" s="10"/>
      <c r="U311" s="10"/>
      <c r="V311" s="10"/>
      <c r="W311" s="10"/>
      <c r="X311" s="10"/>
      <c r="Z311" s="10"/>
      <c r="AA311" s="7"/>
      <c r="AB311" s="7"/>
      <c r="AC311" s="7"/>
      <c r="AD311" s="7"/>
      <c r="AE311" s="7"/>
      <c r="AF311" s="7"/>
      <c r="AG311" s="7"/>
      <c r="AH311" s="7"/>
      <c r="AI311" s="7"/>
    </row>
    <row r="312" spans="1:35" ht="12.75" customHeight="1">
      <c r="A312" s="7"/>
      <c r="B312" s="7"/>
      <c r="C312" s="7"/>
      <c r="D312" s="7"/>
      <c r="E312" s="7"/>
      <c r="F312" s="7"/>
      <c r="G312" s="7"/>
      <c r="H312" s="7"/>
      <c r="I312" s="8"/>
      <c r="J312" s="8"/>
      <c r="P312" s="10"/>
      <c r="Q312" s="10"/>
      <c r="R312" s="10"/>
      <c r="S312" s="10"/>
      <c r="T312" s="10"/>
      <c r="U312" s="10"/>
      <c r="V312" s="10"/>
      <c r="W312" s="10"/>
      <c r="X312" s="10"/>
      <c r="Z312" s="10"/>
      <c r="AA312" s="7"/>
      <c r="AB312" s="7"/>
      <c r="AC312" s="7"/>
      <c r="AD312" s="7"/>
      <c r="AE312" s="7"/>
      <c r="AF312" s="7"/>
      <c r="AG312" s="7"/>
      <c r="AH312" s="7"/>
      <c r="AI312" s="7"/>
    </row>
    <row r="313" spans="1:35" ht="12.75" customHeight="1">
      <c r="A313" s="7"/>
      <c r="B313" s="7"/>
      <c r="C313" s="7"/>
      <c r="D313" s="7"/>
      <c r="E313" s="7"/>
      <c r="F313" s="7"/>
      <c r="G313" s="7"/>
      <c r="H313" s="7"/>
      <c r="I313" s="8"/>
      <c r="J313" s="8"/>
      <c r="P313" s="10"/>
      <c r="Q313" s="10"/>
      <c r="R313" s="10"/>
      <c r="S313" s="10"/>
      <c r="T313" s="10"/>
      <c r="U313" s="10"/>
      <c r="V313" s="10"/>
      <c r="W313" s="10"/>
      <c r="X313" s="10"/>
      <c r="Z313" s="10"/>
      <c r="AA313" s="7"/>
      <c r="AB313" s="7"/>
      <c r="AC313" s="7"/>
      <c r="AD313" s="7"/>
      <c r="AE313" s="7"/>
      <c r="AF313" s="7"/>
      <c r="AG313" s="7"/>
      <c r="AH313" s="7"/>
      <c r="AI313" s="7"/>
    </row>
    <row r="314" spans="1:35" ht="12.75" customHeight="1">
      <c r="A314" s="7"/>
      <c r="B314" s="7"/>
      <c r="C314" s="7"/>
      <c r="D314" s="7"/>
      <c r="E314" s="7"/>
      <c r="F314" s="7"/>
      <c r="G314" s="7"/>
      <c r="H314" s="7"/>
      <c r="I314" s="8"/>
      <c r="J314" s="8"/>
      <c r="P314" s="10"/>
      <c r="Q314" s="10"/>
      <c r="R314" s="10"/>
      <c r="S314" s="10"/>
      <c r="T314" s="10"/>
      <c r="U314" s="10"/>
      <c r="V314" s="10"/>
      <c r="W314" s="10"/>
      <c r="X314" s="10"/>
      <c r="Z314" s="10"/>
      <c r="AA314" s="7"/>
      <c r="AB314" s="7"/>
      <c r="AC314" s="7"/>
      <c r="AD314" s="7"/>
      <c r="AE314" s="7"/>
      <c r="AF314" s="7"/>
      <c r="AG314" s="7"/>
      <c r="AH314" s="7"/>
      <c r="AI314" s="7"/>
    </row>
    <row r="315" spans="1:35" ht="12.75" customHeight="1">
      <c r="A315" s="7"/>
      <c r="B315" s="7"/>
      <c r="C315" s="7"/>
      <c r="D315" s="7"/>
      <c r="E315" s="7"/>
      <c r="F315" s="7"/>
      <c r="G315" s="7"/>
      <c r="H315" s="7"/>
      <c r="I315" s="8"/>
      <c r="J315" s="8"/>
      <c r="P315" s="10"/>
      <c r="Q315" s="10"/>
      <c r="R315" s="10"/>
      <c r="S315" s="10"/>
      <c r="T315" s="10"/>
      <c r="U315" s="10"/>
      <c r="V315" s="10"/>
      <c r="W315" s="10"/>
      <c r="X315" s="10"/>
      <c r="Z315" s="10"/>
      <c r="AA315" s="7"/>
      <c r="AB315" s="7"/>
      <c r="AC315" s="7"/>
      <c r="AD315" s="7"/>
      <c r="AE315" s="7"/>
      <c r="AF315" s="7"/>
      <c r="AG315" s="7"/>
      <c r="AH315" s="7"/>
      <c r="AI315" s="7"/>
    </row>
    <row r="316" spans="1:35" ht="12.75" customHeight="1">
      <c r="A316" s="7"/>
      <c r="B316" s="7"/>
      <c r="C316" s="7"/>
      <c r="D316" s="7"/>
      <c r="E316" s="7"/>
      <c r="F316" s="7"/>
      <c r="G316" s="7"/>
      <c r="H316" s="7"/>
      <c r="I316" s="8"/>
      <c r="J316" s="8"/>
      <c r="P316" s="10"/>
      <c r="Q316" s="10"/>
      <c r="R316" s="10"/>
      <c r="S316" s="10"/>
      <c r="T316" s="10"/>
      <c r="U316" s="10"/>
      <c r="V316" s="10"/>
      <c r="W316" s="10"/>
      <c r="X316" s="10"/>
      <c r="Z316" s="10"/>
      <c r="AA316" s="7"/>
      <c r="AB316" s="7"/>
      <c r="AC316" s="7"/>
      <c r="AD316" s="7"/>
      <c r="AE316" s="7"/>
      <c r="AF316" s="7"/>
      <c r="AG316" s="7"/>
      <c r="AH316" s="7"/>
      <c r="AI316" s="7"/>
    </row>
    <row r="317" spans="1:35" ht="12.75" customHeight="1">
      <c r="A317" s="7"/>
      <c r="B317" s="7"/>
      <c r="C317" s="7"/>
      <c r="D317" s="7"/>
      <c r="E317" s="7"/>
      <c r="F317" s="7"/>
      <c r="G317" s="7"/>
      <c r="H317" s="7"/>
      <c r="I317" s="8"/>
      <c r="J317" s="8"/>
      <c r="P317" s="10"/>
      <c r="Q317" s="10"/>
      <c r="R317" s="10"/>
      <c r="S317" s="10"/>
      <c r="T317" s="10"/>
      <c r="U317" s="10"/>
      <c r="V317" s="10"/>
      <c r="W317" s="10"/>
      <c r="X317" s="10"/>
      <c r="Z317" s="10"/>
      <c r="AA317" s="7"/>
      <c r="AB317" s="7"/>
      <c r="AC317" s="7"/>
      <c r="AD317" s="7"/>
      <c r="AE317" s="7"/>
      <c r="AF317" s="7"/>
      <c r="AG317" s="7"/>
      <c r="AH317" s="7"/>
      <c r="AI317" s="7"/>
    </row>
    <row r="318" spans="1:35" ht="12.75" customHeight="1">
      <c r="A318" s="7"/>
      <c r="B318" s="7"/>
      <c r="C318" s="7"/>
      <c r="D318" s="7"/>
      <c r="E318" s="7"/>
      <c r="F318" s="7"/>
      <c r="G318" s="7"/>
      <c r="H318" s="7"/>
      <c r="I318" s="8"/>
      <c r="J318" s="8"/>
      <c r="P318" s="10"/>
      <c r="Q318" s="10"/>
      <c r="R318" s="10"/>
      <c r="S318" s="10"/>
      <c r="T318" s="10"/>
      <c r="U318" s="10"/>
      <c r="V318" s="10"/>
      <c r="W318" s="10"/>
      <c r="X318" s="10"/>
      <c r="Z318" s="10"/>
      <c r="AA318" s="7"/>
      <c r="AB318" s="7"/>
      <c r="AC318" s="7"/>
      <c r="AD318" s="7"/>
      <c r="AE318" s="7"/>
      <c r="AF318" s="7"/>
      <c r="AG318" s="7"/>
      <c r="AH318" s="7"/>
      <c r="AI318" s="7"/>
    </row>
    <row r="319" spans="1:35" ht="12.75" customHeight="1">
      <c r="A319" s="7"/>
      <c r="B319" s="7"/>
      <c r="C319" s="7"/>
      <c r="D319" s="7"/>
      <c r="E319" s="7"/>
      <c r="F319" s="7"/>
      <c r="G319" s="7"/>
      <c r="H319" s="7"/>
      <c r="I319" s="8"/>
      <c r="J319" s="8"/>
      <c r="P319" s="10"/>
      <c r="Q319" s="10"/>
      <c r="R319" s="10"/>
      <c r="S319" s="10"/>
      <c r="T319" s="10"/>
      <c r="U319" s="10"/>
      <c r="V319" s="10"/>
      <c r="W319" s="10"/>
      <c r="X319" s="10"/>
      <c r="Z319" s="10"/>
      <c r="AA319" s="7"/>
      <c r="AB319" s="7"/>
      <c r="AC319" s="7"/>
      <c r="AD319" s="7"/>
      <c r="AE319" s="7"/>
      <c r="AF319" s="7"/>
      <c r="AG319" s="7"/>
      <c r="AH319" s="7"/>
      <c r="AI319" s="7"/>
    </row>
    <row r="320" spans="1:35" ht="12.75" customHeight="1">
      <c r="A320" s="7"/>
      <c r="B320" s="7"/>
      <c r="C320" s="7"/>
      <c r="D320" s="7"/>
      <c r="E320" s="7"/>
      <c r="F320" s="7"/>
      <c r="G320" s="7"/>
      <c r="H320" s="7"/>
      <c r="I320" s="8"/>
      <c r="J320" s="8"/>
      <c r="P320" s="10"/>
      <c r="Q320" s="10"/>
      <c r="R320" s="10"/>
      <c r="S320" s="10"/>
      <c r="T320" s="10"/>
      <c r="U320" s="10"/>
      <c r="V320" s="10"/>
      <c r="W320" s="10"/>
      <c r="X320" s="10"/>
      <c r="Z320" s="10"/>
      <c r="AA320" s="7"/>
      <c r="AB320" s="7"/>
      <c r="AC320" s="7"/>
      <c r="AD320" s="7"/>
      <c r="AE320" s="7"/>
      <c r="AF320" s="7"/>
      <c r="AG320" s="7"/>
      <c r="AH320" s="7"/>
      <c r="AI320" s="7"/>
    </row>
    <row r="321" spans="1:35" ht="12.75" customHeight="1">
      <c r="A321" s="7"/>
      <c r="B321" s="7"/>
      <c r="C321" s="7"/>
      <c r="D321" s="7"/>
      <c r="E321" s="7"/>
      <c r="F321" s="7"/>
      <c r="G321" s="7"/>
      <c r="H321" s="7"/>
      <c r="I321" s="8"/>
      <c r="J321" s="8"/>
      <c r="P321" s="10"/>
      <c r="Q321" s="10"/>
      <c r="R321" s="10"/>
      <c r="S321" s="10"/>
      <c r="T321" s="10"/>
      <c r="U321" s="10"/>
      <c r="V321" s="10"/>
      <c r="W321" s="10"/>
      <c r="X321" s="10"/>
      <c r="Z321" s="10"/>
      <c r="AA321" s="7"/>
      <c r="AB321" s="7"/>
      <c r="AC321" s="7"/>
      <c r="AD321" s="7"/>
      <c r="AE321" s="7"/>
      <c r="AF321" s="7"/>
      <c r="AG321" s="7"/>
      <c r="AH321" s="7"/>
      <c r="AI321" s="7"/>
    </row>
    <row r="322" spans="1:35" ht="12.75" customHeight="1">
      <c r="A322" s="7"/>
      <c r="B322" s="7"/>
      <c r="C322" s="7"/>
      <c r="D322" s="7"/>
      <c r="E322" s="7"/>
      <c r="F322" s="7"/>
      <c r="G322" s="7"/>
      <c r="H322" s="7"/>
      <c r="I322" s="8"/>
      <c r="J322" s="8"/>
      <c r="P322" s="10"/>
      <c r="Q322" s="10"/>
      <c r="R322" s="10"/>
      <c r="S322" s="10"/>
      <c r="T322" s="10"/>
      <c r="U322" s="10"/>
      <c r="V322" s="10"/>
      <c r="W322" s="10"/>
      <c r="X322" s="10"/>
      <c r="Z322" s="10"/>
      <c r="AA322" s="7"/>
      <c r="AB322" s="7"/>
      <c r="AC322" s="7"/>
      <c r="AD322" s="7"/>
      <c r="AE322" s="7"/>
      <c r="AF322" s="7"/>
      <c r="AG322" s="7"/>
      <c r="AH322" s="7"/>
      <c r="AI322" s="7"/>
    </row>
    <row r="323" spans="1:35" ht="12.75" customHeight="1">
      <c r="A323" s="7"/>
      <c r="B323" s="7"/>
      <c r="C323" s="7"/>
      <c r="D323" s="7"/>
      <c r="E323" s="7"/>
      <c r="F323" s="7"/>
      <c r="G323" s="7"/>
      <c r="H323" s="7"/>
      <c r="I323" s="8"/>
      <c r="J323" s="8"/>
      <c r="P323" s="10"/>
      <c r="Q323" s="10"/>
      <c r="R323" s="10"/>
      <c r="S323" s="10"/>
      <c r="T323" s="10"/>
      <c r="U323" s="10"/>
      <c r="V323" s="10"/>
      <c r="W323" s="10"/>
      <c r="X323" s="10"/>
      <c r="Z323" s="10"/>
      <c r="AA323" s="7"/>
      <c r="AB323" s="7"/>
      <c r="AC323" s="7"/>
      <c r="AD323" s="7"/>
      <c r="AE323" s="7"/>
      <c r="AF323" s="7"/>
      <c r="AG323" s="7"/>
      <c r="AH323" s="7"/>
      <c r="AI323" s="7"/>
    </row>
    <row r="324" spans="1:35" ht="12.75" customHeight="1">
      <c r="A324" s="7"/>
      <c r="B324" s="7"/>
      <c r="C324" s="7"/>
      <c r="D324" s="7"/>
      <c r="E324" s="7"/>
      <c r="F324" s="7"/>
      <c r="G324" s="7"/>
      <c r="H324" s="7"/>
      <c r="I324" s="8"/>
      <c r="J324" s="8"/>
      <c r="P324" s="10"/>
      <c r="Q324" s="10"/>
      <c r="R324" s="10"/>
      <c r="S324" s="10"/>
      <c r="T324" s="10"/>
      <c r="U324" s="10"/>
      <c r="V324" s="10"/>
      <c r="W324" s="10"/>
      <c r="X324" s="10"/>
      <c r="Z324" s="10"/>
      <c r="AA324" s="7"/>
      <c r="AB324" s="7"/>
      <c r="AC324" s="7"/>
      <c r="AD324" s="7"/>
      <c r="AE324" s="7"/>
      <c r="AF324" s="7"/>
      <c r="AG324" s="7"/>
      <c r="AH324" s="7"/>
      <c r="AI324" s="7"/>
    </row>
    <row r="325" spans="1:35" ht="12.75" customHeight="1">
      <c r="A325" s="7"/>
      <c r="B325" s="7"/>
      <c r="C325" s="7"/>
      <c r="D325" s="7"/>
      <c r="E325" s="7"/>
      <c r="F325" s="7"/>
      <c r="G325" s="7"/>
      <c r="H325" s="7"/>
      <c r="I325" s="8"/>
      <c r="J325" s="8"/>
      <c r="P325" s="10"/>
      <c r="Q325" s="10"/>
      <c r="R325" s="10"/>
      <c r="S325" s="10"/>
      <c r="T325" s="10"/>
      <c r="U325" s="10"/>
      <c r="V325" s="10"/>
      <c r="W325" s="10"/>
      <c r="X325" s="10"/>
      <c r="Z325" s="10"/>
      <c r="AA325" s="7"/>
      <c r="AB325" s="7"/>
      <c r="AC325" s="7"/>
      <c r="AD325" s="7"/>
      <c r="AE325" s="7"/>
      <c r="AF325" s="7"/>
      <c r="AG325" s="7"/>
      <c r="AH325" s="7"/>
      <c r="AI325" s="7"/>
    </row>
    <row r="326" spans="1:35" ht="12.75" customHeight="1">
      <c r="A326" s="7"/>
      <c r="B326" s="7"/>
      <c r="C326" s="7"/>
      <c r="D326" s="7"/>
      <c r="E326" s="7"/>
      <c r="F326" s="7"/>
      <c r="G326" s="7"/>
      <c r="H326" s="7"/>
      <c r="I326" s="8"/>
      <c r="J326" s="8"/>
      <c r="P326" s="10"/>
      <c r="Q326" s="10"/>
      <c r="R326" s="10"/>
      <c r="S326" s="10"/>
      <c r="T326" s="10"/>
      <c r="U326" s="10"/>
      <c r="V326" s="10"/>
      <c r="W326" s="10"/>
      <c r="X326" s="10"/>
      <c r="Z326" s="10"/>
      <c r="AA326" s="7"/>
      <c r="AB326" s="7"/>
      <c r="AC326" s="7"/>
      <c r="AD326" s="7"/>
      <c r="AE326" s="7"/>
      <c r="AF326" s="7"/>
      <c r="AG326" s="7"/>
      <c r="AH326" s="7"/>
      <c r="AI326" s="7"/>
    </row>
    <row r="327" spans="1:35" ht="12.75" customHeight="1">
      <c r="A327" s="7"/>
      <c r="B327" s="7"/>
      <c r="C327" s="7"/>
      <c r="D327" s="7"/>
      <c r="E327" s="7"/>
      <c r="F327" s="7"/>
      <c r="G327" s="7"/>
      <c r="H327" s="7"/>
      <c r="I327" s="8"/>
      <c r="J327" s="8"/>
      <c r="P327" s="10"/>
      <c r="Q327" s="10"/>
      <c r="R327" s="10"/>
      <c r="S327" s="10"/>
      <c r="T327" s="10"/>
      <c r="U327" s="10"/>
      <c r="V327" s="10"/>
      <c r="W327" s="10"/>
      <c r="X327" s="10"/>
      <c r="Z327" s="10"/>
      <c r="AA327" s="7"/>
      <c r="AB327" s="7"/>
      <c r="AC327" s="7"/>
      <c r="AD327" s="7"/>
      <c r="AE327" s="7"/>
      <c r="AF327" s="7"/>
      <c r="AG327" s="7"/>
      <c r="AH327" s="7"/>
      <c r="AI327" s="7"/>
    </row>
    <row r="328" spans="1:35" ht="12.75" customHeight="1">
      <c r="A328" s="7"/>
      <c r="B328" s="7"/>
      <c r="C328" s="7"/>
      <c r="D328" s="7"/>
      <c r="E328" s="7"/>
      <c r="F328" s="7"/>
      <c r="G328" s="7"/>
      <c r="H328" s="7"/>
      <c r="I328" s="8"/>
      <c r="J328" s="8"/>
      <c r="P328" s="10"/>
      <c r="Q328" s="10"/>
      <c r="R328" s="10"/>
      <c r="S328" s="10"/>
      <c r="T328" s="10"/>
      <c r="U328" s="10"/>
      <c r="V328" s="10"/>
      <c r="W328" s="10"/>
      <c r="X328" s="10"/>
      <c r="Z328" s="10"/>
      <c r="AA328" s="7"/>
      <c r="AB328" s="7"/>
      <c r="AC328" s="7"/>
      <c r="AD328" s="7"/>
      <c r="AE328" s="7"/>
      <c r="AF328" s="7"/>
      <c r="AG328" s="7"/>
      <c r="AH328" s="7"/>
      <c r="AI328" s="7"/>
    </row>
    <row r="329" spans="1:35" ht="12.75" customHeight="1">
      <c r="A329" s="7"/>
      <c r="B329" s="7"/>
      <c r="C329" s="7"/>
      <c r="D329" s="7"/>
      <c r="E329" s="7"/>
      <c r="F329" s="7"/>
      <c r="G329" s="7"/>
      <c r="H329" s="7"/>
      <c r="I329" s="8"/>
      <c r="J329" s="8"/>
      <c r="P329" s="10"/>
      <c r="Q329" s="10"/>
      <c r="R329" s="10"/>
      <c r="S329" s="10"/>
      <c r="T329" s="10"/>
      <c r="U329" s="10"/>
      <c r="V329" s="10"/>
      <c r="W329" s="10"/>
      <c r="X329" s="10"/>
      <c r="Z329" s="10"/>
      <c r="AA329" s="7"/>
      <c r="AB329" s="7"/>
      <c r="AC329" s="7"/>
      <c r="AD329" s="7"/>
      <c r="AE329" s="7"/>
      <c r="AF329" s="7"/>
      <c r="AG329" s="7"/>
      <c r="AH329" s="7"/>
      <c r="AI329" s="7"/>
    </row>
    <row r="330" spans="1:35" ht="12.75" customHeight="1">
      <c r="A330" s="7"/>
      <c r="B330" s="7"/>
      <c r="C330" s="7"/>
      <c r="D330" s="7"/>
      <c r="E330" s="7"/>
      <c r="F330" s="7"/>
      <c r="G330" s="7"/>
      <c r="H330" s="7"/>
      <c r="I330" s="8"/>
      <c r="J330" s="8"/>
      <c r="P330" s="10"/>
      <c r="Q330" s="10"/>
      <c r="R330" s="10"/>
      <c r="S330" s="10"/>
      <c r="T330" s="10"/>
      <c r="U330" s="10"/>
      <c r="V330" s="10"/>
      <c r="W330" s="10"/>
      <c r="X330" s="10"/>
      <c r="Z330" s="10"/>
      <c r="AA330" s="7"/>
      <c r="AB330" s="7"/>
      <c r="AC330" s="7"/>
      <c r="AD330" s="7"/>
      <c r="AE330" s="7"/>
      <c r="AF330" s="7"/>
      <c r="AG330" s="7"/>
      <c r="AH330" s="7"/>
      <c r="AI330" s="7"/>
    </row>
    <row r="331" spans="1:35" ht="12.75" customHeight="1">
      <c r="A331" s="7"/>
      <c r="B331" s="7"/>
      <c r="C331" s="7"/>
      <c r="D331" s="7"/>
      <c r="E331" s="7"/>
      <c r="F331" s="7"/>
      <c r="G331" s="7"/>
      <c r="H331" s="7"/>
      <c r="I331" s="8"/>
      <c r="J331" s="8"/>
      <c r="P331" s="10"/>
      <c r="Q331" s="10"/>
      <c r="R331" s="10"/>
      <c r="S331" s="10"/>
      <c r="T331" s="10"/>
      <c r="U331" s="10"/>
      <c r="V331" s="10"/>
      <c r="W331" s="10"/>
      <c r="X331" s="10"/>
      <c r="Z331" s="10"/>
      <c r="AA331" s="7"/>
      <c r="AB331" s="7"/>
      <c r="AC331" s="7"/>
      <c r="AD331" s="7"/>
      <c r="AE331" s="7"/>
      <c r="AF331" s="7"/>
      <c r="AG331" s="7"/>
      <c r="AH331" s="7"/>
      <c r="AI331" s="7"/>
    </row>
    <row r="332" spans="1:35" ht="12.75" customHeight="1">
      <c r="A332" s="7"/>
      <c r="B332" s="7"/>
      <c r="C332" s="7"/>
      <c r="D332" s="7"/>
      <c r="E332" s="7"/>
      <c r="F332" s="7"/>
      <c r="G332" s="7"/>
      <c r="H332" s="7"/>
      <c r="I332" s="8"/>
      <c r="J332" s="8"/>
      <c r="P332" s="10"/>
      <c r="Q332" s="10"/>
      <c r="R332" s="10"/>
      <c r="S332" s="10"/>
      <c r="T332" s="10"/>
      <c r="U332" s="10"/>
      <c r="V332" s="10"/>
      <c r="W332" s="10"/>
      <c r="X332" s="10"/>
      <c r="Z332" s="10"/>
      <c r="AA332" s="7"/>
      <c r="AB332" s="7"/>
      <c r="AC332" s="7"/>
      <c r="AD332" s="7"/>
      <c r="AE332" s="7"/>
      <c r="AF332" s="7"/>
      <c r="AG332" s="7"/>
      <c r="AH332" s="7"/>
      <c r="AI332" s="7"/>
    </row>
    <row r="333" spans="1:35" ht="12.75" customHeight="1">
      <c r="A333" s="7"/>
      <c r="B333" s="7"/>
      <c r="C333" s="7"/>
      <c r="D333" s="7"/>
      <c r="E333" s="7"/>
      <c r="F333" s="7"/>
      <c r="G333" s="7"/>
      <c r="H333" s="7"/>
      <c r="I333" s="8"/>
      <c r="J333" s="8"/>
      <c r="P333" s="10"/>
      <c r="Q333" s="10"/>
      <c r="R333" s="10"/>
      <c r="S333" s="10"/>
      <c r="T333" s="10"/>
      <c r="U333" s="10"/>
      <c r="V333" s="10"/>
      <c r="W333" s="10"/>
      <c r="X333" s="10"/>
      <c r="Z333" s="10"/>
      <c r="AA333" s="7"/>
      <c r="AB333" s="7"/>
      <c r="AC333" s="7"/>
      <c r="AD333" s="7"/>
      <c r="AE333" s="7"/>
      <c r="AF333" s="7"/>
      <c r="AG333" s="7"/>
      <c r="AH333" s="7"/>
      <c r="AI333" s="7"/>
    </row>
    <row r="334" spans="1:35" ht="12.75" customHeight="1">
      <c r="A334" s="7"/>
      <c r="B334" s="7"/>
      <c r="C334" s="7"/>
      <c r="D334" s="7"/>
      <c r="E334" s="7"/>
      <c r="F334" s="7"/>
      <c r="G334" s="7"/>
      <c r="H334" s="7"/>
      <c r="I334" s="8"/>
      <c r="J334" s="8"/>
      <c r="P334" s="10"/>
      <c r="Q334" s="10"/>
      <c r="R334" s="10"/>
      <c r="S334" s="10"/>
      <c r="T334" s="10"/>
      <c r="U334" s="10"/>
      <c r="V334" s="10"/>
      <c r="W334" s="10"/>
      <c r="X334" s="10"/>
      <c r="Z334" s="10"/>
      <c r="AA334" s="7"/>
      <c r="AB334" s="7"/>
      <c r="AC334" s="7"/>
      <c r="AD334" s="7"/>
      <c r="AE334" s="7"/>
      <c r="AF334" s="7"/>
      <c r="AG334" s="7"/>
      <c r="AH334" s="7"/>
      <c r="AI334" s="7"/>
    </row>
    <row r="335" spans="1:35" ht="12.75" customHeight="1">
      <c r="A335" s="7"/>
      <c r="B335" s="7"/>
      <c r="C335" s="7"/>
      <c r="D335" s="7"/>
      <c r="E335" s="7"/>
      <c r="F335" s="7"/>
      <c r="G335" s="7"/>
      <c r="H335" s="7"/>
      <c r="I335" s="8"/>
      <c r="J335" s="8"/>
      <c r="P335" s="10"/>
      <c r="Q335" s="10"/>
      <c r="R335" s="10"/>
      <c r="S335" s="10"/>
      <c r="T335" s="10"/>
      <c r="U335" s="10"/>
      <c r="V335" s="10"/>
      <c r="W335" s="10"/>
      <c r="X335" s="10"/>
      <c r="Z335" s="10"/>
      <c r="AA335" s="7"/>
      <c r="AB335" s="7"/>
      <c r="AC335" s="7"/>
      <c r="AD335" s="7"/>
      <c r="AE335" s="7"/>
      <c r="AF335" s="7"/>
      <c r="AG335" s="7"/>
      <c r="AH335" s="7"/>
      <c r="AI335" s="7"/>
    </row>
    <row r="336" spans="1:35" ht="12.75" customHeight="1">
      <c r="A336" s="7"/>
      <c r="B336" s="7"/>
      <c r="C336" s="7"/>
      <c r="D336" s="7"/>
      <c r="E336" s="7"/>
      <c r="F336" s="7"/>
      <c r="G336" s="7"/>
      <c r="H336" s="7"/>
      <c r="I336" s="8"/>
      <c r="J336" s="8"/>
      <c r="P336" s="10"/>
      <c r="Q336" s="10"/>
      <c r="R336" s="10"/>
      <c r="S336" s="10"/>
      <c r="T336" s="10"/>
      <c r="U336" s="10"/>
      <c r="V336" s="10"/>
      <c r="W336" s="10"/>
      <c r="X336" s="10"/>
      <c r="Z336" s="10"/>
      <c r="AA336" s="7"/>
      <c r="AB336" s="7"/>
      <c r="AC336" s="7"/>
      <c r="AD336" s="7"/>
      <c r="AE336" s="7"/>
      <c r="AF336" s="7"/>
      <c r="AG336" s="7"/>
      <c r="AH336" s="7"/>
      <c r="AI336" s="7"/>
    </row>
    <row r="337" spans="1:35" ht="12.75" customHeight="1">
      <c r="A337" s="7"/>
      <c r="B337" s="7"/>
      <c r="C337" s="7"/>
      <c r="D337" s="7"/>
      <c r="E337" s="7"/>
      <c r="F337" s="7"/>
      <c r="G337" s="7"/>
      <c r="H337" s="7"/>
      <c r="I337" s="8"/>
      <c r="J337" s="8"/>
      <c r="P337" s="10"/>
      <c r="Q337" s="10"/>
      <c r="R337" s="10"/>
      <c r="S337" s="10"/>
      <c r="T337" s="10"/>
      <c r="U337" s="10"/>
      <c r="V337" s="10"/>
      <c r="W337" s="10"/>
      <c r="X337" s="10"/>
      <c r="Z337" s="10"/>
      <c r="AA337" s="7"/>
      <c r="AB337" s="7"/>
      <c r="AC337" s="7"/>
      <c r="AD337" s="7"/>
      <c r="AE337" s="7"/>
      <c r="AF337" s="7"/>
      <c r="AG337" s="7"/>
      <c r="AH337" s="7"/>
      <c r="AI337" s="7"/>
    </row>
    <row r="338" spans="1:35" ht="12.75" customHeight="1">
      <c r="A338" s="7"/>
      <c r="B338" s="7"/>
      <c r="C338" s="7"/>
      <c r="D338" s="7"/>
      <c r="E338" s="7"/>
      <c r="F338" s="7"/>
      <c r="G338" s="7"/>
      <c r="H338" s="7"/>
      <c r="I338" s="8"/>
      <c r="J338" s="8"/>
      <c r="P338" s="10"/>
      <c r="Q338" s="10"/>
      <c r="R338" s="10"/>
      <c r="S338" s="10"/>
      <c r="T338" s="10"/>
      <c r="U338" s="10"/>
      <c r="V338" s="10"/>
      <c r="W338" s="10"/>
      <c r="X338" s="10"/>
      <c r="Z338" s="10"/>
      <c r="AA338" s="7"/>
      <c r="AB338" s="7"/>
      <c r="AC338" s="7"/>
      <c r="AD338" s="7"/>
      <c r="AE338" s="7"/>
      <c r="AF338" s="7"/>
      <c r="AG338" s="7"/>
      <c r="AH338" s="7"/>
      <c r="AI338" s="7"/>
    </row>
    <row r="339" spans="1:35" ht="12.75" customHeight="1">
      <c r="A339" s="7"/>
      <c r="B339" s="7"/>
      <c r="C339" s="7"/>
      <c r="D339" s="7"/>
      <c r="E339" s="7"/>
      <c r="F339" s="7"/>
      <c r="G339" s="7"/>
      <c r="H339" s="7"/>
      <c r="I339" s="8"/>
      <c r="J339" s="8"/>
      <c r="P339" s="10"/>
      <c r="Q339" s="10"/>
      <c r="R339" s="10"/>
      <c r="S339" s="10"/>
      <c r="T339" s="10"/>
      <c r="U339" s="10"/>
      <c r="V339" s="10"/>
      <c r="W339" s="10"/>
      <c r="X339" s="10"/>
      <c r="Z339" s="10"/>
      <c r="AA339" s="7"/>
      <c r="AB339" s="7"/>
      <c r="AC339" s="7"/>
      <c r="AD339" s="7"/>
      <c r="AE339" s="7"/>
      <c r="AF339" s="7"/>
      <c r="AG339" s="7"/>
      <c r="AH339" s="7"/>
      <c r="AI339" s="7"/>
    </row>
    <row r="340" spans="1:35" ht="12.75" customHeight="1">
      <c r="A340" s="7"/>
      <c r="B340" s="7"/>
      <c r="C340" s="7"/>
      <c r="D340" s="7"/>
      <c r="E340" s="7"/>
      <c r="F340" s="7"/>
      <c r="G340" s="7"/>
      <c r="H340" s="7"/>
      <c r="I340" s="8"/>
      <c r="J340" s="8"/>
      <c r="P340" s="10"/>
      <c r="Q340" s="10"/>
      <c r="R340" s="10"/>
      <c r="S340" s="10"/>
      <c r="T340" s="10"/>
      <c r="U340" s="10"/>
      <c r="V340" s="10"/>
      <c r="W340" s="10"/>
      <c r="X340" s="10"/>
      <c r="Z340" s="10"/>
      <c r="AA340" s="7"/>
      <c r="AB340" s="7"/>
      <c r="AC340" s="7"/>
      <c r="AD340" s="7"/>
      <c r="AE340" s="7"/>
      <c r="AF340" s="7"/>
      <c r="AG340" s="7"/>
      <c r="AH340" s="7"/>
      <c r="AI340" s="7"/>
    </row>
    <row r="341" spans="1:35" ht="12.75" customHeight="1">
      <c r="A341" s="7"/>
      <c r="B341" s="7"/>
      <c r="C341" s="7"/>
      <c r="D341" s="7"/>
      <c r="E341" s="7"/>
      <c r="F341" s="7"/>
      <c r="G341" s="7"/>
      <c r="H341" s="7"/>
      <c r="I341" s="8"/>
      <c r="J341" s="8"/>
      <c r="P341" s="10"/>
      <c r="Q341" s="10"/>
      <c r="R341" s="10"/>
      <c r="S341" s="10"/>
      <c r="T341" s="10"/>
      <c r="U341" s="10"/>
      <c r="V341" s="10"/>
      <c r="W341" s="10"/>
      <c r="X341" s="10"/>
      <c r="Z341" s="10"/>
      <c r="AA341" s="7"/>
      <c r="AB341" s="7"/>
      <c r="AC341" s="7"/>
      <c r="AD341" s="7"/>
      <c r="AE341" s="7"/>
      <c r="AF341" s="7"/>
      <c r="AG341" s="7"/>
      <c r="AH341" s="7"/>
      <c r="AI341" s="7"/>
    </row>
    <row r="342" spans="1:35" ht="12.75" customHeight="1">
      <c r="A342" s="7"/>
      <c r="B342" s="7"/>
      <c r="C342" s="7"/>
      <c r="D342" s="7"/>
      <c r="E342" s="7"/>
      <c r="F342" s="7"/>
      <c r="G342" s="7"/>
      <c r="H342" s="7"/>
      <c r="I342" s="8"/>
      <c r="J342" s="8"/>
      <c r="P342" s="10"/>
      <c r="Q342" s="10"/>
      <c r="R342" s="10"/>
      <c r="S342" s="10"/>
      <c r="T342" s="10"/>
      <c r="U342" s="10"/>
      <c r="V342" s="10"/>
      <c r="W342" s="10"/>
      <c r="X342" s="10"/>
      <c r="Z342" s="10"/>
      <c r="AA342" s="7"/>
      <c r="AB342" s="7"/>
      <c r="AC342" s="7"/>
      <c r="AD342" s="7"/>
      <c r="AE342" s="7"/>
      <c r="AF342" s="7"/>
      <c r="AG342" s="7"/>
      <c r="AH342" s="7"/>
      <c r="AI342" s="7"/>
    </row>
    <row r="343" spans="1:35" ht="12.75" customHeight="1">
      <c r="A343" s="7"/>
      <c r="B343" s="7"/>
      <c r="C343" s="7"/>
      <c r="D343" s="7"/>
      <c r="E343" s="7"/>
      <c r="F343" s="7"/>
      <c r="G343" s="7"/>
      <c r="H343" s="7"/>
      <c r="I343" s="8"/>
      <c r="J343" s="8"/>
      <c r="P343" s="10"/>
      <c r="Q343" s="10"/>
      <c r="R343" s="10"/>
      <c r="S343" s="10"/>
      <c r="T343" s="10"/>
      <c r="U343" s="10"/>
      <c r="V343" s="10"/>
      <c r="W343" s="10"/>
      <c r="X343" s="10"/>
      <c r="Z343" s="10"/>
      <c r="AA343" s="7"/>
      <c r="AB343" s="7"/>
      <c r="AC343" s="7"/>
      <c r="AD343" s="7"/>
      <c r="AE343" s="7"/>
      <c r="AF343" s="7"/>
      <c r="AG343" s="7"/>
      <c r="AH343" s="7"/>
      <c r="AI343" s="7"/>
    </row>
    <row r="344" spans="1:35" ht="12.75" customHeight="1">
      <c r="A344" s="7"/>
      <c r="B344" s="7"/>
      <c r="C344" s="7"/>
      <c r="D344" s="7"/>
      <c r="E344" s="7"/>
      <c r="F344" s="7"/>
      <c r="G344" s="7"/>
      <c r="H344" s="7"/>
      <c r="I344" s="8"/>
      <c r="J344" s="8"/>
      <c r="P344" s="10"/>
      <c r="Q344" s="10"/>
      <c r="R344" s="10"/>
      <c r="S344" s="10"/>
      <c r="T344" s="10"/>
      <c r="U344" s="10"/>
      <c r="V344" s="10"/>
      <c r="W344" s="10"/>
      <c r="X344" s="10"/>
      <c r="Z344" s="10"/>
      <c r="AA344" s="7"/>
      <c r="AB344" s="7"/>
      <c r="AC344" s="7"/>
      <c r="AD344" s="7"/>
      <c r="AE344" s="7"/>
      <c r="AF344" s="7"/>
      <c r="AG344" s="7"/>
      <c r="AH344" s="7"/>
      <c r="AI344" s="7"/>
    </row>
    <row r="345" spans="1:35" ht="12.75" customHeight="1">
      <c r="A345" s="7"/>
      <c r="B345" s="7"/>
      <c r="C345" s="7"/>
      <c r="D345" s="7"/>
      <c r="E345" s="7"/>
      <c r="F345" s="7"/>
      <c r="G345" s="7"/>
      <c r="H345" s="7"/>
      <c r="I345" s="8"/>
      <c r="J345" s="8"/>
      <c r="P345" s="10"/>
      <c r="Q345" s="10"/>
      <c r="R345" s="10"/>
      <c r="S345" s="10"/>
      <c r="T345" s="10"/>
      <c r="U345" s="10"/>
      <c r="V345" s="10"/>
      <c r="W345" s="10"/>
      <c r="X345" s="10"/>
      <c r="Z345" s="10"/>
      <c r="AA345" s="7"/>
      <c r="AB345" s="7"/>
      <c r="AC345" s="7"/>
      <c r="AD345" s="7"/>
      <c r="AE345" s="7"/>
      <c r="AF345" s="7"/>
      <c r="AG345" s="7"/>
      <c r="AH345" s="7"/>
      <c r="AI345" s="7"/>
    </row>
    <row r="346" spans="1:35" ht="12.75" customHeight="1">
      <c r="A346" s="7"/>
      <c r="B346" s="7"/>
      <c r="C346" s="7"/>
      <c r="D346" s="7"/>
      <c r="E346" s="7"/>
      <c r="F346" s="7"/>
      <c r="G346" s="7"/>
      <c r="H346" s="7"/>
      <c r="I346" s="8"/>
      <c r="J346" s="8"/>
      <c r="P346" s="10"/>
      <c r="Q346" s="10"/>
      <c r="R346" s="10"/>
      <c r="S346" s="10"/>
      <c r="T346" s="10"/>
      <c r="U346" s="10"/>
      <c r="V346" s="10"/>
      <c r="W346" s="10"/>
      <c r="X346" s="10"/>
      <c r="Z346" s="10"/>
      <c r="AA346" s="7"/>
      <c r="AB346" s="7"/>
      <c r="AC346" s="7"/>
      <c r="AD346" s="7"/>
      <c r="AE346" s="7"/>
      <c r="AF346" s="7"/>
      <c r="AG346" s="7"/>
      <c r="AH346" s="7"/>
      <c r="AI346" s="7"/>
    </row>
    <row r="347" spans="1:35" ht="12.75" customHeight="1">
      <c r="A347" s="7"/>
      <c r="B347" s="7"/>
      <c r="C347" s="7"/>
      <c r="D347" s="7"/>
      <c r="E347" s="7"/>
      <c r="F347" s="7"/>
      <c r="G347" s="7"/>
      <c r="H347" s="7"/>
      <c r="I347" s="8"/>
      <c r="J347" s="8"/>
      <c r="P347" s="10"/>
      <c r="Q347" s="10"/>
      <c r="R347" s="10"/>
      <c r="S347" s="10"/>
      <c r="T347" s="10"/>
      <c r="U347" s="10"/>
      <c r="V347" s="10"/>
      <c r="W347" s="10"/>
      <c r="X347" s="10"/>
      <c r="Z347" s="10"/>
      <c r="AA347" s="7"/>
      <c r="AB347" s="7"/>
      <c r="AC347" s="7"/>
      <c r="AD347" s="7"/>
      <c r="AE347" s="7"/>
      <c r="AF347" s="7"/>
      <c r="AG347" s="7"/>
      <c r="AH347" s="7"/>
      <c r="AI347" s="7"/>
    </row>
    <row r="348" spans="1:35" ht="12.75" customHeight="1">
      <c r="A348" s="7"/>
      <c r="B348" s="7"/>
      <c r="C348" s="7"/>
      <c r="D348" s="7"/>
      <c r="E348" s="7"/>
      <c r="F348" s="7"/>
      <c r="G348" s="7"/>
      <c r="H348" s="7"/>
      <c r="I348" s="8"/>
      <c r="J348" s="8"/>
      <c r="P348" s="10"/>
      <c r="Q348" s="10"/>
      <c r="R348" s="10"/>
      <c r="S348" s="10"/>
      <c r="T348" s="10"/>
      <c r="U348" s="10"/>
      <c r="V348" s="10"/>
      <c r="W348" s="10"/>
      <c r="X348" s="10"/>
      <c r="Z348" s="10"/>
      <c r="AA348" s="7"/>
      <c r="AB348" s="7"/>
      <c r="AC348" s="7"/>
      <c r="AD348" s="7"/>
      <c r="AE348" s="7"/>
      <c r="AF348" s="7"/>
      <c r="AG348" s="7"/>
      <c r="AH348" s="7"/>
      <c r="AI348" s="7"/>
    </row>
    <row r="349" spans="1:35" ht="12.75" customHeight="1">
      <c r="A349" s="7"/>
      <c r="B349" s="7"/>
      <c r="C349" s="7"/>
      <c r="D349" s="7"/>
      <c r="E349" s="7"/>
      <c r="F349" s="7"/>
      <c r="G349" s="7"/>
      <c r="H349" s="7"/>
      <c r="I349" s="8"/>
      <c r="J349" s="8"/>
      <c r="P349" s="10"/>
      <c r="Q349" s="10"/>
      <c r="R349" s="10"/>
      <c r="S349" s="10"/>
      <c r="T349" s="10"/>
      <c r="U349" s="10"/>
      <c r="V349" s="10"/>
      <c r="W349" s="10"/>
      <c r="X349" s="10"/>
      <c r="Z349" s="10"/>
      <c r="AA349" s="7"/>
      <c r="AB349" s="7"/>
      <c r="AC349" s="7"/>
      <c r="AD349" s="7"/>
      <c r="AE349" s="7"/>
      <c r="AF349" s="7"/>
      <c r="AG349" s="7"/>
      <c r="AH349" s="7"/>
      <c r="AI349" s="7"/>
    </row>
    <row r="350" spans="1:35" ht="12.75" customHeight="1">
      <c r="A350" s="7"/>
      <c r="B350" s="7"/>
      <c r="C350" s="7"/>
      <c r="D350" s="7"/>
      <c r="E350" s="7"/>
      <c r="F350" s="7"/>
      <c r="G350" s="7"/>
      <c r="H350" s="7"/>
      <c r="I350" s="8"/>
      <c r="J350" s="8"/>
      <c r="P350" s="10"/>
      <c r="Q350" s="10"/>
      <c r="R350" s="10"/>
      <c r="S350" s="10"/>
      <c r="T350" s="10"/>
      <c r="U350" s="10"/>
      <c r="V350" s="10"/>
      <c r="W350" s="10"/>
      <c r="X350" s="10"/>
      <c r="Z350" s="10"/>
      <c r="AA350" s="7"/>
      <c r="AB350" s="7"/>
      <c r="AC350" s="7"/>
      <c r="AD350" s="7"/>
      <c r="AE350" s="7"/>
      <c r="AF350" s="7"/>
      <c r="AG350" s="7"/>
      <c r="AH350" s="7"/>
      <c r="AI350" s="7"/>
    </row>
    <row r="351" spans="1:35" ht="12.75" customHeight="1">
      <c r="A351" s="7"/>
      <c r="B351" s="7"/>
      <c r="C351" s="7"/>
      <c r="D351" s="7"/>
      <c r="E351" s="7"/>
      <c r="F351" s="7"/>
      <c r="G351" s="7"/>
      <c r="H351" s="7"/>
      <c r="I351" s="8"/>
      <c r="J351" s="8"/>
      <c r="P351" s="10"/>
      <c r="Q351" s="10"/>
      <c r="R351" s="10"/>
      <c r="S351" s="10"/>
      <c r="T351" s="10"/>
      <c r="U351" s="10"/>
      <c r="V351" s="10"/>
      <c r="W351" s="10"/>
      <c r="X351" s="10"/>
      <c r="Z351" s="10"/>
      <c r="AA351" s="7"/>
      <c r="AB351" s="7"/>
      <c r="AC351" s="7"/>
      <c r="AD351" s="7"/>
      <c r="AE351" s="7"/>
      <c r="AF351" s="7"/>
      <c r="AG351" s="7"/>
      <c r="AH351" s="7"/>
      <c r="AI351" s="7"/>
    </row>
    <row r="352" spans="1:35" ht="12.75" customHeight="1">
      <c r="A352" s="7"/>
      <c r="B352" s="7"/>
      <c r="C352" s="7"/>
      <c r="D352" s="7"/>
      <c r="E352" s="7"/>
      <c r="F352" s="7"/>
      <c r="G352" s="7"/>
      <c r="H352" s="7"/>
      <c r="I352" s="8"/>
      <c r="J352" s="8"/>
      <c r="P352" s="10"/>
      <c r="Q352" s="10"/>
      <c r="R352" s="10"/>
      <c r="S352" s="10"/>
      <c r="T352" s="10"/>
      <c r="U352" s="10"/>
      <c r="V352" s="10"/>
      <c r="W352" s="10"/>
      <c r="X352" s="10"/>
      <c r="Z352" s="10"/>
      <c r="AA352" s="7"/>
      <c r="AB352" s="7"/>
      <c r="AC352" s="7"/>
      <c r="AD352" s="7"/>
      <c r="AE352" s="7"/>
      <c r="AF352" s="7"/>
      <c r="AG352" s="7"/>
      <c r="AH352" s="7"/>
      <c r="AI352" s="7"/>
    </row>
    <row r="353" spans="1:35" ht="12.75" customHeight="1">
      <c r="A353" s="7"/>
      <c r="B353" s="7"/>
      <c r="C353" s="7"/>
      <c r="D353" s="7"/>
      <c r="E353" s="7"/>
      <c r="F353" s="7"/>
      <c r="G353" s="7"/>
      <c r="H353" s="7"/>
      <c r="I353" s="8"/>
      <c r="J353" s="8"/>
      <c r="P353" s="10"/>
      <c r="Q353" s="10"/>
      <c r="R353" s="10"/>
      <c r="S353" s="10"/>
      <c r="T353" s="10"/>
      <c r="U353" s="10"/>
      <c r="V353" s="10"/>
      <c r="W353" s="10"/>
      <c r="X353" s="10"/>
      <c r="Z353" s="10"/>
      <c r="AA353" s="7"/>
      <c r="AB353" s="7"/>
      <c r="AC353" s="7"/>
      <c r="AD353" s="7"/>
      <c r="AE353" s="7"/>
      <c r="AF353" s="7"/>
      <c r="AG353" s="7"/>
      <c r="AH353" s="7"/>
      <c r="AI353" s="7"/>
    </row>
    <row r="354" spans="1:35" ht="12.75" customHeight="1">
      <c r="A354" s="7"/>
      <c r="B354" s="7"/>
      <c r="C354" s="7"/>
      <c r="D354" s="7"/>
      <c r="E354" s="7"/>
      <c r="F354" s="7"/>
      <c r="G354" s="7"/>
      <c r="H354" s="7"/>
      <c r="I354" s="8"/>
      <c r="J354" s="8"/>
      <c r="P354" s="10"/>
      <c r="Q354" s="10"/>
      <c r="R354" s="10"/>
      <c r="S354" s="10"/>
      <c r="T354" s="10"/>
      <c r="U354" s="10"/>
      <c r="V354" s="10"/>
      <c r="W354" s="10"/>
      <c r="X354" s="10"/>
      <c r="Z354" s="10"/>
      <c r="AA354" s="7"/>
      <c r="AB354" s="7"/>
      <c r="AC354" s="7"/>
      <c r="AD354" s="7"/>
      <c r="AE354" s="7"/>
      <c r="AF354" s="7"/>
      <c r="AG354" s="7"/>
      <c r="AH354" s="7"/>
      <c r="AI354" s="7"/>
    </row>
    <row r="355" spans="1:35" ht="12.75" customHeight="1">
      <c r="A355" s="7"/>
      <c r="B355" s="7"/>
      <c r="C355" s="7"/>
      <c r="D355" s="7"/>
      <c r="E355" s="7"/>
      <c r="F355" s="7"/>
      <c r="G355" s="7"/>
      <c r="H355" s="7"/>
      <c r="I355" s="8"/>
      <c r="J355" s="8"/>
      <c r="P355" s="10"/>
      <c r="Q355" s="10"/>
      <c r="R355" s="10"/>
      <c r="S355" s="10"/>
      <c r="T355" s="10"/>
      <c r="U355" s="10"/>
      <c r="V355" s="10"/>
      <c r="W355" s="10"/>
      <c r="X355" s="10"/>
      <c r="Z355" s="10"/>
      <c r="AA355" s="7"/>
      <c r="AB355" s="7"/>
      <c r="AC355" s="7"/>
      <c r="AD355" s="7"/>
      <c r="AE355" s="7"/>
      <c r="AF355" s="7"/>
      <c r="AG355" s="7"/>
      <c r="AH355" s="7"/>
      <c r="AI355" s="7"/>
    </row>
    <row r="356" spans="1:35" ht="12.75" customHeight="1">
      <c r="A356" s="7"/>
      <c r="B356" s="7"/>
      <c r="C356" s="7"/>
      <c r="D356" s="7"/>
      <c r="E356" s="7"/>
      <c r="F356" s="7"/>
      <c r="G356" s="7"/>
      <c r="H356" s="7"/>
      <c r="I356" s="8"/>
      <c r="J356" s="8"/>
      <c r="P356" s="10"/>
      <c r="Q356" s="10"/>
      <c r="R356" s="10"/>
      <c r="S356" s="10"/>
      <c r="T356" s="10"/>
      <c r="U356" s="10"/>
      <c r="V356" s="10"/>
      <c r="W356" s="10"/>
      <c r="X356" s="10"/>
      <c r="Z356" s="10"/>
      <c r="AA356" s="7"/>
      <c r="AB356" s="7"/>
      <c r="AC356" s="7"/>
      <c r="AD356" s="7"/>
      <c r="AE356" s="7"/>
      <c r="AF356" s="7"/>
      <c r="AG356" s="7"/>
      <c r="AH356" s="7"/>
      <c r="AI356" s="7"/>
    </row>
    <row r="357" spans="1:35" ht="12.75" customHeight="1">
      <c r="A357" s="7"/>
      <c r="B357" s="7"/>
      <c r="C357" s="7"/>
      <c r="D357" s="7"/>
      <c r="E357" s="7"/>
      <c r="F357" s="7"/>
      <c r="G357" s="7"/>
      <c r="H357" s="7"/>
      <c r="I357" s="8"/>
      <c r="J357" s="8"/>
      <c r="P357" s="10"/>
      <c r="Q357" s="10"/>
      <c r="R357" s="10"/>
      <c r="S357" s="10"/>
      <c r="T357" s="10"/>
      <c r="U357" s="10"/>
      <c r="V357" s="10"/>
      <c r="W357" s="10"/>
      <c r="X357" s="10"/>
      <c r="Z357" s="10"/>
      <c r="AA357" s="7"/>
      <c r="AB357" s="7"/>
      <c r="AC357" s="7"/>
      <c r="AD357" s="7"/>
      <c r="AE357" s="7"/>
      <c r="AF357" s="7"/>
      <c r="AG357" s="7"/>
      <c r="AH357" s="7"/>
      <c r="AI357" s="7"/>
    </row>
    <row r="358" spans="1:35" ht="12.75" customHeight="1">
      <c r="A358" s="7"/>
      <c r="B358" s="7"/>
      <c r="C358" s="7"/>
      <c r="D358" s="7"/>
      <c r="E358" s="7"/>
      <c r="F358" s="7"/>
      <c r="G358" s="7"/>
      <c r="H358" s="7"/>
      <c r="I358" s="8"/>
      <c r="J358" s="8"/>
      <c r="P358" s="10"/>
      <c r="Q358" s="10"/>
      <c r="R358" s="10"/>
      <c r="S358" s="10"/>
      <c r="T358" s="10"/>
      <c r="U358" s="10"/>
      <c r="V358" s="10"/>
      <c r="W358" s="10"/>
      <c r="X358" s="10"/>
      <c r="Z358" s="10"/>
      <c r="AA358" s="7"/>
      <c r="AB358" s="7"/>
      <c r="AC358" s="7"/>
      <c r="AD358" s="7"/>
      <c r="AE358" s="7"/>
      <c r="AF358" s="7"/>
      <c r="AG358" s="7"/>
      <c r="AH358" s="7"/>
      <c r="AI358" s="7"/>
    </row>
    <row r="359" spans="1:35" ht="12.75" customHeight="1">
      <c r="A359" s="7"/>
      <c r="B359" s="7"/>
      <c r="C359" s="7"/>
      <c r="D359" s="7"/>
      <c r="E359" s="7"/>
      <c r="F359" s="7"/>
      <c r="G359" s="7"/>
      <c r="H359" s="7"/>
      <c r="I359" s="8"/>
      <c r="J359" s="8"/>
      <c r="P359" s="10"/>
      <c r="Q359" s="10"/>
      <c r="R359" s="10"/>
      <c r="S359" s="10"/>
      <c r="T359" s="10"/>
      <c r="U359" s="10"/>
      <c r="V359" s="10"/>
      <c r="W359" s="10"/>
      <c r="X359" s="10"/>
      <c r="Z359" s="10"/>
      <c r="AA359" s="7"/>
      <c r="AB359" s="7"/>
      <c r="AC359" s="7"/>
      <c r="AD359" s="7"/>
      <c r="AE359" s="7"/>
      <c r="AF359" s="7"/>
      <c r="AG359" s="7"/>
      <c r="AH359" s="7"/>
      <c r="AI359" s="7"/>
    </row>
    <row r="360" spans="1:35" ht="12.75" customHeight="1">
      <c r="A360" s="7"/>
      <c r="B360" s="7"/>
      <c r="C360" s="7"/>
      <c r="D360" s="7"/>
      <c r="E360" s="7"/>
      <c r="F360" s="7"/>
      <c r="G360" s="7"/>
      <c r="H360" s="7"/>
      <c r="I360" s="8"/>
      <c r="J360" s="8"/>
      <c r="P360" s="10"/>
      <c r="Q360" s="10"/>
      <c r="R360" s="10"/>
      <c r="S360" s="10"/>
      <c r="T360" s="10"/>
      <c r="U360" s="10"/>
      <c r="V360" s="10"/>
      <c r="W360" s="10"/>
      <c r="X360" s="10"/>
      <c r="Z360" s="10"/>
      <c r="AA360" s="7"/>
      <c r="AB360" s="7"/>
      <c r="AC360" s="7"/>
      <c r="AD360" s="7"/>
      <c r="AE360" s="7"/>
      <c r="AF360" s="7"/>
      <c r="AG360" s="7"/>
      <c r="AH360" s="7"/>
      <c r="AI360" s="7"/>
    </row>
    <row r="361" spans="1:35" ht="12.75" customHeight="1">
      <c r="A361" s="7"/>
      <c r="B361" s="7"/>
      <c r="C361" s="7"/>
      <c r="D361" s="7"/>
      <c r="E361" s="7"/>
      <c r="F361" s="7"/>
      <c r="G361" s="7"/>
      <c r="H361" s="7"/>
      <c r="I361" s="8"/>
      <c r="J361" s="8"/>
      <c r="P361" s="10"/>
      <c r="Q361" s="10"/>
      <c r="R361" s="10"/>
      <c r="S361" s="10"/>
      <c r="T361" s="10"/>
      <c r="U361" s="10"/>
      <c r="V361" s="10"/>
      <c r="W361" s="10"/>
      <c r="X361" s="10"/>
      <c r="Z361" s="10"/>
      <c r="AA361" s="7"/>
      <c r="AB361" s="7"/>
      <c r="AC361" s="7"/>
      <c r="AD361" s="7"/>
      <c r="AE361" s="7"/>
      <c r="AF361" s="7"/>
      <c r="AG361" s="7"/>
      <c r="AH361" s="7"/>
      <c r="AI361" s="7"/>
    </row>
    <row r="362" spans="1:35" ht="12.75" customHeight="1">
      <c r="A362" s="7"/>
      <c r="B362" s="7"/>
      <c r="C362" s="7"/>
      <c r="D362" s="7"/>
      <c r="E362" s="7"/>
      <c r="F362" s="7"/>
      <c r="G362" s="7"/>
      <c r="H362" s="7"/>
      <c r="I362" s="8"/>
      <c r="J362" s="8"/>
      <c r="P362" s="10"/>
      <c r="Q362" s="10"/>
      <c r="R362" s="10"/>
      <c r="S362" s="10"/>
      <c r="T362" s="10"/>
      <c r="U362" s="10"/>
      <c r="V362" s="10"/>
      <c r="W362" s="10"/>
      <c r="X362" s="10"/>
      <c r="Z362" s="10"/>
      <c r="AA362" s="7"/>
      <c r="AB362" s="7"/>
      <c r="AC362" s="7"/>
      <c r="AD362" s="7"/>
      <c r="AE362" s="7"/>
      <c r="AF362" s="7"/>
      <c r="AG362" s="7"/>
      <c r="AH362" s="7"/>
      <c r="AI362" s="7"/>
    </row>
    <row r="363" spans="1:35" ht="12.75" customHeight="1">
      <c r="A363" s="7"/>
      <c r="B363" s="7"/>
      <c r="C363" s="7"/>
      <c r="D363" s="7"/>
      <c r="E363" s="7"/>
      <c r="F363" s="7"/>
      <c r="G363" s="7"/>
      <c r="H363" s="7"/>
      <c r="I363" s="8"/>
      <c r="J363" s="8"/>
      <c r="P363" s="10"/>
      <c r="Q363" s="10"/>
      <c r="R363" s="10"/>
      <c r="S363" s="10"/>
      <c r="T363" s="10"/>
      <c r="U363" s="10"/>
      <c r="V363" s="10"/>
      <c r="W363" s="10"/>
      <c r="X363" s="10"/>
      <c r="Z363" s="10"/>
      <c r="AA363" s="7"/>
      <c r="AB363" s="7"/>
      <c r="AC363" s="7"/>
      <c r="AD363" s="7"/>
      <c r="AE363" s="7"/>
      <c r="AF363" s="7"/>
      <c r="AG363" s="7"/>
      <c r="AH363" s="7"/>
      <c r="AI363" s="7"/>
    </row>
    <row r="364" spans="1:35" ht="12.75" customHeight="1">
      <c r="A364" s="7"/>
      <c r="B364" s="7"/>
      <c r="C364" s="7"/>
      <c r="D364" s="7"/>
      <c r="E364" s="7"/>
      <c r="F364" s="7"/>
      <c r="G364" s="7"/>
      <c r="H364" s="7"/>
      <c r="I364" s="8"/>
      <c r="J364" s="8"/>
      <c r="P364" s="10"/>
      <c r="Q364" s="10"/>
      <c r="R364" s="10"/>
      <c r="S364" s="10"/>
      <c r="T364" s="10"/>
      <c r="U364" s="10"/>
      <c r="V364" s="10"/>
      <c r="W364" s="10"/>
      <c r="X364" s="10"/>
      <c r="Z364" s="10"/>
      <c r="AA364" s="7"/>
      <c r="AB364" s="7"/>
      <c r="AC364" s="7"/>
      <c r="AD364" s="7"/>
      <c r="AE364" s="7"/>
      <c r="AF364" s="7"/>
      <c r="AG364" s="7"/>
      <c r="AH364" s="7"/>
      <c r="AI364" s="7"/>
    </row>
    <row r="365" spans="1:35" ht="12.75" customHeight="1">
      <c r="A365" s="7"/>
      <c r="B365" s="7"/>
      <c r="C365" s="7"/>
      <c r="D365" s="7"/>
      <c r="E365" s="7"/>
      <c r="F365" s="7"/>
      <c r="G365" s="7"/>
      <c r="H365" s="7"/>
      <c r="I365" s="8"/>
      <c r="J365" s="8"/>
      <c r="P365" s="10"/>
      <c r="Q365" s="10"/>
      <c r="R365" s="10"/>
      <c r="S365" s="10"/>
      <c r="T365" s="10"/>
      <c r="U365" s="10"/>
      <c r="V365" s="10"/>
      <c r="W365" s="10"/>
      <c r="X365" s="10"/>
      <c r="Z365" s="10"/>
      <c r="AA365" s="7"/>
      <c r="AB365" s="7"/>
      <c r="AC365" s="7"/>
      <c r="AD365" s="7"/>
      <c r="AE365" s="7"/>
      <c r="AF365" s="7"/>
      <c r="AG365" s="7"/>
      <c r="AH365" s="7"/>
      <c r="AI365" s="7"/>
    </row>
    <row r="366" spans="1:35" ht="12.75" customHeight="1">
      <c r="A366" s="7"/>
      <c r="B366" s="7"/>
      <c r="C366" s="7"/>
      <c r="D366" s="7"/>
      <c r="E366" s="7"/>
      <c r="F366" s="7"/>
      <c r="G366" s="7"/>
      <c r="H366" s="7"/>
      <c r="I366" s="8"/>
      <c r="J366" s="8"/>
      <c r="P366" s="10"/>
      <c r="Q366" s="10"/>
      <c r="R366" s="10"/>
      <c r="S366" s="10"/>
      <c r="T366" s="10"/>
      <c r="U366" s="10"/>
      <c r="V366" s="10"/>
      <c r="W366" s="10"/>
      <c r="X366" s="10"/>
      <c r="Z366" s="10"/>
      <c r="AA366" s="7"/>
      <c r="AB366" s="7"/>
      <c r="AC366" s="7"/>
      <c r="AD366" s="7"/>
      <c r="AE366" s="7"/>
      <c r="AF366" s="7"/>
      <c r="AG366" s="7"/>
      <c r="AH366" s="7"/>
      <c r="AI366" s="7"/>
    </row>
    <row r="367" spans="1:35" ht="12.75" customHeight="1">
      <c r="A367" s="7"/>
      <c r="B367" s="7"/>
      <c r="C367" s="7"/>
      <c r="D367" s="7"/>
      <c r="E367" s="7"/>
      <c r="F367" s="7"/>
      <c r="G367" s="7"/>
      <c r="H367" s="7"/>
      <c r="I367" s="8"/>
      <c r="J367" s="8"/>
      <c r="P367" s="10"/>
      <c r="Q367" s="10"/>
      <c r="R367" s="10"/>
      <c r="S367" s="10"/>
      <c r="T367" s="10"/>
      <c r="U367" s="10"/>
      <c r="V367" s="10"/>
      <c r="W367" s="10"/>
      <c r="X367" s="10"/>
      <c r="Z367" s="10"/>
      <c r="AA367" s="7"/>
      <c r="AB367" s="7"/>
      <c r="AC367" s="7"/>
      <c r="AD367" s="7"/>
      <c r="AE367" s="7"/>
      <c r="AF367" s="7"/>
      <c r="AG367" s="7"/>
      <c r="AH367" s="7"/>
      <c r="AI367" s="7"/>
    </row>
    <row r="368" spans="1:35" ht="12.75" customHeight="1">
      <c r="A368" s="7"/>
      <c r="B368" s="7"/>
      <c r="C368" s="7"/>
      <c r="D368" s="7"/>
      <c r="E368" s="7"/>
      <c r="F368" s="7"/>
      <c r="G368" s="7"/>
      <c r="H368" s="7"/>
      <c r="I368" s="8"/>
      <c r="J368" s="8"/>
      <c r="P368" s="10"/>
      <c r="Q368" s="10"/>
      <c r="R368" s="10"/>
      <c r="S368" s="10"/>
      <c r="T368" s="10"/>
      <c r="U368" s="10"/>
      <c r="V368" s="10"/>
      <c r="W368" s="10"/>
      <c r="X368" s="10"/>
      <c r="Z368" s="10"/>
      <c r="AA368" s="7"/>
      <c r="AB368" s="7"/>
      <c r="AC368" s="7"/>
      <c r="AD368" s="7"/>
      <c r="AE368" s="7"/>
      <c r="AF368" s="7"/>
      <c r="AG368" s="7"/>
      <c r="AH368" s="7"/>
      <c r="AI368" s="7"/>
    </row>
    <row r="369" spans="1:35" ht="12.75" customHeight="1">
      <c r="A369" s="7"/>
      <c r="B369" s="7"/>
      <c r="C369" s="7"/>
      <c r="D369" s="7"/>
      <c r="E369" s="7"/>
      <c r="F369" s="7"/>
      <c r="G369" s="7"/>
      <c r="H369" s="7"/>
      <c r="I369" s="8"/>
      <c r="J369" s="8"/>
      <c r="P369" s="10"/>
      <c r="Q369" s="10"/>
      <c r="R369" s="10"/>
      <c r="S369" s="10"/>
      <c r="T369" s="10"/>
      <c r="U369" s="10"/>
      <c r="V369" s="10"/>
      <c r="W369" s="10"/>
      <c r="X369" s="10"/>
      <c r="Z369" s="10"/>
      <c r="AA369" s="7"/>
      <c r="AB369" s="7"/>
      <c r="AC369" s="7"/>
      <c r="AD369" s="7"/>
      <c r="AE369" s="7"/>
      <c r="AF369" s="7"/>
      <c r="AG369" s="7"/>
      <c r="AH369" s="7"/>
      <c r="AI369" s="7"/>
    </row>
    <row r="370" spans="1:35" ht="12.75" customHeight="1">
      <c r="A370" s="7"/>
      <c r="B370" s="7"/>
      <c r="C370" s="7"/>
      <c r="D370" s="7"/>
      <c r="E370" s="7"/>
      <c r="F370" s="7"/>
      <c r="G370" s="7"/>
      <c r="H370" s="7"/>
      <c r="I370" s="8"/>
      <c r="J370" s="8"/>
      <c r="P370" s="10"/>
      <c r="Q370" s="10"/>
      <c r="R370" s="10"/>
      <c r="S370" s="10"/>
      <c r="T370" s="10"/>
      <c r="U370" s="10"/>
      <c r="V370" s="10"/>
      <c r="W370" s="10"/>
      <c r="X370" s="10"/>
      <c r="Z370" s="10"/>
      <c r="AA370" s="7"/>
      <c r="AB370" s="7"/>
      <c r="AC370" s="7"/>
      <c r="AD370" s="7"/>
      <c r="AE370" s="7"/>
      <c r="AF370" s="7"/>
      <c r="AG370" s="7"/>
      <c r="AH370" s="7"/>
      <c r="AI370" s="7"/>
    </row>
    <row r="371" spans="1:35" ht="12.75" customHeight="1">
      <c r="A371" s="7"/>
      <c r="B371" s="7"/>
      <c r="C371" s="7"/>
      <c r="D371" s="7"/>
      <c r="E371" s="7"/>
      <c r="F371" s="7"/>
      <c r="G371" s="7"/>
      <c r="H371" s="7"/>
      <c r="I371" s="8"/>
      <c r="J371" s="8"/>
      <c r="P371" s="10"/>
      <c r="Q371" s="10"/>
      <c r="R371" s="10"/>
      <c r="S371" s="10"/>
      <c r="T371" s="10"/>
      <c r="U371" s="10"/>
      <c r="V371" s="10"/>
      <c r="W371" s="10"/>
      <c r="X371" s="10"/>
      <c r="Z371" s="10"/>
      <c r="AA371" s="7"/>
      <c r="AB371" s="7"/>
      <c r="AC371" s="7"/>
      <c r="AD371" s="7"/>
      <c r="AE371" s="7"/>
      <c r="AF371" s="7"/>
      <c r="AG371" s="7"/>
      <c r="AH371" s="7"/>
      <c r="AI371" s="7"/>
    </row>
    <row r="372" spans="1:35" ht="12.75" customHeight="1">
      <c r="A372" s="7"/>
      <c r="B372" s="7"/>
      <c r="C372" s="7"/>
      <c r="D372" s="7"/>
      <c r="E372" s="7"/>
      <c r="F372" s="7"/>
      <c r="G372" s="7"/>
      <c r="H372" s="7"/>
      <c r="I372" s="8"/>
      <c r="J372" s="8"/>
      <c r="P372" s="10"/>
      <c r="Q372" s="10"/>
      <c r="R372" s="10"/>
      <c r="S372" s="10"/>
      <c r="T372" s="10"/>
      <c r="U372" s="10"/>
      <c r="V372" s="10"/>
      <c r="W372" s="10"/>
      <c r="X372" s="10"/>
      <c r="Z372" s="10"/>
      <c r="AA372" s="7"/>
      <c r="AB372" s="7"/>
      <c r="AC372" s="7"/>
      <c r="AD372" s="7"/>
      <c r="AE372" s="7"/>
      <c r="AF372" s="7"/>
      <c r="AG372" s="7"/>
      <c r="AH372" s="7"/>
      <c r="AI372" s="7"/>
    </row>
    <row r="373" spans="1:35" ht="12.75" customHeight="1">
      <c r="A373" s="7"/>
      <c r="B373" s="7"/>
      <c r="C373" s="7"/>
      <c r="D373" s="7"/>
      <c r="E373" s="7"/>
      <c r="F373" s="7"/>
      <c r="G373" s="7"/>
      <c r="H373" s="7"/>
      <c r="I373" s="8"/>
      <c r="J373" s="8"/>
      <c r="P373" s="10"/>
      <c r="Q373" s="10"/>
      <c r="R373" s="10"/>
      <c r="S373" s="10"/>
      <c r="T373" s="10"/>
      <c r="U373" s="10"/>
      <c r="V373" s="10"/>
      <c r="W373" s="10"/>
      <c r="X373" s="10"/>
      <c r="Z373" s="10"/>
      <c r="AA373" s="7"/>
      <c r="AB373" s="7"/>
      <c r="AC373" s="7"/>
      <c r="AD373" s="7"/>
      <c r="AE373" s="7"/>
      <c r="AF373" s="7"/>
      <c r="AG373" s="7"/>
      <c r="AH373" s="7"/>
      <c r="AI373" s="7"/>
    </row>
    <row r="374" spans="1:35" ht="12.75" customHeight="1">
      <c r="A374" s="7"/>
      <c r="B374" s="7"/>
      <c r="C374" s="7"/>
      <c r="D374" s="7"/>
      <c r="E374" s="7"/>
      <c r="F374" s="7"/>
      <c r="G374" s="7"/>
      <c r="H374" s="7"/>
      <c r="I374" s="8"/>
      <c r="J374" s="8"/>
      <c r="P374" s="10"/>
      <c r="Q374" s="10"/>
      <c r="R374" s="10"/>
      <c r="S374" s="10"/>
      <c r="T374" s="10"/>
      <c r="U374" s="10"/>
      <c r="V374" s="10"/>
      <c r="W374" s="10"/>
      <c r="X374" s="10"/>
      <c r="Z374" s="10"/>
      <c r="AA374" s="7"/>
      <c r="AB374" s="7"/>
      <c r="AC374" s="7"/>
      <c r="AD374" s="7"/>
      <c r="AE374" s="7"/>
      <c r="AF374" s="7"/>
      <c r="AG374" s="7"/>
      <c r="AH374" s="7"/>
      <c r="AI374" s="7"/>
    </row>
    <row r="375" spans="1:35" ht="12.75" customHeight="1">
      <c r="A375" s="7"/>
      <c r="B375" s="7"/>
      <c r="C375" s="7"/>
      <c r="D375" s="7"/>
      <c r="E375" s="7"/>
      <c r="F375" s="7"/>
      <c r="G375" s="7"/>
      <c r="H375" s="7"/>
      <c r="I375" s="8"/>
      <c r="J375" s="8"/>
      <c r="P375" s="10"/>
      <c r="Q375" s="10"/>
      <c r="R375" s="10"/>
      <c r="S375" s="10"/>
      <c r="T375" s="10"/>
      <c r="U375" s="10"/>
      <c r="V375" s="10"/>
      <c r="W375" s="10"/>
      <c r="X375" s="10"/>
      <c r="Z375" s="10"/>
      <c r="AA375" s="7"/>
      <c r="AB375" s="7"/>
      <c r="AC375" s="7"/>
      <c r="AD375" s="7"/>
      <c r="AE375" s="7"/>
      <c r="AF375" s="7"/>
      <c r="AG375" s="7"/>
      <c r="AH375" s="7"/>
      <c r="AI375" s="7"/>
    </row>
    <row r="376" spans="1:35" ht="12.75" customHeight="1">
      <c r="A376" s="7"/>
      <c r="B376" s="7"/>
      <c r="C376" s="7"/>
      <c r="D376" s="7"/>
      <c r="E376" s="7"/>
      <c r="F376" s="7"/>
      <c r="G376" s="7"/>
      <c r="H376" s="7"/>
      <c r="I376" s="8"/>
      <c r="J376" s="8"/>
      <c r="P376" s="10"/>
      <c r="Q376" s="10"/>
      <c r="R376" s="10"/>
      <c r="S376" s="10"/>
      <c r="T376" s="10"/>
      <c r="U376" s="10"/>
      <c r="V376" s="10"/>
      <c r="W376" s="10"/>
      <c r="X376" s="10"/>
      <c r="Z376" s="10"/>
      <c r="AA376" s="7"/>
      <c r="AB376" s="7"/>
      <c r="AC376" s="7"/>
      <c r="AD376" s="7"/>
      <c r="AE376" s="7"/>
      <c r="AF376" s="7"/>
      <c r="AG376" s="7"/>
      <c r="AH376" s="7"/>
      <c r="AI376" s="7"/>
    </row>
    <row r="377" spans="1:35" ht="12.75" customHeight="1">
      <c r="A377" s="7"/>
      <c r="B377" s="7"/>
      <c r="C377" s="7"/>
      <c r="D377" s="7"/>
      <c r="E377" s="7"/>
      <c r="F377" s="7"/>
      <c r="G377" s="7"/>
      <c r="H377" s="7"/>
      <c r="I377" s="8"/>
      <c r="J377" s="8"/>
      <c r="P377" s="10"/>
      <c r="Q377" s="10"/>
      <c r="R377" s="10"/>
      <c r="S377" s="10"/>
      <c r="T377" s="10"/>
      <c r="U377" s="10"/>
      <c r="V377" s="10"/>
      <c r="W377" s="10"/>
      <c r="X377" s="10"/>
      <c r="Z377" s="10"/>
      <c r="AA377" s="7"/>
      <c r="AB377" s="7"/>
      <c r="AC377" s="7"/>
      <c r="AD377" s="7"/>
      <c r="AE377" s="7"/>
      <c r="AF377" s="7"/>
      <c r="AG377" s="7"/>
      <c r="AH377" s="7"/>
      <c r="AI377" s="7"/>
    </row>
    <row r="378" spans="1:35" ht="12.75" customHeight="1">
      <c r="A378" s="7"/>
      <c r="B378" s="7"/>
      <c r="C378" s="7"/>
      <c r="D378" s="7"/>
      <c r="E378" s="7"/>
      <c r="F378" s="7"/>
      <c r="G378" s="7"/>
      <c r="H378" s="7"/>
      <c r="I378" s="8"/>
      <c r="J378" s="8"/>
      <c r="P378" s="10"/>
      <c r="Q378" s="10"/>
      <c r="R378" s="10"/>
      <c r="S378" s="10"/>
      <c r="T378" s="10"/>
      <c r="U378" s="10"/>
      <c r="V378" s="10"/>
      <c r="W378" s="10"/>
      <c r="X378" s="10"/>
      <c r="Z378" s="10"/>
      <c r="AA378" s="7"/>
      <c r="AB378" s="7"/>
      <c r="AC378" s="7"/>
      <c r="AD378" s="7"/>
      <c r="AE378" s="7"/>
      <c r="AF378" s="7"/>
      <c r="AG378" s="7"/>
      <c r="AH378" s="7"/>
      <c r="AI378" s="7"/>
    </row>
    <row r="379" spans="1:35" ht="12.75" customHeight="1">
      <c r="A379" s="7"/>
      <c r="B379" s="7"/>
      <c r="C379" s="7"/>
      <c r="D379" s="7"/>
      <c r="E379" s="7"/>
      <c r="F379" s="7"/>
      <c r="G379" s="7"/>
      <c r="H379" s="7"/>
      <c r="I379" s="8"/>
      <c r="J379" s="8"/>
      <c r="P379" s="10"/>
      <c r="Q379" s="10"/>
      <c r="R379" s="10"/>
      <c r="S379" s="10"/>
      <c r="T379" s="10"/>
      <c r="U379" s="10"/>
      <c r="V379" s="10"/>
      <c r="W379" s="10"/>
      <c r="X379" s="10"/>
      <c r="Z379" s="10"/>
      <c r="AA379" s="7"/>
      <c r="AB379" s="7"/>
      <c r="AC379" s="7"/>
      <c r="AD379" s="7"/>
      <c r="AE379" s="7"/>
      <c r="AF379" s="7"/>
      <c r="AG379" s="7"/>
      <c r="AH379" s="7"/>
      <c r="AI379" s="7"/>
    </row>
    <row r="380" spans="1:35" ht="12.75" customHeight="1">
      <c r="A380" s="7"/>
      <c r="B380" s="7"/>
      <c r="C380" s="7"/>
      <c r="D380" s="7"/>
      <c r="E380" s="7"/>
      <c r="F380" s="7"/>
      <c r="G380" s="7"/>
      <c r="H380" s="7"/>
      <c r="I380" s="8"/>
      <c r="J380" s="8"/>
      <c r="P380" s="10"/>
      <c r="Q380" s="10"/>
      <c r="R380" s="10"/>
      <c r="S380" s="10"/>
      <c r="T380" s="10"/>
      <c r="U380" s="10"/>
      <c r="V380" s="10"/>
      <c r="W380" s="10"/>
      <c r="X380" s="10"/>
      <c r="Z380" s="10"/>
      <c r="AA380" s="7"/>
      <c r="AB380" s="7"/>
      <c r="AC380" s="7"/>
      <c r="AD380" s="7"/>
      <c r="AE380" s="7"/>
      <c r="AF380" s="7"/>
      <c r="AG380" s="7"/>
      <c r="AH380" s="7"/>
      <c r="AI380" s="7"/>
    </row>
    <row r="381" spans="1:35" ht="12.75" customHeight="1">
      <c r="A381" s="7"/>
      <c r="B381" s="7"/>
      <c r="C381" s="7"/>
      <c r="D381" s="7"/>
      <c r="E381" s="7"/>
      <c r="F381" s="7"/>
      <c r="G381" s="7"/>
      <c r="H381" s="7"/>
      <c r="I381" s="8"/>
      <c r="J381" s="8"/>
      <c r="P381" s="10"/>
      <c r="Q381" s="10"/>
      <c r="R381" s="10"/>
      <c r="S381" s="10"/>
      <c r="T381" s="10"/>
      <c r="U381" s="10"/>
      <c r="V381" s="10"/>
      <c r="W381" s="10"/>
      <c r="X381" s="10"/>
      <c r="Z381" s="10"/>
      <c r="AA381" s="7"/>
      <c r="AB381" s="7"/>
      <c r="AC381" s="7"/>
      <c r="AD381" s="7"/>
      <c r="AE381" s="7"/>
      <c r="AF381" s="7"/>
      <c r="AG381" s="7"/>
      <c r="AH381" s="7"/>
      <c r="AI381" s="7"/>
    </row>
    <row r="382" spans="1:35" ht="12.75" customHeight="1">
      <c r="A382" s="7"/>
      <c r="B382" s="7"/>
      <c r="C382" s="7"/>
      <c r="D382" s="7"/>
      <c r="E382" s="7"/>
      <c r="F382" s="7"/>
      <c r="G382" s="7"/>
      <c r="H382" s="7"/>
      <c r="I382" s="8"/>
      <c r="J382" s="8"/>
      <c r="P382" s="10"/>
      <c r="Q382" s="10"/>
      <c r="R382" s="10"/>
      <c r="S382" s="10"/>
      <c r="T382" s="10"/>
      <c r="U382" s="10"/>
      <c r="V382" s="10"/>
      <c r="W382" s="10"/>
      <c r="X382" s="10"/>
      <c r="Z382" s="10"/>
      <c r="AA382" s="7"/>
      <c r="AB382" s="7"/>
      <c r="AC382" s="7"/>
      <c r="AD382" s="7"/>
      <c r="AE382" s="7"/>
      <c r="AF382" s="7"/>
      <c r="AG382" s="7"/>
      <c r="AH382" s="7"/>
      <c r="AI382" s="7"/>
    </row>
    <row r="383" spans="1:35" ht="12.75" customHeight="1">
      <c r="A383" s="7"/>
      <c r="B383" s="7"/>
      <c r="C383" s="7"/>
      <c r="D383" s="7"/>
      <c r="E383" s="7"/>
      <c r="F383" s="7"/>
      <c r="G383" s="7"/>
      <c r="H383" s="7"/>
      <c r="I383" s="8"/>
      <c r="J383" s="8"/>
      <c r="P383" s="10"/>
      <c r="Q383" s="10"/>
      <c r="R383" s="10"/>
      <c r="S383" s="10"/>
      <c r="T383" s="10"/>
      <c r="U383" s="10"/>
      <c r="V383" s="10"/>
      <c r="W383" s="10"/>
      <c r="X383" s="10"/>
      <c r="Z383" s="10"/>
      <c r="AA383" s="7"/>
      <c r="AB383" s="7"/>
      <c r="AC383" s="7"/>
      <c r="AD383" s="7"/>
      <c r="AE383" s="7"/>
      <c r="AF383" s="7"/>
      <c r="AG383" s="7"/>
      <c r="AH383" s="7"/>
      <c r="AI383" s="7"/>
    </row>
    <row r="384" spans="1:35" ht="12.75" customHeight="1">
      <c r="A384" s="7"/>
      <c r="B384" s="7"/>
      <c r="C384" s="7"/>
      <c r="D384" s="7"/>
      <c r="E384" s="7"/>
      <c r="F384" s="7"/>
      <c r="G384" s="7"/>
      <c r="H384" s="7"/>
      <c r="I384" s="8"/>
      <c r="J384" s="8"/>
      <c r="P384" s="10"/>
      <c r="Q384" s="10"/>
      <c r="R384" s="10"/>
      <c r="S384" s="10"/>
      <c r="T384" s="10"/>
      <c r="U384" s="10"/>
      <c r="V384" s="10"/>
      <c r="W384" s="10"/>
      <c r="X384" s="10"/>
      <c r="Z384" s="10"/>
      <c r="AA384" s="7"/>
      <c r="AB384" s="7"/>
      <c r="AC384" s="7"/>
      <c r="AD384" s="7"/>
      <c r="AE384" s="7"/>
      <c r="AF384" s="7"/>
      <c r="AG384" s="7"/>
      <c r="AH384" s="7"/>
      <c r="AI384" s="7"/>
    </row>
    <row r="385" spans="1:35" ht="12.75" customHeight="1">
      <c r="A385" s="7"/>
      <c r="B385" s="7"/>
      <c r="C385" s="7"/>
      <c r="D385" s="7"/>
      <c r="E385" s="7"/>
      <c r="F385" s="7"/>
      <c r="G385" s="7"/>
      <c r="H385" s="7"/>
      <c r="I385" s="8"/>
      <c r="J385" s="8"/>
      <c r="P385" s="10"/>
      <c r="Q385" s="10"/>
      <c r="R385" s="10"/>
      <c r="S385" s="10"/>
      <c r="T385" s="10"/>
      <c r="U385" s="10"/>
      <c r="V385" s="10"/>
      <c r="W385" s="10"/>
      <c r="X385" s="10"/>
      <c r="Z385" s="10"/>
      <c r="AA385" s="7"/>
      <c r="AB385" s="7"/>
      <c r="AC385" s="7"/>
      <c r="AD385" s="7"/>
      <c r="AE385" s="7"/>
      <c r="AF385" s="7"/>
      <c r="AG385" s="7"/>
      <c r="AH385" s="7"/>
      <c r="AI385" s="7"/>
    </row>
    <row r="386" spans="1:35" ht="12.75" customHeight="1">
      <c r="A386" s="7"/>
      <c r="B386" s="7"/>
      <c r="C386" s="7"/>
      <c r="D386" s="7"/>
      <c r="E386" s="7"/>
      <c r="F386" s="7"/>
      <c r="G386" s="7"/>
      <c r="H386" s="7"/>
      <c r="I386" s="8"/>
      <c r="J386" s="8"/>
      <c r="P386" s="10"/>
      <c r="Q386" s="10"/>
      <c r="R386" s="10"/>
      <c r="S386" s="10"/>
      <c r="T386" s="10"/>
      <c r="U386" s="10"/>
      <c r="V386" s="10"/>
      <c r="W386" s="10"/>
      <c r="X386" s="10"/>
      <c r="Z386" s="10"/>
      <c r="AA386" s="7"/>
      <c r="AB386" s="7"/>
      <c r="AC386" s="7"/>
      <c r="AD386" s="7"/>
      <c r="AE386" s="7"/>
      <c r="AF386" s="7"/>
      <c r="AG386" s="7"/>
      <c r="AH386" s="7"/>
      <c r="AI386" s="7"/>
    </row>
    <row r="387" spans="1:35" ht="12.75" customHeight="1">
      <c r="A387" s="7"/>
      <c r="B387" s="7"/>
      <c r="C387" s="7"/>
      <c r="D387" s="7"/>
      <c r="E387" s="7"/>
      <c r="F387" s="7"/>
      <c r="G387" s="7"/>
      <c r="H387" s="7"/>
      <c r="I387" s="8"/>
      <c r="J387" s="8"/>
      <c r="P387" s="10"/>
      <c r="Q387" s="10"/>
      <c r="R387" s="10"/>
      <c r="S387" s="10"/>
      <c r="T387" s="10"/>
      <c r="U387" s="10"/>
      <c r="V387" s="10"/>
      <c r="W387" s="10"/>
      <c r="X387" s="10"/>
      <c r="Z387" s="10"/>
      <c r="AA387" s="7"/>
      <c r="AB387" s="7"/>
      <c r="AC387" s="7"/>
      <c r="AD387" s="7"/>
      <c r="AE387" s="7"/>
      <c r="AF387" s="7"/>
      <c r="AG387" s="7"/>
      <c r="AH387" s="7"/>
      <c r="AI387" s="7"/>
    </row>
    <row r="388" spans="1:35" ht="12.75" customHeight="1">
      <c r="A388" s="7"/>
      <c r="B388" s="7"/>
      <c r="C388" s="7"/>
      <c r="D388" s="7"/>
      <c r="E388" s="7"/>
      <c r="F388" s="7"/>
      <c r="G388" s="7"/>
      <c r="H388" s="7"/>
      <c r="I388" s="8"/>
      <c r="J388" s="8"/>
      <c r="P388" s="10"/>
      <c r="Q388" s="10"/>
      <c r="R388" s="10"/>
      <c r="S388" s="10"/>
      <c r="T388" s="10"/>
      <c r="U388" s="10"/>
      <c r="V388" s="10"/>
      <c r="W388" s="10"/>
      <c r="X388" s="10"/>
      <c r="Z388" s="10"/>
      <c r="AA388" s="7"/>
      <c r="AB388" s="7"/>
      <c r="AC388" s="7"/>
      <c r="AD388" s="7"/>
      <c r="AE388" s="7"/>
      <c r="AF388" s="7"/>
      <c r="AG388" s="7"/>
      <c r="AH388" s="7"/>
      <c r="AI388" s="7"/>
    </row>
    <row r="389" spans="1:35" ht="12.75" customHeight="1">
      <c r="A389" s="7"/>
      <c r="B389" s="7"/>
      <c r="C389" s="7"/>
      <c r="D389" s="7"/>
      <c r="E389" s="7"/>
      <c r="F389" s="7"/>
      <c r="G389" s="7"/>
      <c r="H389" s="7"/>
      <c r="I389" s="8"/>
      <c r="J389" s="8"/>
      <c r="P389" s="10"/>
      <c r="Q389" s="10"/>
      <c r="R389" s="10"/>
      <c r="S389" s="10"/>
      <c r="T389" s="10"/>
      <c r="U389" s="10"/>
      <c r="V389" s="10"/>
      <c r="W389" s="10"/>
      <c r="X389" s="10"/>
      <c r="Z389" s="10"/>
      <c r="AA389" s="7"/>
      <c r="AB389" s="7"/>
      <c r="AC389" s="7"/>
      <c r="AD389" s="7"/>
      <c r="AE389" s="7"/>
      <c r="AF389" s="7"/>
      <c r="AG389" s="7"/>
      <c r="AH389" s="7"/>
      <c r="AI389" s="7"/>
    </row>
    <row r="390" spans="1:35" ht="12.75" customHeight="1">
      <c r="A390" s="7"/>
      <c r="B390" s="7"/>
      <c r="C390" s="7"/>
      <c r="D390" s="7"/>
      <c r="E390" s="7"/>
      <c r="F390" s="7"/>
      <c r="G390" s="7"/>
      <c r="H390" s="7"/>
      <c r="I390" s="8"/>
      <c r="J390" s="8"/>
      <c r="P390" s="10"/>
      <c r="Q390" s="10"/>
      <c r="R390" s="10"/>
      <c r="S390" s="10"/>
      <c r="T390" s="10"/>
      <c r="U390" s="10"/>
      <c r="V390" s="10"/>
      <c r="W390" s="10"/>
      <c r="X390" s="10"/>
      <c r="Z390" s="10"/>
      <c r="AA390" s="7"/>
      <c r="AB390" s="7"/>
      <c r="AC390" s="7"/>
      <c r="AD390" s="7"/>
      <c r="AE390" s="7"/>
      <c r="AF390" s="7"/>
      <c r="AG390" s="7"/>
      <c r="AH390" s="7"/>
      <c r="AI390" s="7"/>
    </row>
    <row r="391" spans="1:35" ht="12.75" customHeight="1">
      <c r="A391" s="7"/>
      <c r="B391" s="7"/>
      <c r="C391" s="7"/>
      <c r="D391" s="7"/>
      <c r="E391" s="7"/>
      <c r="F391" s="7"/>
      <c r="G391" s="7"/>
      <c r="H391" s="7"/>
      <c r="I391" s="8"/>
      <c r="J391" s="8"/>
      <c r="P391" s="10"/>
      <c r="Q391" s="10"/>
      <c r="R391" s="10"/>
      <c r="S391" s="10"/>
      <c r="T391" s="10"/>
      <c r="U391" s="10"/>
      <c r="V391" s="10"/>
      <c r="W391" s="10"/>
      <c r="X391" s="10"/>
      <c r="Z391" s="10"/>
      <c r="AA391" s="7"/>
      <c r="AB391" s="7"/>
      <c r="AC391" s="7"/>
      <c r="AD391" s="7"/>
      <c r="AE391" s="7"/>
      <c r="AF391" s="7"/>
      <c r="AG391" s="7"/>
      <c r="AH391" s="7"/>
      <c r="AI391" s="7"/>
    </row>
    <row r="392" spans="1:35" ht="12.75" customHeight="1">
      <c r="A392" s="7"/>
      <c r="B392" s="7"/>
      <c r="C392" s="7"/>
      <c r="D392" s="7"/>
      <c r="E392" s="7"/>
      <c r="F392" s="7"/>
      <c r="G392" s="7"/>
      <c r="H392" s="7"/>
      <c r="I392" s="8"/>
      <c r="J392" s="8"/>
      <c r="P392" s="10"/>
      <c r="Q392" s="10"/>
      <c r="R392" s="10"/>
      <c r="S392" s="10"/>
      <c r="T392" s="10"/>
      <c r="U392" s="10"/>
      <c r="V392" s="10"/>
      <c r="W392" s="10"/>
      <c r="X392" s="10"/>
      <c r="Z392" s="10"/>
      <c r="AA392" s="7"/>
      <c r="AB392" s="7"/>
      <c r="AC392" s="7"/>
      <c r="AD392" s="7"/>
      <c r="AE392" s="7"/>
      <c r="AF392" s="7"/>
      <c r="AG392" s="7"/>
      <c r="AH392" s="7"/>
      <c r="AI392" s="7"/>
    </row>
    <row r="393" spans="1:35" ht="12.75" customHeight="1">
      <c r="A393" s="7"/>
      <c r="B393" s="7"/>
      <c r="C393" s="7"/>
      <c r="D393" s="7"/>
      <c r="E393" s="7"/>
      <c r="F393" s="7"/>
      <c r="G393" s="7"/>
      <c r="H393" s="7"/>
      <c r="I393" s="8"/>
      <c r="J393" s="8"/>
      <c r="P393" s="10"/>
      <c r="Q393" s="10"/>
      <c r="R393" s="10"/>
      <c r="S393" s="10"/>
      <c r="T393" s="10"/>
      <c r="U393" s="10"/>
      <c r="V393" s="10"/>
      <c r="W393" s="10"/>
      <c r="X393" s="10"/>
      <c r="Z393" s="10"/>
      <c r="AA393" s="7"/>
      <c r="AB393" s="7"/>
      <c r="AC393" s="7"/>
      <c r="AD393" s="7"/>
      <c r="AE393" s="7"/>
      <c r="AF393" s="7"/>
      <c r="AG393" s="7"/>
      <c r="AH393" s="7"/>
      <c r="AI393" s="7"/>
    </row>
    <row r="394" spans="1:35" ht="12.75" customHeight="1">
      <c r="A394" s="7"/>
      <c r="B394" s="7"/>
      <c r="C394" s="7"/>
      <c r="D394" s="7"/>
      <c r="E394" s="7"/>
      <c r="F394" s="7"/>
      <c r="G394" s="7"/>
      <c r="H394" s="7"/>
      <c r="I394" s="8"/>
      <c r="J394" s="8"/>
      <c r="P394" s="10"/>
      <c r="Q394" s="10"/>
      <c r="R394" s="10"/>
      <c r="S394" s="10"/>
      <c r="T394" s="10"/>
      <c r="U394" s="10"/>
      <c r="V394" s="10"/>
      <c r="W394" s="10"/>
      <c r="X394" s="10"/>
      <c r="Z394" s="10"/>
      <c r="AA394" s="7"/>
      <c r="AB394" s="7"/>
      <c r="AC394" s="7"/>
      <c r="AD394" s="7"/>
      <c r="AE394" s="7"/>
      <c r="AF394" s="7"/>
      <c r="AG394" s="7"/>
      <c r="AH394" s="7"/>
      <c r="AI394" s="7"/>
    </row>
    <row r="395" spans="1:35" ht="12.75" customHeight="1">
      <c r="A395" s="7"/>
      <c r="B395" s="7"/>
      <c r="C395" s="7"/>
      <c r="D395" s="7"/>
      <c r="E395" s="7"/>
      <c r="F395" s="7"/>
      <c r="G395" s="7"/>
      <c r="H395" s="7"/>
      <c r="I395" s="8"/>
      <c r="J395" s="8"/>
      <c r="P395" s="10"/>
      <c r="Q395" s="10"/>
      <c r="R395" s="10"/>
      <c r="S395" s="10"/>
      <c r="T395" s="10"/>
      <c r="U395" s="10"/>
      <c r="V395" s="10"/>
      <c r="W395" s="10"/>
      <c r="X395" s="10"/>
      <c r="Z395" s="10"/>
      <c r="AA395" s="7"/>
      <c r="AB395" s="7"/>
      <c r="AC395" s="7"/>
      <c r="AD395" s="7"/>
      <c r="AE395" s="7"/>
      <c r="AF395" s="7"/>
      <c r="AG395" s="7"/>
      <c r="AH395" s="7"/>
      <c r="AI395" s="7"/>
    </row>
    <row r="396" spans="1:35" ht="12.75" customHeight="1">
      <c r="A396" s="7"/>
      <c r="B396" s="7"/>
      <c r="C396" s="7"/>
      <c r="D396" s="7"/>
      <c r="E396" s="7"/>
      <c r="F396" s="7"/>
      <c r="G396" s="7"/>
      <c r="H396" s="7"/>
      <c r="I396" s="8"/>
      <c r="J396" s="8"/>
      <c r="P396" s="10"/>
      <c r="Q396" s="10"/>
      <c r="R396" s="10"/>
      <c r="S396" s="10"/>
      <c r="T396" s="10"/>
      <c r="U396" s="10"/>
      <c r="V396" s="10"/>
      <c r="W396" s="10"/>
      <c r="X396" s="10"/>
      <c r="Z396" s="10"/>
      <c r="AA396" s="7"/>
      <c r="AB396" s="7"/>
      <c r="AC396" s="7"/>
      <c r="AD396" s="7"/>
      <c r="AE396" s="7"/>
      <c r="AF396" s="7"/>
      <c r="AG396" s="7"/>
      <c r="AH396" s="7"/>
      <c r="AI396" s="7"/>
    </row>
    <row r="397" spans="1:35" ht="12.75" customHeight="1">
      <c r="A397" s="7"/>
      <c r="B397" s="7"/>
      <c r="C397" s="7"/>
      <c r="D397" s="7"/>
      <c r="E397" s="7"/>
      <c r="F397" s="7"/>
      <c r="G397" s="7"/>
      <c r="H397" s="7"/>
      <c r="I397" s="8"/>
      <c r="J397" s="8"/>
      <c r="P397" s="10"/>
      <c r="Q397" s="10"/>
      <c r="R397" s="10"/>
      <c r="S397" s="10"/>
      <c r="T397" s="10"/>
      <c r="U397" s="10"/>
      <c r="V397" s="10"/>
      <c r="W397" s="10"/>
      <c r="X397" s="10"/>
      <c r="Z397" s="10"/>
      <c r="AA397" s="7"/>
      <c r="AB397" s="7"/>
      <c r="AC397" s="7"/>
      <c r="AD397" s="7"/>
      <c r="AE397" s="7"/>
      <c r="AF397" s="7"/>
      <c r="AG397" s="7"/>
      <c r="AH397" s="7"/>
      <c r="AI397" s="7"/>
    </row>
    <row r="398" spans="1:35" ht="12.75" customHeight="1">
      <c r="A398" s="7"/>
      <c r="B398" s="7"/>
      <c r="C398" s="7"/>
      <c r="D398" s="7"/>
      <c r="E398" s="7"/>
      <c r="F398" s="7"/>
      <c r="G398" s="7"/>
      <c r="H398" s="7"/>
      <c r="I398" s="8"/>
      <c r="J398" s="8"/>
      <c r="P398" s="10"/>
      <c r="Q398" s="10"/>
      <c r="R398" s="10"/>
      <c r="S398" s="10"/>
      <c r="T398" s="10"/>
      <c r="U398" s="10"/>
      <c r="V398" s="10"/>
      <c r="W398" s="10"/>
      <c r="X398" s="10"/>
      <c r="Z398" s="10"/>
      <c r="AA398" s="7"/>
      <c r="AB398" s="7"/>
      <c r="AC398" s="7"/>
      <c r="AD398" s="7"/>
      <c r="AE398" s="7"/>
      <c r="AF398" s="7"/>
      <c r="AG398" s="7"/>
      <c r="AH398" s="7"/>
      <c r="AI398" s="7"/>
    </row>
    <row r="399" spans="1:35" ht="12.75" customHeight="1">
      <c r="A399" s="7"/>
      <c r="B399" s="7"/>
      <c r="C399" s="7"/>
      <c r="D399" s="7"/>
      <c r="E399" s="7"/>
      <c r="F399" s="7"/>
      <c r="G399" s="7"/>
      <c r="H399" s="7"/>
      <c r="I399" s="8"/>
      <c r="J399" s="8"/>
      <c r="P399" s="10"/>
      <c r="Q399" s="10"/>
      <c r="R399" s="10"/>
      <c r="S399" s="10"/>
      <c r="T399" s="10"/>
      <c r="U399" s="10"/>
      <c r="V399" s="10"/>
      <c r="W399" s="10"/>
      <c r="X399" s="10"/>
      <c r="Z399" s="10"/>
      <c r="AA399" s="7"/>
      <c r="AB399" s="7"/>
      <c r="AC399" s="7"/>
      <c r="AD399" s="7"/>
      <c r="AE399" s="7"/>
      <c r="AF399" s="7"/>
      <c r="AG399" s="7"/>
      <c r="AH399" s="7"/>
      <c r="AI399" s="7"/>
    </row>
    <row r="400" spans="1:35" ht="12.75" customHeight="1">
      <c r="A400" s="7"/>
      <c r="B400" s="7"/>
      <c r="C400" s="7"/>
      <c r="D400" s="7"/>
      <c r="E400" s="7"/>
      <c r="F400" s="7"/>
      <c r="G400" s="7"/>
      <c r="H400" s="7"/>
      <c r="I400" s="8"/>
      <c r="J400" s="8"/>
      <c r="P400" s="10"/>
      <c r="Q400" s="10"/>
      <c r="R400" s="10"/>
      <c r="S400" s="10"/>
      <c r="T400" s="10"/>
      <c r="U400" s="10"/>
      <c r="V400" s="10"/>
      <c r="W400" s="10"/>
      <c r="X400" s="10"/>
      <c r="Z400" s="10"/>
      <c r="AA400" s="7"/>
      <c r="AB400" s="7"/>
      <c r="AC400" s="7"/>
      <c r="AD400" s="7"/>
      <c r="AE400" s="7"/>
      <c r="AF400" s="7"/>
      <c r="AG400" s="7"/>
      <c r="AH400" s="7"/>
      <c r="AI400" s="7"/>
    </row>
    <row r="401" spans="1:35" ht="12.75" customHeight="1">
      <c r="A401" s="7"/>
      <c r="B401" s="7"/>
      <c r="C401" s="7"/>
      <c r="D401" s="7"/>
      <c r="E401" s="7"/>
      <c r="F401" s="7"/>
      <c r="G401" s="7"/>
      <c r="H401" s="7"/>
      <c r="I401" s="8"/>
      <c r="J401" s="8"/>
      <c r="P401" s="10"/>
      <c r="Q401" s="10"/>
      <c r="R401" s="10"/>
      <c r="S401" s="10"/>
      <c r="T401" s="10"/>
      <c r="U401" s="10"/>
      <c r="V401" s="10"/>
      <c r="W401" s="10"/>
      <c r="X401" s="10"/>
      <c r="Z401" s="10"/>
      <c r="AA401" s="7"/>
      <c r="AB401" s="7"/>
      <c r="AC401" s="7"/>
      <c r="AD401" s="7"/>
      <c r="AE401" s="7"/>
      <c r="AF401" s="7"/>
      <c r="AG401" s="7"/>
      <c r="AH401" s="7"/>
      <c r="AI401" s="7"/>
    </row>
    <row r="402" spans="1:35" ht="12.75" customHeight="1">
      <c r="A402" s="7"/>
      <c r="B402" s="7"/>
      <c r="C402" s="7"/>
      <c r="D402" s="7"/>
      <c r="E402" s="7"/>
      <c r="F402" s="7"/>
      <c r="G402" s="7"/>
      <c r="H402" s="7"/>
      <c r="I402" s="8"/>
      <c r="J402" s="8"/>
      <c r="P402" s="10"/>
      <c r="Q402" s="10"/>
      <c r="R402" s="10"/>
      <c r="S402" s="10"/>
      <c r="T402" s="10"/>
      <c r="U402" s="10"/>
      <c r="V402" s="10"/>
      <c r="W402" s="10"/>
      <c r="X402" s="10"/>
      <c r="Z402" s="10"/>
      <c r="AA402" s="7"/>
      <c r="AB402" s="7"/>
      <c r="AC402" s="7"/>
      <c r="AD402" s="7"/>
      <c r="AE402" s="7"/>
      <c r="AF402" s="7"/>
      <c r="AG402" s="7"/>
      <c r="AH402" s="7"/>
      <c r="AI402" s="7"/>
    </row>
    <row r="403" spans="1:35" ht="12.75" customHeight="1">
      <c r="A403" s="7"/>
      <c r="B403" s="7"/>
      <c r="C403" s="7"/>
      <c r="D403" s="7"/>
      <c r="E403" s="7"/>
      <c r="F403" s="7"/>
      <c r="G403" s="7"/>
      <c r="H403" s="7"/>
      <c r="I403" s="8"/>
      <c r="J403" s="8"/>
      <c r="P403" s="10"/>
      <c r="Q403" s="10"/>
      <c r="R403" s="10"/>
      <c r="S403" s="10"/>
      <c r="T403" s="10"/>
      <c r="U403" s="10"/>
      <c r="V403" s="10"/>
      <c r="W403" s="10"/>
      <c r="X403" s="10"/>
      <c r="Z403" s="10"/>
      <c r="AA403" s="7"/>
      <c r="AB403" s="7"/>
      <c r="AC403" s="7"/>
      <c r="AD403" s="7"/>
      <c r="AE403" s="7"/>
      <c r="AF403" s="7"/>
      <c r="AG403" s="7"/>
      <c r="AH403" s="7"/>
      <c r="AI403" s="7"/>
    </row>
    <row r="404" spans="1:35" ht="12.75" customHeight="1">
      <c r="A404" s="7"/>
      <c r="B404" s="7"/>
      <c r="C404" s="7"/>
      <c r="D404" s="7"/>
      <c r="E404" s="7"/>
      <c r="F404" s="7"/>
      <c r="G404" s="7"/>
      <c r="H404" s="7"/>
      <c r="I404" s="8"/>
      <c r="J404" s="8"/>
      <c r="P404" s="10"/>
      <c r="Q404" s="10"/>
      <c r="R404" s="10"/>
      <c r="S404" s="10"/>
      <c r="T404" s="10"/>
      <c r="U404" s="10"/>
      <c r="V404" s="10"/>
      <c r="W404" s="10"/>
      <c r="X404" s="10"/>
      <c r="Z404" s="10"/>
      <c r="AA404" s="7"/>
      <c r="AB404" s="7"/>
      <c r="AC404" s="7"/>
      <c r="AD404" s="7"/>
      <c r="AE404" s="7"/>
      <c r="AF404" s="7"/>
      <c r="AG404" s="7"/>
      <c r="AH404" s="7"/>
      <c r="AI404" s="7"/>
    </row>
    <row r="405" spans="1:35" ht="12.75" customHeight="1">
      <c r="A405" s="7"/>
      <c r="B405" s="7"/>
      <c r="C405" s="7"/>
      <c r="D405" s="7"/>
      <c r="E405" s="7"/>
      <c r="F405" s="7"/>
      <c r="G405" s="7"/>
      <c r="H405" s="7"/>
      <c r="I405" s="8"/>
      <c r="J405" s="8"/>
      <c r="P405" s="10"/>
      <c r="Q405" s="10"/>
      <c r="R405" s="10"/>
      <c r="S405" s="10"/>
      <c r="T405" s="10"/>
      <c r="U405" s="10"/>
      <c r="V405" s="10"/>
      <c r="W405" s="10"/>
      <c r="X405" s="10"/>
      <c r="Z405" s="10"/>
      <c r="AA405" s="7"/>
      <c r="AB405" s="7"/>
      <c r="AC405" s="7"/>
      <c r="AD405" s="7"/>
      <c r="AE405" s="7"/>
      <c r="AF405" s="7"/>
      <c r="AG405" s="7"/>
      <c r="AH405" s="7"/>
      <c r="AI405" s="7"/>
    </row>
    <row r="406" spans="1:35" ht="12.75" customHeight="1">
      <c r="A406" s="7"/>
      <c r="B406" s="7"/>
      <c r="C406" s="7"/>
      <c r="D406" s="7"/>
      <c r="E406" s="7"/>
      <c r="F406" s="7"/>
      <c r="G406" s="7"/>
      <c r="H406" s="7"/>
      <c r="I406" s="8"/>
      <c r="J406" s="8"/>
      <c r="P406" s="10"/>
      <c r="Q406" s="10"/>
      <c r="R406" s="10"/>
      <c r="S406" s="10"/>
      <c r="T406" s="10"/>
      <c r="U406" s="10"/>
      <c r="V406" s="10"/>
      <c r="W406" s="10"/>
      <c r="X406" s="10"/>
      <c r="Z406" s="10"/>
      <c r="AA406" s="7"/>
      <c r="AB406" s="7"/>
      <c r="AC406" s="7"/>
      <c r="AD406" s="7"/>
      <c r="AE406" s="7"/>
      <c r="AF406" s="7"/>
      <c r="AG406" s="7"/>
      <c r="AH406" s="7"/>
      <c r="AI406" s="7"/>
    </row>
    <row r="407" spans="1:35" ht="12.75" customHeight="1">
      <c r="A407" s="7"/>
      <c r="B407" s="7"/>
      <c r="C407" s="7"/>
      <c r="D407" s="7"/>
      <c r="E407" s="7"/>
      <c r="F407" s="7"/>
      <c r="G407" s="7"/>
      <c r="H407" s="7"/>
      <c r="I407" s="8"/>
      <c r="J407" s="8"/>
      <c r="P407" s="10"/>
      <c r="Q407" s="10"/>
      <c r="R407" s="10"/>
      <c r="S407" s="10"/>
      <c r="T407" s="10"/>
      <c r="U407" s="10"/>
      <c r="V407" s="10"/>
      <c r="W407" s="10"/>
      <c r="X407" s="10"/>
      <c r="Z407" s="10"/>
      <c r="AA407" s="7"/>
      <c r="AB407" s="7"/>
      <c r="AC407" s="7"/>
      <c r="AD407" s="7"/>
      <c r="AE407" s="7"/>
      <c r="AF407" s="7"/>
      <c r="AG407" s="7"/>
      <c r="AH407" s="7"/>
      <c r="AI407" s="7"/>
    </row>
    <row r="408" spans="1:35" ht="12.75" customHeight="1">
      <c r="A408" s="7"/>
      <c r="B408" s="7"/>
      <c r="C408" s="7"/>
      <c r="D408" s="7"/>
      <c r="E408" s="7"/>
      <c r="F408" s="7"/>
      <c r="G408" s="7"/>
      <c r="H408" s="7"/>
      <c r="I408" s="8"/>
      <c r="J408" s="8"/>
      <c r="P408" s="10"/>
      <c r="Q408" s="10"/>
      <c r="R408" s="10"/>
      <c r="S408" s="10"/>
      <c r="T408" s="10"/>
      <c r="U408" s="10"/>
      <c r="V408" s="10"/>
      <c r="W408" s="10"/>
      <c r="X408" s="10"/>
      <c r="Z408" s="10"/>
      <c r="AA408" s="7"/>
      <c r="AB408" s="7"/>
      <c r="AC408" s="7"/>
      <c r="AD408" s="7"/>
      <c r="AE408" s="7"/>
      <c r="AF408" s="7"/>
      <c r="AG408" s="7"/>
      <c r="AH408" s="7"/>
      <c r="AI408" s="7"/>
    </row>
    <row r="409" spans="1:35" ht="12.75" customHeight="1">
      <c r="A409" s="7"/>
      <c r="B409" s="7"/>
      <c r="C409" s="7"/>
      <c r="D409" s="7"/>
      <c r="E409" s="7"/>
      <c r="F409" s="7"/>
      <c r="G409" s="7"/>
      <c r="H409" s="7"/>
      <c r="I409" s="8"/>
      <c r="J409" s="8"/>
      <c r="P409" s="10"/>
      <c r="Q409" s="10"/>
      <c r="R409" s="10"/>
      <c r="S409" s="10"/>
      <c r="T409" s="10"/>
      <c r="U409" s="10"/>
      <c r="V409" s="10"/>
      <c r="W409" s="10"/>
      <c r="X409" s="10"/>
      <c r="Z409" s="10"/>
      <c r="AA409" s="7"/>
      <c r="AB409" s="7"/>
      <c r="AC409" s="7"/>
      <c r="AD409" s="7"/>
      <c r="AE409" s="7"/>
      <c r="AF409" s="7"/>
      <c r="AG409" s="7"/>
      <c r="AH409" s="7"/>
      <c r="AI409" s="7"/>
    </row>
    <row r="410" spans="1:35" ht="12.75" customHeight="1">
      <c r="A410" s="7"/>
      <c r="B410" s="7"/>
      <c r="C410" s="7"/>
      <c r="D410" s="7"/>
      <c r="E410" s="7"/>
      <c r="F410" s="7"/>
      <c r="G410" s="7"/>
      <c r="H410" s="7"/>
      <c r="I410" s="8"/>
      <c r="J410" s="8"/>
      <c r="P410" s="10"/>
      <c r="Q410" s="10"/>
      <c r="R410" s="10"/>
      <c r="S410" s="10"/>
      <c r="T410" s="10"/>
      <c r="U410" s="10"/>
      <c r="V410" s="10"/>
      <c r="W410" s="10"/>
      <c r="X410" s="10"/>
      <c r="Z410" s="10"/>
      <c r="AA410" s="7"/>
      <c r="AB410" s="7"/>
      <c r="AC410" s="7"/>
      <c r="AD410" s="7"/>
      <c r="AE410" s="7"/>
      <c r="AF410" s="7"/>
      <c r="AG410" s="7"/>
      <c r="AH410" s="7"/>
      <c r="AI410" s="7"/>
    </row>
    <row r="411" spans="1:35" ht="12.75" customHeight="1">
      <c r="A411" s="7"/>
      <c r="B411" s="7"/>
      <c r="C411" s="7"/>
      <c r="D411" s="7"/>
      <c r="E411" s="7"/>
      <c r="F411" s="7"/>
      <c r="G411" s="7"/>
      <c r="H411" s="7"/>
      <c r="I411" s="8"/>
      <c r="J411" s="8"/>
      <c r="P411" s="10"/>
      <c r="Q411" s="10"/>
      <c r="R411" s="10"/>
      <c r="S411" s="10"/>
      <c r="T411" s="10"/>
      <c r="U411" s="10"/>
      <c r="V411" s="10"/>
      <c r="W411" s="10"/>
      <c r="X411" s="10"/>
      <c r="Z411" s="10"/>
      <c r="AA411" s="7"/>
      <c r="AB411" s="7"/>
      <c r="AC411" s="7"/>
      <c r="AD411" s="7"/>
      <c r="AE411" s="7"/>
      <c r="AF411" s="7"/>
      <c r="AG411" s="7"/>
      <c r="AH411" s="7"/>
      <c r="AI411" s="7"/>
    </row>
    <row r="412" spans="1:35" ht="12.75" customHeight="1">
      <c r="A412" s="7"/>
      <c r="B412" s="7"/>
      <c r="C412" s="7"/>
      <c r="D412" s="7"/>
      <c r="E412" s="7"/>
      <c r="F412" s="7"/>
      <c r="G412" s="7"/>
      <c r="H412" s="7"/>
      <c r="I412" s="8"/>
      <c r="J412" s="8"/>
      <c r="P412" s="10"/>
      <c r="Q412" s="10"/>
      <c r="R412" s="10"/>
      <c r="S412" s="10"/>
      <c r="T412" s="10"/>
      <c r="U412" s="10"/>
      <c r="V412" s="10"/>
      <c r="W412" s="10"/>
      <c r="X412" s="10"/>
      <c r="Z412" s="10"/>
      <c r="AA412" s="7"/>
      <c r="AB412" s="7"/>
      <c r="AC412" s="7"/>
      <c r="AD412" s="7"/>
      <c r="AE412" s="7"/>
      <c r="AF412" s="7"/>
      <c r="AG412" s="7"/>
      <c r="AH412" s="7"/>
      <c r="AI412" s="7"/>
    </row>
    <row r="413" spans="1:35" ht="12.75" customHeight="1">
      <c r="A413" s="7"/>
      <c r="B413" s="7"/>
      <c r="C413" s="7"/>
      <c r="D413" s="7"/>
      <c r="E413" s="7"/>
      <c r="F413" s="7"/>
      <c r="G413" s="7"/>
      <c r="H413" s="7"/>
      <c r="I413" s="8"/>
      <c r="J413" s="8"/>
      <c r="P413" s="10"/>
      <c r="Q413" s="10"/>
      <c r="R413" s="10"/>
      <c r="S413" s="10"/>
      <c r="T413" s="10"/>
      <c r="U413" s="10"/>
      <c r="V413" s="10"/>
      <c r="W413" s="10"/>
      <c r="X413" s="10"/>
      <c r="Z413" s="10"/>
      <c r="AA413" s="7"/>
      <c r="AB413" s="7"/>
      <c r="AC413" s="7"/>
      <c r="AD413" s="7"/>
      <c r="AE413" s="7"/>
      <c r="AF413" s="7"/>
      <c r="AG413" s="7"/>
      <c r="AH413" s="7"/>
      <c r="AI413" s="7"/>
    </row>
    <row r="414" spans="1:35" ht="12.75" customHeight="1">
      <c r="A414" s="7"/>
      <c r="B414" s="7"/>
      <c r="C414" s="7"/>
      <c r="D414" s="7"/>
      <c r="E414" s="7"/>
      <c r="F414" s="7"/>
      <c r="G414" s="7"/>
      <c r="H414" s="7"/>
      <c r="I414" s="8"/>
      <c r="J414" s="8"/>
      <c r="P414" s="10"/>
      <c r="Q414" s="10"/>
      <c r="R414" s="10"/>
      <c r="S414" s="10"/>
      <c r="T414" s="10"/>
      <c r="U414" s="10"/>
      <c r="V414" s="10"/>
      <c r="W414" s="10"/>
      <c r="X414" s="10"/>
      <c r="Z414" s="10"/>
      <c r="AA414" s="7"/>
      <c r="AB414" s="7"/>
      <c r="AC414" s="7"/>
      <c r="AD414" s="7"/>
      <c r="AE414" s="7"/>
      <c r="AF414" s="7"/>
      <c r="AG414" s="7"/>
      <c r="AH414" s="7"/>
      <c r="AI414" s="7"/>
    </row>
    <row r="415" spans="1:35" ht="12.75" customHeight="1">
      <c r="A415" s="7"/>
      <c r="B415" s="7"/>
      <c r="C415" s="7"/>
      <c r="D415" s="7"/>
      <c r="E415" s="7"/>
      <c r="F415" s="7"/>
      <c r="G415" s="7"/>
      <c r="H415" s="7"/>
      <c r="I415" s="8"/>
      <c r="J415" s="8"/>
      <c r="P415" s="10"/>
      <c r="Q415" s="10"/>
      <c r="R415" s="10"/>
      <c r="S415" s="10"/>
      <c r="T415" s="10"/>
      <c r="U415" s="10"/>
      <c r="V415" s="10"/>
      <c r="W415" s="10"/>
      <c r="X415" s="10"/>
      <c r="Z415" s="10"/>
      <c r="AA415" s="7"/>
      <c r="AB415" s="7"/>
      <c r="AC415" s="7"/>
      <c r="AD415" s="7"/>
      <c r="AE415" s="7"/>
      <c r="AF415" s="7"/>
      <c r="AG415" s="7"/>
      <c r="AH415" s="7"/>
      <c r="AI415" s="7"/>
    </row>
    <row r="416" spans="1:35" ht="12.75" customHeight="1">
      <c r="A416" s="7"/>
      <c r="B416" s="7"/>
      <c r="C416" s="7"/>
      <c r="D416" s="7"/>
      <c r="E416" s="7"/>
      <c r="F416" s="7"/>
      <c r="G416" s="7"/>
      <c r="H416" s="7"/>
      <c r="I416" s="8"/>
      <c r="J416" s="8"/>
      <c r="P416" s="10"/>
      <c r="Q416" s="10"/>
      <c r="R416" s="10"/>
      <c r="S416" s="10"/>
      <c r="T416" s="10"/>
      <c r="U416" s="10"/>
      <c r="V416" s="10"/>
      <c r="W416" s="10"/>
      <c r="X416" s="10"/>
      <c r="Z416" s="10"/>
      <c r="AA416" s="7"/>
      <c r="AB416" s="7"/>
      <c r="AC416" s="7"/>
      <c r="AD416" s="7"/>
      <c r="AE416" s="7"/>
      <c r="AF416" s="7"/>
      <c r="AG416" s="7"/>
      <c r="AH416" s="7"/>
      <c r="AI416" s="7"/>
    </row>
    <row r="417" spans="1:35" ht="12.75" customHeight="1">
      <c r="A417" s="7"/>
      <c r="B417" s="7"/>
      <c r="C417" s="7"/>
      <c r="D417" s="7"/>
      <c r="E417" s="7"/>
      <c r="F417" s="7"/>
      <c r="G417" s="7"/>
      <c r="H417" s="7"/>
      <c r="I417" s="8"/>
      <c r="J417" s="8"/>
      <c r="P417" s="10"/>
      <c r="Q417" s="10"/>
      <c r="R417" s="10"/>
      <c r="S417" s="10"/>
      <c r="T417" s="10"/>
      <c r="U417" s="10"/>
      <c r="V417" s="10"/>
      <c r="W417" s="10"/>
      <c r="X417" s="10"/>
      <c r="Z417" s="10"/>
      <c r="AA417" s="7"/>
      <c r="AB417" s="7"/>
      <c r="AC417" s="7"/>
      <c r="AD417" s="7"/>
      <c r="AE417" s="7"/>
      <c r="AF417" s="7"/>
      <c r="AG417" s="7"/>
      <c r="AH417" s="7"/>
      <c r="AI417" s="7"/>
    </row>
    <row r="418" spans="1:35" ht="12.75" customHeight="1">
      <c r="A418" s="7"/>
      <c r="B418" s="7"/>
      <c r="C418" s="7"/>
      <c r="D418" s="7"/>
      <c r="E418" s="7"/>
      <c r="F418" s="7"/>
      <c r="G418" s="7"/>
      <c r="H418" s="7"/>
      <c r="I418" s="8"/>
      <c r="J418" s="8"/>
      <c r="P418" s="10"/>
      <c r="Q418" s="10"/>
      <c r="R418" s="10"/>
      <c r="S418" s="10"/>
      <c r="T418" s="10"/>
      <c r="U418" s="10"/>
      <c r="V418" s="10"/>
      <c r="W418" s="10"/>
      <c r="X418" s="10"/>
      <c r="Z418" s="10"/>
      <c r="AA418" s="7"/>
      <c r="AB418" s="7"/>
      <c r="AC418" s="7"/>
      <c r="AD418" s="7"/>
      <c r="AE418" s="7"/>
      <c r="AF418" s="7"/>
      <c r="AG418" s="7"/>
      <c r="AH418" s="7"/>
      <c r="AI418" s="7"/>
    </row>
    <row r="419" spans="1:35" ht="12.75" customHeight="1">
      <c r="A419" s="7"/>
      <c r="B419" s="7"/>
      <c r="C419" s="7"/>
      <c r="D419" s="7"/>
      <c r="E419" s="7"/>
      <c r="F419" s="7"/>
      <c r="G419" s="7"/>
      <c r="H419" s="7"/>
      <c r="I419" s="8"/>
      <c r="J419" s="8"/>
      <c r="P419" s="10"/>
      <c r="Q419" s="10"/>
      <c r="R419" s="10"/>
      <c r="S419" s="10"/>
      <c r="T419" s="10"/>
      <c r="U419" s="10"/>
      <c r="V419" s="10"/>
      <c r="W419" s="10"/>
      <c r="X419" s="10"/>
      <c r="Z419" s="10"/>
      <c r="AA419" s="7"/>
      <c r="AB419" s="7"/>
      <c r="AC419" s="7"/>
      <c r="AD419" s="7"/>
      <c r="AE419" s="7"/>
      <c r="AF419" s="7"/>
      <c r="AG419" s="7"/>
      <c r="AH419" s="7"/>
      <c r="AI419" s="7"/>
    </row>
    <row r="420" spans="1:35" ht="12.75" customHeight="1">
      <c r="A420" s="7"/>
      <c r="B420" s="7"/>
      <c r="C420" s="7"/>
      <c r="D420" s="7"/>
      <c r="E420" s="7"/>
      <c r="F420" s="7"/>
      <c r="G420" s="7"/>
      <c r="H420" s="7"/>
      <c r="I420" s="8"/>
      <c r="J420" s="8"/>
      <c r="P420" s="10"/>
      <c r="Q420" s="10"/>
      <c r="R420" s="10"/>
      <c r="S420" s="10"/>
      <c r="T420" s="10"/>
      <c r="U420" s="10"/>
      <c r="V420" s="10"/>
      <c r="W420" s="10"/>
      <c r="X420" s="10"/>
      <c r="Z420" s="10"/>
      <c r="AA420" s="7"/>
      <c r="AB420" s="7"/>
      <c r="AC420" s="7"/>
      <c r="AD420" s="7"/>
      <c r="AE420" s="7"/>
      <c r="AF420" s="7"/>
      <c r="AG420" s="7"/>
      <c r="AH420" s="7"/>
      <c r="AI420" s="7"/>
    </row>
    <row r="421" spans="1:35" ht="12.75" customHeight="1">
      <c r="A421" s="7"/>
      <c r="B421" s="7"/>
      <c r="C421" s="7"/>
      <c r="D421" s="7"/>
      <c r="E421" s="7"/>
      <c r="F421" s="7"/>
      <c r="G421" s="7"/>
      <c r="H421" s="7"/>
      <c r="I421" s="8"/>
      <c r="J421" s="8"/>
      <c r="P421" s="10"/>
      <c r="Q421" s="10"/>
      <c r="R421" s="10"/>
      <c r="S421" s="10"/>
      <c r="T421" s="10"/>
      <c r="U421" s="10"/>
      <c r="V421" s="10"/>
      <c r="W421" s="10"/>
      <c r="X421" s="10"/>
      <c r="Z421" s="10"/>
      <c r="AA421" s="7"/>
      <c r="AB421" s="7"/>
      <c r="AC421" s="7"/>
      <c r="AD421" s="7"/>
      <c r="AE421" s="7"/>
      <c r="AF421" s="7"/>
      <c r="AG421" s="7"/>
      <c r="AH421" s="7"/>
      <c r="AI421" s="7"/>
    </row>
    <row r="422" spans="1:35" ht="12.75" customHeight="1">
      <c r="A422" s="7"/>
      <c r="B422" s="7"/>
      <c r="C422" s="7"/>
      <c r="D422" s="7"/>
      <c r="E422" s="7"/>
      <c r="F422" s="7"/>
      <c r="G422" s="7"/>
      <c r="H422" s="7"/>
      <c r="I422" s="8"/>
      <c r="J422" s="8"/>
      <c r="P422" s="10"/>
      <c r="Q422" s="10"/>
      <c r="R422" s="10"/>
      <c r="S422" s="10"/>
      <c r="T422" s="10"/>
      <c r="U422" s="10"/>
      <c r="V422" s="10"/>
      <c r="W422" s="10"/>
      <c r="X422" s="10"/>
      <c r="Z422" s="10"/>
      <c r="AA422" s="7"/>
      <c r="AB422" s="7"/>
      <c r="AC422" s="7"/>
      <c r="AD422" s="7"/>
      <c r="AE422" s="7"/>
      <c r="AF422" s="7"/>
      <c r="AG422" s="7"/>
      <c r="AH422" s="7"/>
      <c r="AI422" s="7"/>
    </row>
    <row r="423" spans="1:35" ht="12.75" customHeight="1">
      <c r="A423" s="7"/>
      <c r="B423" s="7"/>
      <c r="C423" s="7"/>
      <c r="D423" s="7"/>
      <c r="E423" s="7"/>
      <c r="F423" s="7"/>
      <c r="G423" s="7"/>
      <c r="H423" s="7"/>
      <c r="I423" s="8"/>
      <c r="J423" s="8"/>
      <c r="P423" s="10"/>
      <c r="Q423" s="10"/>
      <c r="R423" s="10"/>
      <c r="S423" s="10"/>
      <c r="T423" s="10"/>
      <c r="U423" s="10"/>
      <c r="V423" s="10"/>
      <c r="W423" s="10"/>
      <c r="X423" s="10"/>
      <c r="Z423" s="10"/>
      <c r="AA423" s="7"/>
      <c r="AB423" s="7"/>
      <c r="AC423" s="7"/>
      <c r="AD423" s="7"/>
      <c r="AE423" s="7"/>
      <c r="AF423" s="7"/>
      <c r="AG423" s="7"/>
      <c r="AH423" s="7"/>
      <c r="AI423" s="7"/>
    </row>
    <row r="424" spans="1:35" ht="12.75" customHeight="1">
      <c r="A424" s="7"/>
      <c r="B424" s="7"/>
      <c r="C424" s="7"/>
      <c r="D424" s="7"/>
      <c r="E424" s="7"/>
      <c r="F424" s="7"/>
      <c r="G424" s="7"/>
      <c r="H424" s="7"/>
      <c r="I424" s="8"/>
      <c r="J424" s="8"/>
      <c r="P424" s="10"/>
      <c r="Q424" s="10"/>
      <c r="R424" s="10"/>
      <c r="S424" s="10"/>
      <c r="T424" s="10"/>
      <c r="U424" s="10"/>
      <c r="V424" s="10"/>
      <c r="W424" s="10"/>
      <c r="X424" s="10"/>
      <c r="Z424" s="10"/>
      <c r="AA424" s="7"/>
      <c r="AB424" s="7"/>
      <c r="AC424" s="7"/>
      <c r="AD424" s="7"/>
      <c r="AE424" s="7"/>
      <c r="AF424" s="7"/>
      <c r="AG424" s="7"/>
      <c r="AH424" s="7"/>
      <c r="AI424" s="7"/>
    </row>
    <row r="425" spans="1:35" ht="12.75" customHeight="1">
      <c r="A425" s="7"/>
      <c r="B425" s="7"/>
      <c r="C425" s="7"/>
      <c r="D425" s="7"/>
      <c r="E425" s="7"/>
      <c r="F425" s="7"/>
      <c r="G425" s="7"/>
      <c r="H425" s="7"/>
      <c r="I425" s="8"/>
      <c r="J425" s="8"/>
      <c r="P425" s="10"/>
      <c r="Q425" s="10"/>
      <c r="R425" s="10"/>
      <c r="S425" s="10"/>
      <c r="T425" s="10"/>
      <c r="U425" s="10"/>
      <c r="V425" s="10"/>
      <c r="W425" s="10"/>
      <c r="X425" s="10"/>
      <c r="Z425" s="10"/>
      <c r="AA425" s="7"/>
      <c r="AB425" s="7"/>
      <c r="AC425" s="7"/>
      <c r="AD425" s="7"/>
      <c r="AE425" s="7"/>
      <c r="AF425" s="7"/>
      <c r="AG425" s="7"/>
      <c r="AH425" s="7"/>
      <c r="AI425" s="7"/>
    </row>
    <row r="426" spans="1:35" ht="12.75" customHeight="1">
      <c r="A426" s="7"/>
      <c r="B426" s="7"/>
      <c r="C426" s="7"/>
      <c r="D426" s="7"/>
      <c r="E426" s="7"/>
      <c r="F426" s="7"/>
      <c r="G426" s="7"/>
      <c r="H426" s="7"/>
      <c r="I426" s="8"/>
      <c r="J426" s="8"/>
      <c r="P426" s="10"/>
      <c r="Q426" s="10"/>
      <c r="R426" s="10"/>
      <c r="S426" s="10"/>
      <c r="T426" s="10"/>
      <c r="U426" s="10"/>
      <c r="V426" s="10"/>
      <c r="W426" s="10"/>
      <c r="X426" s="10"/>
      <c r="Z426" s="10"/>
      <c r="AA426" s="7"/>
      <c r="AB426" s="7"/>
      <c r="AC426" s="7"/>
      <c r="AD426" s="7"/>
      <c r="AE426" s="7"/>
      <c r="AF426" s="7"/>
      <c r="AG426" s="7"/>
      <c r="AH426" s="7"/>
      <c r="AI426" s="7"/>
    </row>
    <row r="427" spans="1:35" ht="12.75" customHeight="1">
      <c r="A427" s="7"/>
      <c r="B427" s="7"/>
      <c r="C427" s="7"/>
      <c r="D427" s="7"/>
      <c r="E427" s="7"/>
      <c r="F427" s="7"/>
      <c r="G427" s="7"/>
      <c r="H427" s="7"/>
      <c r="I427" s="8"/>
      <c r="J427" s="8"/>
      <c r="P427" s="10"/>
      <c r="Q427" s="10"/>
      <c r="R427" s="10"/>
      <c r="S427" s="10"/>
      <c r="T427" s="10"/>
      <c r="U427" s="10"/>
      <c r="V427" s="10"/>
      <c r="W427" s="10"/>
      <c r="X427" s="10"/>
      <c r="Z427" s="10"/>
      <c r="AA427" s="7"/>
      <c r="AB427" s="7"/>
      <c r="AC427" s="7"/>
      <c r="AD427" s="7"/>
      <c r="AE427" s="7"/>
      <c r="AF427" s="7"/>
      <c r="AG427" s="7"/>
      <c r="AH427" s="7"/>
      <c r="AI427" s="7"/>
    </row>
    <row r="428" spans="1:35" ht="12.75" customHeight="1">
      <c r="A428" s="7"/>
      <c r="B428" s="7"/>
      <c r="C428" s="7"/>
      <c r="D428" s="7"/>
      <c r="E428" s="7"/>
      <c r="F428" s="7"/>
      <c r="G428" s="7"/>
      <c r="H428" s="7"/>
      <c r="I428" s="8"/>
      <c r="J428" s="8"/>
      <c r="P428" s="10"/>
      <c r="Q428" s="10"/>
      <c r="R428" s="10"/>
      <c r="S428" s="10"/>
      <c r="T428" s="10"/>
      <c r="U428" s="10"/>
      <c r="V428" s="10"/>
      <c r="W428" s="10"/>
      <c r="X428" s="10"/>
      <c r="Z428" s="10"/>
      <c r="AA428" s="7"/>
      <c r="AB428" s="7"/>
      <c r="AC428" s="7"/>
      <c r="AD428" s="7"/>
      <c r="AE428" s="7"/>
      <c r="AF428" s="7"/>
      <c r="AG428" s="7"/>
      <c r="AH428" s="7"/>
      <c r="AI428" s="7"/>
    </row>
    <row r="429" spans="1:35" ht="12.75" customHeight="1">
      <c r="A429" s="7"/>
      <c r="B429" s="7"/>
      <c r="C429" s="7"/>
      <c r="D429" s="7"/>
      <c r="E429" s="7"/>
      <c r="F429" s="7"/>
      <c r="G429" s="7"/>
      <c r="H429" s="7"/>
      <c r="I429" s="8"/>
      <c r="J429" s="8"/>
      <c r="P429" s="10"/>
      <c r="Q429" s="10"/>
      <c r="R429" s="10"/>
      <c r="S429" s="10"/>
      <c r="T429" s="10"/>
      <c r="U429" s="10"/>
      <c r="V429" s="10"/>
      <c r="W429" s="10"/>
      <c r="X429" s="10"/>
      <c r="Z429" s="10"/>
      <c r="AA429" s="7"/>
      <c r="AB429" s="7"/>
      <c r="AC429" s="7"/>
      <c r="AD429" s="7"/>
      <c r="AE429" s="7"/>
      <c r="AF429" s="7"/>
      <c r="AG429" s="7"/>
      <c r="AH429" s="7"/>
      <c r="AI429" s="7"/>
    </row>
    <row r="430" spans="1:35" ht="12.75" customHeight="1">
      <c r="A430" s="7"/>
      <c r="B430" s="7"/>
      <c r="C430" s="7"/>
      <c r="D430" s="7"/>
      <c r="E430" s="7"/>
      <c r="F430" s="7"/>
      <c r="G430" s="7"/>
      <c r="H430" s="7"/>
      <c r="I430" s="8"/>
      <c r="J430" s="8"/>
      <c r="P430" s="10"/>
      <c r="Q430" s="10"/>
      <c r="R430" s="10"/>
      <c r="S430" s="10"/>
      <c r="T430" s="10"/>
      <c r="U430" s="10"/>
      <c r="V430" s="10"/>
      <c r="W430" s="10"/>
      <c r="X430" s="10"/>
      <c r="Z430" s="10"/>
      <c r="AA430" s="7"/>
      <c r="AB430" s="7"/>
      <c r="AC430" s="7"/>
      <c r="AD430" s="7"/>
      <c r="AE430" s="7"/>
      <c r="AF430" s="7"/>
      <c r="AG430" s="7"/>
      <c r="AH430" s="7"/>
      <c r="AI430" s="7"/>
    </row>
    <row r="431" spans="1:35" ht="12.75" customHeight="1">
      <c r="A431" s="7"/>
      <c r="B431" s="7"/>
      <c r="C431" s="7"/>
      <c r="D431" s="7"/>
      <c r="E431" s="7"/>
      <c r="F431" s="7"/>
      <c r="G431" s="7"/>
      <c r="H431" s="7"/>
      <c r="I431" s="8"/>
      <c r="J431" s="8"/>
      <c r="P431" s="10"/>
      <c r="Q431" s="10"/>
      <c r="R431" s="10"/>
      <c r="S431" s="10"/>
      <c r="T431" s="10"/>
      <c r="U431" s="10"/>
      <c r="V431" s="10"/>
      <c r="W431" s="10"/>
      <c r="X431" s="10"/>
      <c r="Z431" s="10"/>
      <c r="AA431" s="7"/>
      <c r="AB431" s="7"/>
      <c r="AC431" s="7"/>
      <c r="AD431" s="7"/>
      <c r="AE431" s="7"/>
      <c r="AF431" s="7"/>
      <c r="AG431" s="7"/>
      <c r="AH431" s="7"/>
      <c r="AI431" s="7"/>
    </row>
    <row r="432" spans="1:35" ht="12.75" customHeight="1">
      <c r="A432" s="7"/>
      <c r="B432" s="7"/>
      <c r="C432" s="7"/>
      <c r="D432" s="7"/>
      <c r="E432" s="7"/>
      <c r="F432" s="7"/>
      <c r="G432" s="7"/>
      <c r="H432" s="7"/>
      <c r="I432" s="8"/>
      <c r="J432" s="8"/>
      <c r="P432" s="10"/>
      <c r="Q432" s="10"/>
      <c r="R432" s="10"/>
      <c r="S432" s="10"/>
      <c r="T432" s="10"/>
      <c r="U432" s="10"/>
      <c r="V432" s="10"/>
      <c r="W432" s="10"/>
      <c r="X432" s="10"/>
      <c r="Z432" s="10"/>
      <c r="AA432" s="7"/>
      <c r="AB432" s="7"/>
      <c r="AC432" s="7"/>
      <c r="AD432" s="7"/>
      <c r="AE432" s="7"/>
      <c r="AF432" s="7"/>
      <c r="AG432" s="7"/>
      <c r="AH432" s="7"/>
      <c r="AI432" s="7"/>
    </row>
    <row r="433" spans="1:35" ht="12.75" customHeight="1">
      <c r="A433" s="7"/>
      <c r="B433" s="7"/>
      <c r="C433" s="7"/>
      <c r="D433" s="7"/>
      <c r="E433" s="7"/>
      <c r="F433" s="7"/>
      <c r="G433" s="7"/>
      <c r="H433" s="7"/>
      <c r="I433" s="8"/>
      <c r="J433" s="8"/>
      <c r="P433" s="10"/>
      <c r="Q433" s="10"/>
      <c r="R433" s="10"/>
      <c r="S433" s="10"/>
      <c r="T433" s="10"/>
      <c r="U433" s="10"/>
      <c r="V433" s="10"/>
      <c r="W433" s="10"/>
      <c r="X433" s="10"/>
      <c r="Z433" s="10"/>
      <c r="AA433" s="7"/>
      <c r="AB433" s="7"/>
      <c r="AC433" s="7"/>
      <c r="AD433" s="7"/>
      <c r="AE433" s="7"/>
      <c r="AF433" s="7"/>
      <c r="AG433" s="7"/>
      <c r="AH433" s="7"/>
      <c r="AI433" s="7"/>
    </row>
    <row r="434" spans="1:35" ht="12.75" customHeight="1">
      <c r="A434" s="7"/>
      <c r="B434" s="7"/>
      <c r="C434" s="7"/>
      <c r="D434" s="7"/>
      <c r="E434" s="7"/>
      <c r="F434" s="7"/>
      <c r="G434" s="7"/>
      <c r="H434" s="7"/>
      <c r="I434" s="8"/>
      <c r="J434" s="8"/>
      <c r="P434" s="10"/>
      <c r="Q434" s="10"/>
      <c r="R434" s="10"/>
      <c r="S434" s="10"/>
      <c r="T434" s="10"/>
      <c r="U434" s="10"/>
      <c r="V434" s="10"/>
      <c r="W434" s="10"/>
      <c r="X434" s="10"/>
      <c r="Z434" s="10"/>
      <c r="AA434" s="7"/>
      <c r="AB434" s="7"/>
      <c r="AC434" s="7"/>
      <c r="AD434" s="7"/>
      <c r="AE434" s="7"/>
      <c r="AF434" s="7"/>
      <c r="AG434" s="7"/>
      <c r="AH434" s="7"/>
      <c r="AI434" s="7"/>
    </row>
    <row r="435" spans="1:35" ht="12.75" customHeight="1">
      <c r="A435" s="7"/>
      <c r="B435" s="7"/>
      <c r="C435" s="7"/>
      <c r="D435" s="7"/>
      <c r="E435" s="7"/>
      <c r="F435" s="7"/>
      <c r="G435" s="7"/>
      <c r="H435" s="7"/>
      <c r="I435" s="8"/>
      <c r="J435" s="8"/>
      <c r="P435" s="10"/>
      <c r="Q435" s="10"/>
      <c r="R435" s="10"/>
      <c r="S435" s="10"/>
      <c r="T435" s="10"/>
      <c r="U435" s="10"/>
      <c r="V435" s="10"/>
      <c r="W435" s="10"/>
      <c r="X435" s="10"/>
      <c r="Z435" s="10"/>
      <c r="AA435" s="7"/>
      <c r="AB435" s="7"/>
      <c r="AC435" s="7"/>
      <c r="AD435" s="7"/>
      <c r="AE435" s="7"/>
      <c r="AF435" s="7"/>
      <c r="AG435" s="7"/>
      <c r="AH435" s="7"/>
      <c r="AI435" s="7"/>
    </row>
    <row r="436" spans="1:35" ht="12.75" customHeight="1">
      <c r="A436" s="7"/>
      <c r="B436" s="7"/>
      <c r="C436" s="7"/>
      <c r="D436" s="7"/>
      <c r="E436" s="7"/>
      <c r="F436" s="7"/>
      <c r="G436" s="7"/>
      <c r="H436" s="7"/>
      <c r="I436" s="8"/>
      <c r="J436" s="8"/>
      <c r="P436" s="10"/>
      <c r="Q436" s="10"/>
      <c r="R436" s="10"/>
      <c r="S436" s="10"/>
      <c r="T436" s="10"/>
      <c r="U436" s="10"/>
      <c r="V436" s="10"/>
      <c r="W436" s="10"/>
      <c r="X436" s="10"/>
      <c r="Z436" s="10"/>
      <c r="AA436" s="7"/>
      <c r="AB436" s="7"/>
      <c r="AC436" s="7"/>
      <c r="AD436" s="7"/>
      <c r="AE436" s="7"/>
      <c r="AF436" s="7"/>
      <c r="AG436" s="7"/>
      <c r="AH436" s="7"/>
      <c r="AI436" s="7"/>
    </row>
    <row r="437" spans="1:35" ht="12.75" customHeight="1">
      <c r="A437" s="7"/>
      <c r="B437" s="7"/>
      <c r="C437" s="7"/>
      <c r="D437" s="7"/>
      <c r="E437" s="7"/>
      <c r="F437" s="7"/>
      <c r="G437" s="7"/>
      <c r="H437" s="7"/>
      <c r="I437" s="8"/>
      <c r="J437" s="8"/>
      <c r="P437" s="10"/>
      <c r="Q437" s="10"/>
      <c r="R437" s="10"/>
      <c r="S437" s="10"/>
      <c r="T437" s="10"/>
      <c r="U437" s="10"/>
      <c r="V437" s="10"/>
      <c r="W437" s="10"/>
      <c r="X437" s="10"/>
      <c r="Z437" s="10"/>
      <c r="AA437" s="7"/>
      <c r="AB437" s="7"/>
      <c r="AC437" s="7"/>
      <c r="AD437" s="7"/>
      <c r="AE437" s="7"/>
      <c r="AF437" s="7"/>
      <c r="AG437" s="7"/>
      <c r="AH437" s="7"/>
      <c r="AI437" s="7"/>
    </row>
    <row r="438" spans="1:35" ht="12.75" customHeight="1">
      <c r="A438" s="7"/>
      <c r="B438" s="7"/>
      <c r="C438" s="7"/>
      <c r="D438" s="7"/>
      <c r="E438" s="7"/>
      <c r="F438" s="7"/>
      <c r="G438" s="7"/>
      <c r="H438" s="7"/>
      <c r="I438" s="8"/>
      <c r="J438" s="8"/>
      <c r="P438" s="10"/>
      <c r="Q438" s="10"/>
      <c r="R438" s="10"/>
      <c r="S438" s="10"/>
      <c r="T438" s="10"/>
      <c r="U438" s="10"/>
      <c r="V438" s="10"/>
      <c r="W438" s="10"/>
      <c r="X438" s="10"/>
      <c r="Z438" s="10"/>
      <c r="AA438" s="7"/>
      <c r="AB438" s="7"/>
      <c r="AC438" s="7"/>
      <c r="AD438" s="7"/>
      <c r="AE438" s="7"/>
      <c r="AF438" s="7"/>
      <c r="AG438" s="7"/>
      <c r="AH438" s="7"/>
      <c r="AI438" s="7"/>
    </row>
    <row r="439" spans="1:35" ht="12.75" customHeight="1">
      <c r="A439" s="7"/>
      <c r="B439" s="7"/>
      <c r="C439" s="7"/>
      <c r="D439" s="7"/>
      <c r="E439" s="7"/>
      <c r="F439" s="7"/>
      <c r="G439" s="7"/>
      <c r="H439" s="7"/>
      <c r="I439" s="8"/>
      <c r="J439" s="8"/>
      <c r="P439" s="10"/>
      <c r="Q439" s="10"/>
      <c r="R439" s="10"/>
      <c r="S439" s="10"/>
      <c r="T439" s="10"/>
      <c r="U439" s="10"/>
      <c r="V439" s="10"/>
      <c r="W439" s="10"/>
      <c r="X439" s="10"/>
      <c r="Z439" s="10"/>
      <c r="AA439" s="7"/>
      <c r="AB439" s="7"/>
      <c r="AC439" s="7"/>
      <c r="AD439" s="7"/>
      <c r="AE439" s="7"/>
      <c r="AF439" s="7"/>
      <c r="AG439" s="7"/>
      <c r="AH439" s="7"/>
      <c r="AI439" s="7"/>
    </row>
    <row r="440" spans="1:35" ht="12.75" customHeight="1">
      <c r="A440" s="7"/>
      <c r="B440" s="7"/>
      <c r="C440" s="7"/>
      <c r="D440" s="7"/>
      <c r="E440" s="7"/>
      <c r="F440" s="7"/>
      <c r="G440" s="7"/>
      <c r="H440" s="7"/>
      <c r="I440" s="8"/>
      <c r="J440" s="8"/>
      <c r="P440" s="10"/>
      <c r="Q440" s="10"/>
      <c r="R440" s="10"/>
      <c r="S440" s="10"/>
      <c r="T440" s="10"/>
      <c r="U440" s="10"/>
      <c r="V440" s="10"/>
      <c r="W440" s="10"/>
      <c r="X440" s="10"/>
      <c r="Z440" s="10"/>
      <c r="AA440" s="7"/>
      <c r="AB440" s="7"/>
      <c r="AC440" s="7"/>
      <c r="AD440" s="7"/>
      <c r="AE440" s="7"/>
      <c r="AF440" s="7"/>
      <c r="AG440" s="7"/>
      <c r="AH440" s="7"/>
      <c r="AI440" s="7"/>
    </row>
    <row r="441" spans="1:35" ht="12.75" customHeight="1">
      <c r="A441" s="7"/>
      <c r="B441" s="7"/>
      <c r="C441" s="7"/>
      <c r="D441" s="7"/>
      <c r="E441" s="7"/>
      <c r="F441" s="7"/>
      <c r="G441" s="7"/>
      <c r="H441" s="7"/>
      <c r="I441" s="8"/>
      <c r="J441" s="8"/>
      <c r="P441" s="10"/>
      <c r="Q441" s="10"/>
      <c r="R441" s="10"/>
      <c r="S441" s="10"/>
      <c r="T441" s="10"/>
      <c r="U441" s="10"/>
      <c r="V441" s="10"/>
      <c r="W441" s="10"/>
      <c r="X441" s="10"/>
      <c r="Z441" s="10"/>
      <c r="AA441" s="7"/>
      <c r="AB441" s="7"/>
      <c r="AC441" s="7"/>
      <c r="AD441" s="7"/>
      <c r="AE441" s="7"/>
      <c r="AF441" s="7"/>
      <c r="AG441" s="7"/>
      <c r="AH441" s="7"/>
      <c r="AI441" s="7"/>
    </row>
    <row r="442" spans="1:35" ht="12.75" customHeight="1">
      <c r="A442" s="7"/>
      <c r="B442" s="7"/>
      <c r="C442" s="7"/>
      <c r="D442" s="7"/>
      <c r="E442" s="7"/>
      <c r="F442" s="7"/>
      <c r="G442" s="7"/>
      <c r="H442" s="7"/>
      <c r="I442" s="8"/>
      <c r="J442" s="8"/>
      <c r="P442" s="10"/>
      <c r="Q442" s="10"/>
      <c r="R442" s="10"/>
      <c r="S442" s="10"/>
      <c r="T442" s="10"/>
      <c r="U442" s="10"/>
      <c r="V442" s="10"/>
      <c r="W442" s="10"/>
      <c r="X442" s="10"/>
      <c r="Z442" s="10"/>
      <c r="AA442" s="7"/>
      <c r="AB442" s="7"/>
      <c r="AC442" s="7"/>
      <c r="AD442" s="7"/>
      <c r="AE442" s="7"/>
      <c r="AF442" s="7"/>
      <c r="AG442" s="7"/>
      <c r="AH442" s="7"/>
      <c r="AI442" s="7"/>
    </row>
    <row r="443" spans="1:35" ht="12.75" customHeight="1">
      <c r="A443" s="7"/>
      <c r="B443" s="7"/>
      <c r="C443" s="7"/>
      <c r="D443" s="7"/>
      <c r="E443" s="7"/>
      <c r="F443" s="7"/>
      <c r="G443" s="7"/>
      <c r="H443" s="7"/>
      <c r="I443" s="8"/>
      <c r="J443" s="8"/>
      <c r="P443" s="10"/>
      <c r="Q443" s="10"/>
      <c r="R443" s="10"/>
      <c r="S443" s="10"/>
      <c r="T443" s="10"/>
      <c r="U443" s="10"/>
      <c r="V443" s="10"/>
      <c r="W443" s="10"/>
      <c r="X443" s="10"/>
      <c r="Z443" s="10"/>
      <c r="AA443" s="7"/>
      <c r="AB443" s="7"/>
      <c r="AC443" s="7"/>
      <c r="AD443" s="7"/>
      <c r="AE443" s="7"/>
      <c r="AF443" s="7"/>
      <c r="AG443" s="7"/>
      <c r="AH443" s="7"/>
      <c r="AI443" s="7"/>
    </row>
    <row r="444" spans="1:35" ht="12.75" customHeight="1">
      <c r="A444" s="7"/>
      <c r="B444" s="7"/>
      <c r="C444" s="7"/>
      <c r="D444" s="7"/>
      <c r="E444" s="7"/>
      <c r="F444" s="7"/>
      <c r="G444" s="7"/>
      <c r="H444" s="7"/>
      <c r="I444" s="8"/>
      <c r="J444" s="8"/>
      <c r="P444" s="10"/>
      <c r="Q444" s="10"/>
      <c r="R444" s="10"/>
      <c r="S444" s="10"/>
      <c r="T444" s="10"/>
      <c r="U444" s="10"/>
      <c r="V444" s="10"/>
      <c r="W444" s="10"/>
      <c r="X444" s="10"/>
      <c r="Z444" s="10"/>
      <c r="AA444" s="7"/>
      <c r="AB444" s="7"/>
      <c r="AC444" s="7"/>
      <c r="AD444" s="7"/>
      <c r="AE444" s="7"/>
      <c r="AF444" s="7"/>
      <c r="AG444" s="7"/>
      <c r="AH444" s="7"/>
      <c r="AI444" s="7"/>
    </row>
    <row r="445" spans="1:35" ht="12.75" customHeight="1">
      <c r="A445" s="7"/>
      <c r="B445" s="7"/>
      <c r="C445" s="7"/>
      <c r="D445" s="7"/>
      <c r="E445" s="7"/>
      <c r="F445" s="7"/>
      <c r="G445" s="7"/>
      <c r="H445" s="7"/>
      <c r="I445" s="8"/>
      <c r="J445" s="8"/>
      <c r="P445" s="10"/>
      <c r="Q445" s="10"/>
      <c r="R445" s="10"/>
      <c r="S445" s="10"/>
      <c r="T445" s="10"/>
      <c r="U445" s="10"/>
      <c r="V445" s="10"/>
      <c r="W445" s="10"/>
      <c r="X445" s="10"/>
      <c r="Z445" s="10"/>
      <c r="AA445" s="7"/>
      <c r="AB445" s="7"/>
      <c r="AC445" s="7"/>
      <c r="AD445" s="7"/>
      <c r="AE445" s="7"/>
      <c r="AF445" s="7"/>
      <c r="AG445" s="7"/>
      <c r="AH445" s="7"/>
      <c r="AI445" s="7"/>
    </row>
    <row r="446" spans="1:35" ht="12.75" customHeight="1">
      <c r="A446" s="7"/>
      <c r="B446" s="7"/>
      <c r="C446" s="7"/>
      <c r="D446" s="7"/>
      <c r="E446" s="7"/>
      <c r="F446" s="7"/>
      <c r="G446" s="7"/>
      <c r="H446" s="7"/>
      <c r="I446" s="8"/>
      <c r="J446" s="8"/>
      <c r="P446" s="10"/>
      <c r="Q446" s="10"/>
      <c r="R446" s="10"/>
      <c r="S446" s="10"/>
      <c r="T446" s="10"/>
      <c r="U446" s="10"/>
      <c r="V446" s="10"/>
      <c r="W446" s="10"/>
      <c r="X446" s="10"/>
      <c r="Z446" s="10"/>
      <c r="AA446" s="7"/>
      <c r="AB446" s="7"/>
      <c r="AC446" s="7"/>
      <c r="AD446" s="7"/>
      <c r="AE446" s="7"/>
      <c r="AF446" s="7"/>
      <c r="AG446" s="7"/>
      <c r="AH446" s="7"/>
      <c r="AI446" s="7"/>
    </row>
    <row r="447" spans="1:35" ht="12.75" customHeight="1">
      <c r="A447" s="7"/>
      <c r="B447" s="7"/>
      <c r="C447" s="7"/>
      <c r="D447" s="7"/>
      <c r="E447" s="7"/>
      <c r="F447" s="7"/>
      <c r="G447" s="7"/>
      <c r="H447" s="7"/>
      <c r="I447" s="8"/>
      <c r="J447" s="8"/>
      <c r="P447" s="10"/>
      <c r="Q447" s="10"/>
      <c r="R447" s="10"/>
      <c r="S447" s="10"/>
      <c r="T447" s="10"/>
      <c r="U447" s="10"/>
      <c r="V447" s="10"/>
      <c r="W447" s="10"/>
      <c r="X447" s="10"/>
      <c r="Z447" s="10"/>
      <c r="AA447" s="7"/>
      <c r="AB447" s="7"/>
      <c r="AC447" s="7"/>
      <c r="AD447" s="7"/>
      <c r="AE447" s="7"/>
      <c r="AF447" s="7"/>
      <c r="AG447" s="7"/>
      <c r="AH447" s="7"/>
      <c r="AI447" s="7"/>
    </row>
    <row r="448" spans="1:35" ht="12.75" customHeight="1">
      <c r="A448" s="7"/>
      <c r="B448" s="7"/>
      <c r="C448" s="7"/>
      <c r="D448" s="7"/>
      <c r="E448" s="7"/>
      <c r="F448" s="7"/>
      <c r="G448" s="7"/>
      <c r="H448" s="7"/>
      <c r="I448" s="8"/>
      <c r="J448" s="8"/>
      <c r="P448" s="10"/>
      <c r="Q448" s="10"/>
      <c r="R448" s="10"/>
      <c r="S448" s="10"/>
      <c r="T448" s="10"/>
      <c r="U448" s="10"/>
      <c r="V448" s="10"/>
      <c r="W448" s="10"/>
      <c r="X448" s="10"/>
      <c r="Z448" s="10"/>
      <c r="AA448" s="7"/>
      <c r="AB448" s="7"/>
      <c r="AC448" s="7"/>
      <c r="AD448" s="7"/>
      <c r="AE448" s="7"/>
      <c r="AF448" s="7"/>
      <c r="AG448" s="7"/>
      <c r="AH448" s="7"/>
      <c r="AI448" s="7"/>
    </row>
    <row r="449" spans="1:35" ht="12.75" customHeight="1">
      <c r="A449" s="7"/>
      <c r="B449" s="7"/>
      <c r="C449" s="7"/>
      <c r="D449" s="7"/>
      <c r="E449" s="7"/>
      <c r="F449" s="7"/>
      <c r="G449" s="7"/>
      <c r="H449" s="7"/>
      <c r="I449" s="8"/>
      <c r="J449" s="8"/>
      <c r="P449" s="10"/>
      <c r="Q449" s="10"/>
      <c r="R449" s="10"/>
      <c r="S449" s="10"/>
      <c r="T449" s="10"/>
      <c r="U449" s="10"/>
      <c r="V449" s="10"/>
      <c r="W449" s="10"/>
      <c r="X449" s="10"/>
      <c r="Z449" s="10"/>
      <c r="AA449" s="7"/>
      <c r="AB449" s="7"/>
      <c r="AC449" s="7"/>
      <c r="AD449" s="7"/>
      <c r="AE449" s="7"/>
      <c r="AF449" s="7"/>
      <c r="AG449" s="7"/>
      <c r="AH449" s="7"/>
      <c r="AI449" s="7"/>
    </row>
    <row r="450" spans="1:35" ht="12.75" customHeight="1">
      <c r="A450" s="7"/>
      <c r="B450" s="7"/>
      <c r="C450" s="7"/>
      <c r="D450" s="7"/>
      <c r="E450" s="7"/>
      <c r="F450" s="7"/>
      <c r="G450" s="7"/>
      <c r="H450" s="7"/>
      <c r="I450" s="8"/>
      <c r="J450" s="8"/>
      <c r="P450" s="10"/>
      <c r="Q450" s="10"/>
      <c r="R450" s="10"/>
      <c r="S450" s="10"/>
      <c r="T450" s="10"/>
      <c r="U450" s="10"/>
      <c r="V450" s="10"/>
      <c r="W450" s="10"/>
      <c r="X450" s="10"/>
      <c r="Z450" s="10"/>
      <c r="AA450" s="7"/>
      <c r="AB450" s="7"/>
      <c r="AC450" s="7"/>
      <c r="AD450" s="7"/>
      <c r="AE450" s="7"/>
      <c r="AF450" s="7"/>
      <c r="AG450" s="7"/>
      <c r="AH450" s="7"/>
      <c r="AI450" s="7"/>
    </row>
    <row r="451" spans="1:35" ht="12.75" customHeight="1">
      <c r="A451" s="7"/>
      <c r="B451" s="7"/>
      <c r="C451" s="7"/>
      <c r="D451" s="7"/>
      <c r="E451" s="7"/>
      <c r="F451" s="7"/>
      <c r="G451" s="7"/>
      <c r="H451" s="7"/>
      <c r="I451" s="8"/>
      <c r="J451" s="8"/>
      <c r="P451" s="10"/>
      <c r="Q451" s="10"/>
      <c r="R451" s="10"/>
      <c r="S451" s="10"/>
      <c r="T451" s="10"/>
      <c r="U451" s="10"/>
      <c r="V451" s="10"/>
      <c r="W451" s="10"/>
      <c r="X451" s="10"/>
      <c r="Z451" s="10"/>
      <c r="AA451" s="7"/>
      <c r="AB451" s="7"/>
      <c r="AC451" s="7"/>
      <c r="AD451" s="7"/>
      <c r="AE451" s="7"/>
      <c r="AF451" s="7"/>
      <c r="AG451" s="7"/>
      <c r="AH451" s="7"/>
      <c r="AI451" s="7"/>
    </row>
    <row r="452" spans="1:35" ht="12.75" customHeight="1">
      <c r="A452" s="7"/>
      <c r="B452" s="7"/>
      <c r="C452" s="7"/>
      <c r="D452" s="7"/>
      <c r="E452" s="7"/>
      <c r="F452" s="7"/>
      <c r="G452" s="7"/>
      <c r="H452" s="7"/>
      <c r="I452" s="8"/>
      <c r="J452" s="8"/>
      <c r="P452" s="10"/>
      <c r="Q452" s="10"/>
      <c r="R452" s="10"/>
      <c r="S452" s="10"/>
      <c r="T452" s="10"/>
      <c r="U452" s="10"/>
      <c r="V452" s="10"/>
      <c r="W452" s="10"/>
      <c r="X452" s="10"/>
      <c r="Z452" s="10"/>
      <c r="AA452" s="7"/>
      <c r="AB452" s="7"/>
      <c r="AC452" s="7"/>
      <c r="AD452" s="7"/>
      <c r="AE452" s="7"/>
      <c r="AF452" s="7"/>
      <c r="AG452" s="7"/>
      <c r="AH452" s="7"/>
      <c r="AI452" s="7"/>
    </row>
    <row r="453" spans="1:35" ht="12.75" customHeight="1">
      <c r="A453" s="7"/>
      <c r="B453" s="7"/>
      <c r="C453" s="7"/>
      <c r="D453" s="7"/>
      <c r="E453" s="7"/>
      <c r="F453" s="7"/>
      <c r="G453" s="7"/>
      <c r="H453" s="7"/>
      <c r="I453" s="8"/>
      <c r="J453" s="8"/>
      <c r="P453" s="10"/>
      <c r="Q453" s="10"/>
      <c r="R453" s="10"/>
      <c r="S453" s="10"/>
      <c r="T453" s="10"/>
      <c r="U453" s="10"/>
      <c r="V453" s="10"/>
      <c r="W453" s="10"/>
      <c r="X453" s="10"/>
      <c r="Z453" s="10"/>
      <c r="AA453" s="7"/>
      <c r="AB453" s="7"/>
      <c r="AC453" s="7"/>
      <c r="AD453" s="7"/>
      <c r="AE453" s="7"/>
      <c r="AF453" s="7"/>
      <c r="AG453" s="7"/>
      <c r="AH453" s="7"/>
      <c r="AI453" s="7"/>
    </row>
    <row r="454" spans="1:35" ht="12.75" customHeight="1">
      <c r="A454" s="7"/>
      <c r="B454" s="7"/>
      <c r="C454" s="7"/>
      <c r="D454" s="7"/>
      <c r="E454" s="7"/>
      <c r="F454" s="7"/>
      <c r="G454" s="7"/>
      <c r="H454" s="7"/>
      <c r="I454" s="8"/>
      <c r="J454" s="8"/>
      <c r="P454" s="10"/>
      <c r="Q454" s="10"/>
      <c r="R454" s="10"/>
      <c r="S454" s="10"/>
      <c r="T454" s="10"/>
      <c r="U454" s="10"/>
      <c r="V454" s="10"/>
      <c r="W454" s="10"/>
      <c r="X454" s="10"/>
      <c r="Z454" s="10"/>
      <c r="AA454" s="7"/>
      <c r="AB454" s="7"/>
      <c r="AC454" s="7"/>
      <c r="AD454" s="7"/>
      <c r="AE454" s="7"/>
      <c r="AF454" s="7"/>
      <c r="AG454" s="7"/>
      <c r="AH454" s="7"/>
      <c r="AI454" s="7"/>
    </row>
    <row r="455" spans="1:35" ht="12.75" customHeight="1">
      <c r="A455" s="7"/>
      <c r="B455" s="7"/>
      <c r="C455" s="7"/>
      <c r="D455" s="7"/>
      <c r="E455" s="7"/>
      <c r="F455" s="7"/>
      <c r="G455" s="7"/>
      <c r="H455" s="7"/>
      <c r="I455" s="8"/>
      <c r="J455" s="8"/>
      <c r="P455" s="10"/>
      <c r="Q455" s="10"/>
      <c r="R455" s="10"/>
      <c r="S455" s="10"/>
      <c r="T455" s="10"/>
      <c r="U455" s="10"/>
      <c r="V455" s="10"/>
      <c r="W455" s="10"/>
      <c r="X455" s="10"/>
      <c r="Z455" s="10"/>
      <c r="AA455" s="7"/>
      <c r="AB455" s="7"/>
      <c r="AC455" s="7"/>
      <c r="AD455" s="7"/>
      <c r="AE455" s="7"/>
      <c r="AF455" s="7"/>
      <c r="AG455" s="7"/>
      <c r="AH455" s="7"/>
      <c r="AI455" s="7"/>
    </row>
    <row r="456" spans="1:35" ht="12.75" customHeight="1">
      <c r="A456" s="7"/>
      <c r="B456" s="7"/>
      <c r="C456" s="7"/>
      <c r="D456" s="7"/>
      <c r="E456" s="7"/>
      <c r="F456" s="7"/>
      <c r="G456" s="7"/>
      <c r="H456" s="7"/>
      <c r="I456" s="8"/>
      <c r="J456" s="8"/>
      <c r="P456" s="10"/>
      <c r="Q456" s="10"/>
      <c r="R456" s="10"/>
      <c r="S456" s="10"/>
      <c r="T456" s="10"/>
      <c r="U456" s="10"/>
      <c r="V456" s="10"/>
      <c r="W456" s="10"/>
      <c r="X456" s="10"/>
      <c r="Z456" s="10"/>
      <c r="AA456" s="7"/>
      <c r="AB456" s="7"/>
      <c r="AC456" s="7"/>
      <c r="AD456" s="7"/>
      <c r="AE456" s="7"/>
      <c r="AF456" s="7"/>
      <c r="AG456" s="7"/>
      <c r="AH456" s="7"/>
      <c r="AI456" s="7"/>
    </row>
    <row r="457" spans="1:35" ht="12.75" customHeight="1">
      <c r="A457" s="7"/>
      <c r="B457" s="7"/>
      <c r="C457" s="7"/>
      <c r="D457" s="7"/>
      <c r="E457" s="7"/>
      <c r="F457" s="7"/>
      <c r="G457" s="7"/>
      <c r="H457" s="7"/>
      <c r="I457" s="8"/>
      <c r="J457" s="8"/>
      <c r="P457" s="10"/>
      <c r="Q457" s="10"/>
      <c r="R457" s="10"/>
      <c r="S457" s="10"/>
      <c r="T457" s="10"/>
      <c r="U457" s="10"/>
      <c r="V457" s="10"/>
      <c r="W457" s="10"/>
      <c r="X457" s="10"/>
      <c r="Z457" s="10"/>
      <c r="AA457" s="7"/>
      <c r="AB457" s="7"/>
      <c r="AC457" s="7"/>
      <c r="AD457" s="7"/>
      <c r="AE457" s="7"/>
      <c r="AF457" s="7"/>
      <c r="AG457" s="7"/>
      <c r="AH457" s="7"/>
      <c r="AI457" s="7"/>
    </row>
    <row r="458" spans="1:35" ht="12.75" customHeight="1">
      <c r="A458" s="7"/>
      <c r="B458" s="7"/>
      <c r="C458" s="7"/>
      <c r="D458" s="7"/>
      <c r="E458" s="7"/>
      <c r="F458" s="7"/>
      <c r="G458" s="7"/>
      <c r="H458" s="7"/>
      <c r="I458" s="8"/>
      <c r="J458" s="8"/>
      <c r="P458" s="10"/>
      <c r="Q458" s="10"/>
      <c r="R458" s="10"/>
      <c r="S458" s="10"/>
      <c r="T458" s="10"/>
      <c r="U458" s="10"/>
      <c r="V458" s="10"/>
      <c r="W458" s="10"/>
      <c r="X458" s="10"/>
      <c r="Z458" s="10"/>
      <c r="AA458" s="7"/>
      <c r="AB458" s="7"/>
      <c r="AC458" s="7"/>
      <c r="AD458" s="7"/>
      <c r="AE458" s="7"/>
      <c r="AF458" s="7"/>
      <c r="AG458" s="7"/>
      <c r="AH458" s="7"/>
      <c r="AI458" s="7"/>
    </row>
    <row r="459" spans="1:35" ht="12.75" customHeight="1">
      <c r="A459" s="7"/>
      <c r="B459" s="7"/>
      <c r="C459" s="7"/>
      <c r="D459" s="7"/>
      <c r="E459" s="7"/>
      <c r="F459" s="7"/>
      <c r="G459" s="7"/>
      <c r="H459" s="7"/>
      <c r="I459" s="8"/>
      <c r="J459" s="8"/>
      <c r="P459" s="10"/>
      <c r="Q459" s="10"/>
      <c r="R459" s="10"/>
      <c r="S459" s="10"/>
      <c r="T459" s="10"/>
      <c r="U459" s="10"/>
      <c r="V459" s="10"/>
      <c r="W459" s="10"/>
      <c r="X459" s="10"/>
      <c r="Z459" s="10"/>
      <c r="AA459" s="7"/>
      <c r="AB459" s="7"/>
      <c r="AC459" s="7"/>
      <c r="AD459" s="7"/>
      <c r="AE459" s="7"/>
      <c r="AF459" s="7"/>
      <c r="AG459" s="7"/>
      <c r="AH459" s="7"/>
      <c r="AI459" s="7"/>
    </row>
    <row r="460" spans="1:35" ht="12.75" customHeight="1">
      <c r="A460" s="7"/>
      <c r="B460" s="7"/>
      <c r="C460" s="7"/>
      <c r="D460" s="7"/>
      <c r="E460" s="7"/>
      <c r="F460" s="7"/>
      <c r="G460" s="7"/>
      <c r="H460" s="7"/>
      <c r="I460" s="8"/>
      <c r="J460" s="8"/>
      <c r="P460" s="10"/>
      <c r="Q460" s="10"/>
      <c r="R460" s="10"/>
      <c r="S460" s="10"/>
      <c r="T460" s="10"/>
      <c r="U460" s="10"/>
      <c r="V460" s="10"/>
      <c r="W460" s="10"/>
      <c r="X460" s="10"/>
      <c r="Z460" s="10"/>
      <c r="AA460" s="7"/>
      <c r="AB460" s="7"/>
      <c r="AC460" s="7"/>
      <c r="AD460" s="7"/>
      <c r="AE460" s="7"/>
      <c r="AF460" s="7"/>
      <c r="AG460" s="7"/>
      <c r="AH460" s="7"/>
      <c r="AI460" s="7"/>
    </row>
    <row r="461" spans="1:35" ht="12.75" customHeight="1">
      <c r="A461" s="7"/>
      <c r="B461" s="7"/>
      <c r="C461" s="7"/>
      <c r="D461" s="7"/>
      <c r="E461" s="7"/>
      <c r="F461" s="7"/>
      <c r="G461" s="7"/>
      <c r="H461" s="7"/>
      <c r="I461" s="8"/>
      <c r="J461" s="8"/>
      <c r="P461" s="10"/>
      <c r="Q461" s="10"/>
      <c r="R461" s="10"/>
      <c r="S461" s="10"/>
      <c r="T461" s="10"/>
      <c r="U461" s="10"/>
      <c r="V461" s="10"/>
      <c r="W461" s="10"/>
      <c r="X461" s="10"/>
      <c r="Z461" s="10"/>
      <c r="AA461" s="7"/>
      <c r="AB461" s="7"/>
      <c r="AC461" s="7"/>
      <c r="AD461" s="7"/>
      <c r="AE461" s="7"/>
      <c r="AF461" s="7"/>
      <c r="AG461" s="7"/>
      <c r="AH461" s="7"/>
      <c r="AI461" s="7"/>
    </row>
    <row r="462" spans="1:35" ht="12.75" customHeight="1">
      <c r="A462" s="7"/>
      <c r="B462" s="7"/>
      <c r="C462" s="7"/>
      <c r="D462" s="7"/>
      <c r="E462" s="7"/>
      <c r="F462" s="7"/>
      <c r="G462" s="7"/>
      <c r="H462" s="7"/>
      <c r="I462" s="8"/>
      <c r="J462" s="8"/>
      <c r="P462" s="10"/>
      <c r="Q462" s="10"/>
      <c r="R462" s="10"/>
      <c r="S462" s="10"/>
      <c r="T462" s="10"/>
      <c r="U462" s="10"/>
      <c r="V462" s="10"/>
      <c r="W462" s="10"/>
      <c r="X462" s="10"/>
      <c r="Z462" s="10"/>
      <c r="AA462" s="7"/>
      <c r="AB462" s="7"/>
      <c r="AC462" s="7"/>
      <c r="AD462" s="7"/>
      <c r="AE462" s="7"/>
      <c r="AF462" s="7"/>
      <c r="AG462" s="7"/>
      <c r="AH462" s="7"/>
      <c r="AI462" s="7"/>
    </row>
    <row r="463" spans="1:35" ht="12.75" customHeight="1">
      <c r="A463" s="7"/>
      <c r="B463" s="7"/>
      <c r="C463" s="7"/>
      <c r="D463" s="7"/>
      <c r="E463" s="7"/>
      <c r="F463" s="7"/>
      <c r="G463" s="7"/>
      <c r="H463" s="7"/>
      <c r="I463" s="8"/>
      <c r="J463" s="8"/>
      <c r="P463" s="10"/>
      <c r="Q463" s="10"/>
      <c r="R463" s="10"/>
      <c r="S463" s="10"/>
      <c r="T463" s="10"/>
      <c r="U463" s="10"/>
      <c r="V463" s="10"/>
      <c r="W463" s="10"/>
      <c r="X463" s="10"/>
      <c r="Z463" s="10"/>
      <c r="AA463" s="7"/>
      <c r="AB463" s="7"/>
      <c r="AC463" s="7"/>
      <c r="AD463" s="7"/>
      <c r="AE463" s="7"/>
      <c r="AF463" s="7"/>
      <c r="AG463" s="7"/>
      <c r="AH463" s="7"/>
      <c r="AI463" s="7"/>
    </row>
    <row r="464" spans="1:35" ht="12.75" customHeight="1">
      <c r="A464" s="7"/>
      <c r="B464" s="7"/>
      <c r="C464" s="7"/>
      <c r="D464" s="7"/>
      <c r="E464" s="7"/>
      <c r="F464" s="7"/>
      <c r="G464" s="7"/>
      <c r="H464" s="7"/>
      <c r="I464" s="8"/>
      <c r="J464" s="8"/>
      <c r="P464" s="10"/>
      <c r="Q464" s="10"/>
      <c r="R464" s="10"/>
      <c r="S464" s="10"/>
      <c r="T464" s="10"/>
      <c r="U464" s="10"/>
      <c r="V464" s="10"/>
      <c r="W464" s="10"/>
      <c r="X464" s="10"/>
      <c r="Z464" s="10"/>
      <c r="AA464" s="7"/>
      <c r="AB464" s="7"/>
      <c r="AC464" s="7"/>
      <c r="AD464" s="7"/>
      <c r="AE464" s="7"/>
      <c r="AF464" s="7"/>
      <c r="AG464" s="7"/>
      <c r="AH464" s="7"/>
      <c r="AI464" s="7"/>
    </row>
    <row r="465" spans="1:35" ht="12.75" customHeight="1">
      <c r="A465" s="7"/>
      <c r="B465" s="7"/>
      <c r="C465" s="7"/>
      <c r="D465" s="7"/>
      <c r="E465" s="7"/>
      <c r="F465" s="7"/>
      <c r="G465" s="7"/>
      <c r="H465" s="7"/>
      <c r="I465" s="8"/>
      <c r="J465" s="8"/>
      <c r="P465" s="10"/>
      <c r="Q465" s="10"/>
      <c r="R465" s="10"/>
      <c r="S465" s="10"/>
      <c r="T465" s="10"/>
      <c r="U465" s="10"/>
      <c r="V465" s="10"/>
      <c r="W465" s="10"/>
      <c r="X465" s="10"/>
      <c r="Z465" s="10"/>
      <c r="AA465" s="7"/>
      <c r="AB465" s="7"/>
      <c r="AC465" s="7"/>
      <c r="AD465" s="7"/>
      <c r="AE465" s="7"/>
      <c r="AF465" s="7"/>
      <c r="AG465" s="7"/>
      <c r="AH465" s="7"/>
      <c r="AI465" s="7"/>
    </row>
    <row r="466" spans="1:35" ht="12.75" customHeight="1">
      <c r="A466" s="7"/>
      <c r="B466" s="7"/>
      <c r="C466" s="7"/>
      <c r="D466" s="7"/>
      <c r="E466" s="7"/>
      <c r="F466" s="7"/>
      <c r="G466" s="7"/>
      <c r="H466" s="7"/>
      <c r="I466" s="8"/>
      <c r="J466" s="8"/>
      <c r="P466" s="10"/>
      <c r="Q466" s="10"/>
      <c r="R466" s="10"/>
      <c r="S466" s="10"/>
      <c r="T466" s="10"/>
      <c r="U466" s="10"/>
      <c r="V466" s="10"/>
      <c r="W466" s="10"/>
      <c r="X466" s="10"/>
      <c r="Z466" s="10"/>
      <c r="AA466" s="7"/>
      <c r="AB466" s="7"/>
      <c r="AC466" s="7"/>
      <c r="AD466" s="7"/>
      <c r="AE466" s="7"/>
      <c r="AF466" s="7"/>
      <c r="AG466" s="7"/>
      <c r="AH466" s="7"/>
      <c r="AI466" s="7"/>
    </row>
    <row r="467" spans="1:35" ht="12.75" customHeight="1">
      <c r="A467" s="7"/>
      <c r="B467" s="7"/>
      <c r="C467" s="7"/>
      <c r="D467" s="7"/>
      <c r="E467" s="7"/>
      <c r="F467" s="7"/>
      <c r="G467" s="7"/>
      <c r="H467" s="7"/>
      <c r="I467" s="8"/>
      <c r="J467" s="8"/>
      <c r="P467" s="10"/>
      <c r="Q467" s="10"/>
      <c r="R467" s="10"/>
      <c r="S467" s="10"/>
      <c r="T467" s="10"/>
      <c r="U467" s="10"/>
      <c r="V467" s="10"/>
      <c r="W467" s="10"/>
      <c r="X467" s="10"/>
      <c r="Z467" s="10"/>
      <c r="AA467" s="7"/>
      <c r="AB467" s="7"/>
      <c r="AC467" s="7"/>
      <c r="AD467" s="7"/>
      <c r="AE467" s="7"/>
      <c r="AF467" s="7"/>
      <c r="AG467" s="7"/>
      <c r="AH467" s="7"/>
      <c r="AI467" s="7"/>
    </row>
    <row r="468" spans="1:35" ht="12.75" customHeight="1">
      <c r="A468" s="7"/>
      <c r="B468" s="7"/>
      <c r="C468" s="7"/>
      <c r="D468" s="7"/>
      <c r="E468" s="7"/>
      <c r="F468" s="7"/>
      <c r="G468" s="7"/>
      <c r="H468" s="7"/>
      <c r="I468" s="8"/>
      <c r="J468" s="8"/>
      <c r="P468" s="10"/>
      <c r="Q468" s="10"/>
      <c r="R468" s="10"/>
      <c r="S468" s="10"/>
      <c r="T468" s="10"/>
      <c r="U468" s="10"/>
      <c r="V468" s="10"/>
      <c r="W468" s="10"/>
      <c r="X468" s="10"/>
      <c r="Z468" s="10"/>
      <c r="AA468" s="7"/>
      <c r="AB468" s="7"/>
      <c r="AC468" s="7"/>
      <c r="AD468" s="7"/>
      <c r="AE468" s="7"/>
      <c r="AF468" s="7"/>
      <c r="AG468" s="7"/>
      <c r="AH468" s="7"/>
      <c r="AI468" s="7"/>
    </row>
    <row r="469" spans="1:35" ht="12.75" customHeight="1">
      <c r="A469" s="7"/>
      <c r="B469" s="7"/>
      <c r="C469" s="7"/>
      <c r="D469" s="7"/>
      <c r="E469" s="7"/>
      <c r="F469" s="7"/>
      <c r="G469" s="7"/>
      <c r="H469" s="7"/>
      <c r="I469" s="8"/>
      <c r="J469" s="8"/>
      <c r="P469" s="10"/>
      <c r="Q469" s="10"/>
      <c r="R469" s="10"/>
      <c r="S469" s="10"/>
      <c r="T469" s="10"/>
      <c r="U469" s="10"/>
      <c r="V469" s="10"/>
      <c r="W469" s="10"/>
      <c r="X469" s="10"/>
      <c r="Z469" s="10"/>
      <c r="AA469" s="7"/>
      <c r="AB469" s="7"/>
      <c r="AC469" s="7"/>
      <c r="AD469" s="7"/>
      <c r="AE469" s="7"/>
      <c r="AF469" s="7"/>
      <c r="AG469" s="7"/>
      <c r="AH469" s="7"/>
      <c r="AI469" s="7"/>
    </row>
    <row r="470" spans="1:35" ht="12.75" customHeight="1">
      <c r="A470" s="7"/>
      <c r="B470" s="7"/>
      <c r="C470" s="7"/>
      <c r="D470" s="7"/>
      <c r="E470" s="7"/>
      <c r="F470" s="7"/>
      <c r="G470" s="7"/>
      <c r="H470" s="7"/>
      <c r="I470" s="8"/>
      <c r="J470" s="8"/>
      <c r="P470" s="10"/>
      <c r="Q470" s="10"/>
      <c r="R470" s="10"/>
      <c r="S470" s="10"/>
      <c r="T470" s="10"/>
      <c r="U470" s="10"/>
      <c r="V470" s="10"/>
      <c r="W470" s="10"/>
      <c r="X470" s="10"/>
      <c r="Z470" s="10"/>
      <c r="AA470" s="7"/>
      <c r="AB470" s="7"/>
      <c r="AC470" s="7"/>
      <c r="AD470" s="7"/>
      <c r="AE470" s="7"/>
      <c r="AF470" s="7"/>
      <c r="AG470" s="7"/>
      <c r="AH470" s="7"/>
      <c r="AI470" s="7"/>
    </row>
    <row r="471" spans="1:35" ht="12.75" customHeight="1">
      <c r="A471" s="7"/>
      <c r="B471" s="7"/>
      <c r="C471" s="7"/>
      <c r="D471" s="7"/>
      <c r="E471" s="7"/>
      <c r="F471" s="7"/>
      <c r="G471" s="7"/>
      <c r="H471" s="7"/>
      <c r="I471" s="8"/>
      <c r="J471" s="8"/>
      <c r="P471" s="10"/>
      <c r="Q471" s="10"/>
      <c r="R471" s="10"/>
      <c r="S471" s="10"/>
      <c r="T471" s="10"/>
      <c r="U471" s="10"/>
      <c r="V471" s="10"/>
      <c r="W471" s="10"/>
      <c r="X471" s="10"/>
      <c r="Z471" s="10"/>
      <c r="AA471" s="7"/>
      <c r="AB471" s="7"/>
      <c r="AC471" s="7"/>
      <c r="AD471" s="7"/>
      <c r="AE471" s="7"/>
      <c r="AF471" s="7"/>
      <c r="AG471" s="7"/>
      <c r="AH471" s="7"/>
      <c r="AI471" s="7"/>
    </row>
    <row r="472" spans="1:35" ht="12.75" customHeight="1">
      <c r="A472" s="7"/>
      <c r="B472" s="7"/>
      <c r="C472" s="7"/>
      <c r="D472" s="7"/>
      <c r="E472" s="7"/>
      <c r="F472" s="7"/>
      <c r="G472" s="7"/>
      <c r="H472" s="7"/>
      <c r="I472" s="8"/>
      <c r="J472" s="8"/>
      <c r="P472" s="10"/>
      <c r="Q472" s="10"/>
      <c r="R472" s="10"/>
      <c r="S472" s="10"/>
      <c r="T472" s="10"/>
      <c r="U472" s="10"/>
      <c r="V472" s="10"/>
      <c r="W472" s="10"/>
      <c r="X472" s="10"/>
      <c r="Z472" s="10"/>
      <c r="AA472" s="7"/>
      <c r="AB472" s="7"/>
      <c r="AC472" s="7"/>
      <c r="AD472" s="7"/>
      <c r="AE472" s="7"/>
      <c r="AF472" s="7"/>
      <c r="AG472" s="7"/>
      <c r="AH472" s="7"/>
      <c r="AI472" s="7"/>
    </row>
    <row r="473" spans="1:35" ht="12.75" customHeight="1">
      <c r="A473" s="7"/>
      <c r="B473" s="7"/>
      <c r="C473" s="7"/>
      <c r="D473" s="7"/>
      <c r="E473" s="7"/>
      <c r="F473" s="7"/>
      <c r="G473" s="7"/>
      <c r="H473" s="7"/>
      <c r="I473" s="8"/>
      <c r="J473" s="8"/>
      <c r="P473" s="10"/>
      <c r="Q473" s="10"/>
      <c r="R473" s="10"/>
      <c r="S473" s="10"/>
      <c r="T473" s="10"/>
      <c r="U473" s="10"/>
      <c r="V473" s="10"/>
      <c r="W473" s="10"/>
      <c r="X473" s="10"/>
      <c r="Z473" s="10"/>
      <c r="AA473" s="7"/>
      <c r="AB473" s="7"/>
      <c r="AC473" s="7"/>
      <c r="AD473" s="7"/>
      <c r="AE473" s="7"/>
      <c r="AF473" s="7"/>
      <c r="AG473" s="7"/>
      <c r="AH473" s="7"/>
      <c r="AI473" s="7"/>
    </row>
    <row r="474" spans="1:35" ht="12.75" customHeight="1">
      <c r="A474" s="7"/>
      <c r="B474" s="7"/>
      <c r="C474" s="7"/>
      <c r="D474" s="7"/>
      <c r="E474" s="7"/>
      <c r="F474" s="7"/>
      <c r="G474" s="7"/>
      <c r="H474" s="7"/>
      <c r="I474" s="8"/>
      <c r="J474" s="8"/>
      <c r="P474" s="10"/>
      <c r="Q474" s="10"/>
      <c r="R474" s="10"/>
      <c r="S474" s="10"/>
      <c r="T474" s="10"/>
      <c r="U474" s="10"/>
      <c r="V474" s="10"/>
      <c r="W474" s="10"/>
      <c r="X474" s="10"/>
      <c r="Z474" s="10"/>
      <c r="AA474" s="7"/>
      <c r="AB474" s="7"/>
      <c r="AC474" s="7"/>
      <c r="AD474" s="7"/>
      <c r="AE474" s="7"/>
      <c r="AF474" s="7"/>
      <c r="AG474" s="7"/>
      <c r="AH474" s="7"/>
      <c r="AI474" s="7"/>
    </row>
    <row r="475" spans="1:35" ht="12.75" customHeight="1">
      <c r="A475" s="7"/>
      <c r="B475" s="7"/>
      <c r="C475" s="7"/>
      <c r="D475" s="7"/>
      <c r="E475" s="7"/>
      <c r="F475" s="7"/>
      <c r="G475" s="7"/>
      <c r="H475" s="7"/>
      <c r="I475" s="8"/>
      <c r="J475" s="8"/>
      <c r="P475" s="10"/>
      <c r="Q475" s="10"/>
      <c r="R475" s="10"/>
      <c r="S475" s="10"/>
      <c r="T475" s="10"/>
      <c r="U475" s="10"/>
      <c r="V475" s="10"/>
      <c r="W475" s="10"/>
      <c r="X475" s="10"/>
      <c r="Z475" s="10"/>
      <c r="AA475" s="7"/>
      <c r="AB475" s="7"/>
      <c r="AC475" s="7"/>
      <c r="AD475" s="7"/>
      <c r="AE475" s="7"/>
      <c r="AF475" s="7"/>
      <c r="AG475" s="7"/>
      <c r="AH475" s="7"/>
      <c r="AI475" s="7"/>
    </row>
    <row r="476" spans="1:35" ht="12.75" customHeight="1">
      <c r="A476" s="7"/>
      <c r="B476" s="7"/>
      <c r="C476" s="7"/>
      <c r="D476" s="7"/>
      <c r="E476" s="7"/>
      <c r="F476" s="7"/>
      <c r="G476" s="7"/>
      <c r="H476" s="7"/>
      <c r="I476" s="8"/>
      <c r="J476" s="8"/>
      <c r="P476" s="10"/>
      <c r="Q476" s="10"/>
      <c r="R476" s="10"/>
      <c r="S476" s="10"/>
      <c r="T476" s="10"/>
      <c r="U476" s="10"/>
      <c r="V476" s="10"/>
      <c r="W476" s="10"/>
      <c r="X476" s="10"/>
      <c r="Z476" s="10"/>
      <c r="AA476" s="7"/>
      <c r="AB476" s="7"/>
      <c r="AC476" s="7"/>
      <c r="AD476" s="7"/>
      <c r="AE476" s="7"/>
      <c r="AF476" s="7"/>
      <c r="AG476" s="7"/>
      <c r="AH476" s="7"/>
      <c r="AI476" s="7"/>
    </row>
    <row r="477" spans="1:35" ht="12.75" customHeight="1">
      <c r="A477" s="7"/>
      <c r="B477" s="7"/>
      <c r="C477" s="7"/>
      <c r="D477" s="7"/>
      <c r="E477" s="7"/>
      <c r="F477" s="7"/>
      <c r="G477" s="7"/>
      <c r="H477" s="7"/>
      <c r="I477" s="8"/>
      <c r="J477" s="8"/>
      <c r="P477" s="10"/>
      <c r="Q477" s="10"/>
      <c r="R477" s="10"/>
      <c r="S477" s="10"/>
      <c r="T477" s="10"/>
      <c r="U477" s="10"/>
      <c r="V477" s="10"/>
      <c r="W477" s="10"/>
      <c r="X477" s="10"/>
      <c r="Z477" s="10"/>
      <c r="AA477" s="7"/>
      <c r="AB477" s="7"/>
      <c r="AC477" s="7"/>
      <c r="AD477" s="7"/>
      <c r="AE477" s="7"/>
      <c r="AF477" s="7"/>
      <c r="AG477" s="7"/>
      <c r="AH477" s="7"/>
      <c r="AI477" s="7"/>
    </row>
    <row r="478" spans="1:35" ht="12.75" customHeight="1">
      <c r="A478" s="7"/>
      <c r="B478" s="7"/>
      <c r="C478" s="7"/>
      <c r="D478" s="7"/>
      <c r="E478" s="7"/>
      <c r="F478" s="7"/>
      <c r="G478" s="7"/>
      <c r="H478" s="7"/>
      <c r="I478" s="8"/>
      <c r="J478" s="8"/>
      <c r="P478" s="10"/>
      <c r="Q478" s="10"/>
      <c r="R478" s="10"/>
      <c r="S478" s="10"/>
      <c r="T478" s="10"/>
      <c r="U478" s="10"/>
      <c r="V478" s="10"/>
      <c r="W478" s="10"/>
      <c r="X478" s="10"/>
      <c r="Z478" s="10"/>
      <c r="AA478" s="7"/>
      <c r="AB478" s="7"/>
      <c r="AC478" s="7"/>
      <c r="AD478" s="7"/>
      <c r="AE478" s="7"/>
      <c r="AF478" s="7"/>
      <c r="AG478" s="7"/>
      <c r="AH478" s="7"/>
      <c r="AI478" s="7"/>
    </row>
    <row r="479" spans="1:35" ht="12.75" customHeight="1">
      <c r="A479" s="7"/>
      <c r="B479" s="7"/>
      <c r="C479" s="7"/>
      <c r="D479" s="7"/>
      <c r="E479" s="7"/>
      <c r="F479" s="7"/>
      <c r="G479" s="7"/>
      <c r="H479" s="7"/>
      <c r="I479" s="8"/>
      <c r="J479" s="8"/>
      <c r="P479" s="10"/>
      <c r="Q479" s="10"/>
      <c r="R479" s="10"/>
      <c r="S479" s="10"/>
      <c r="T479" s="10"/>
      <c r="U479" s="10"/>
      <c r="V479" s="10"/>
      <c r="W479" s="10"/>
      <c r="X479" s="10"/>
      <c r="Z479" s="10"/>
      <c r="AA479" s="7"/>
      <c r="AB479" s="7"/>
      <c r="AC479" s="7"/>
      <c r="AD479" s="7"/>
      <c r="AE479" s="7"/>
      <c r="AF479" s="7"/>
      <c r="AG479" s="7"/>
      <c r="AH479" s="7"/>
      <c r="AI479" s="7"/>
    </row>
    <row r="480" spans="1:35" ht="12.75" customHeight="1">
      <c r="A480" s="7"/>
      <c r="B480" s="7"/>
      <c r="C480" s="7"/>
      <c r="D480" s="7"/>
      <c r="E480" s="7"/>
      <c r="F480" s="7"/>
      <c r="G480" s="7"/>
      <c r="H480" s="7"/>
      <c r="I480" s="8"/>
      <c r="J480" s="8"/>
      <c r="P480" s="10"/>
      <c r="Q480" s="10"/>
      <c r="R480" s="10"/>
      <c r="S480" s="10"/>
      <c r="T480" s="10"/>
      <c r="U480" s="10"/>
      <c r="V480" s="10"/>
      <c r="W480" s="10"/>
      <c r="X480" s="10"/>
      <c r="Z480" s="10"/>
      <c r="AA480" s="7"/>
      <c r="AB480" s="7"/>
      <c r="AC480" s="7"/>
      <c r="AD480" s="7"/>
      <c r="AE480" s="7"/>
      <c r="AF480" s="7"/>
      <c r="AG480" s="7"/>
      <c r="AH480" s="7"/>
      <c r="AI480" s="7"/>
    </row>
    <row r="481" spans="1:35" ht="12.75" customHeight="1">
      <c r="A481" s="7"/>
      <c r="B481" s="7"/>
      <c r="C481" s="7"/>
      <c r="D481" s="7"/>
      <c r="E481" s="7"/>
      <c r="F481" s="7"/>
      <c r="G481" s="7"/>
      <c r="H481" s="7"/>
      <c r="I481" s="8"/>
      <c r="J481" s="8"/>
      <c r="P481" s="10"/>
      <c r="Q481" s="10"/>
      <c r="R481" s="10"/>
      <c r="S481" s="10"/>
      <c r="T481" s="10"/>
      <c r="U481" s="10"/>
      <c r="V481" s="10"/>
      <c r="W481" s="10"/>
      <c r="X481" s="10"/>
      <c r="Z481" s="10"/>
      <c r="AA481" s="7"/>
      <c r="AB481" s="7"/>
      <c r="AC481" s="7"/>
      <c r="AD481" s="7"/>
      <c r="AE481" s="7"/>
      <c r="AF481" s="7"/>
      <c r="AG481" s="7"/>
      <c r="AH481" s="7"/>
      <c r="AI481" s="7"/>
    </row>
    <row r="482" spans="1:35" ht="12.75" customHeight="1">
      <c r="A482" s="7"/>
      <c r="B482" s="7"/>
      <c r="C482" s="7"/>
      <c r="D482" s="7"/>
      <c r="E482" s="7"/>
      <c r="F482" s="7"/>
      <c r="G482" s="7"/>
      <c r="H482" s="7"/>
      <c r="I482" s="8"/>
      <c r="J482" s="8"/>
      <c r="P482" s="10"/>
      <c r="Q482" s="10"/>
      <c r="R482" s="10"/>
      <c r="S482" s="10"/>
      <c r="T482" s="10"/>
      <c r="U482" s="10"/>
      <c r="V482" s="10"/>
      <c r="W482" s="10"/>
      <c r="X482" s="10"/>
      <c r="Z482" s="10"/>
      <c r="AA482" s="7"/>
      <c r="AB482" s="7"/>
      <c r="AC482" s="7"/>
      <c r="AD482" s="7"/>
      <c r="AE482" s="7"/>
      <c r="AF482" s="7"/>
      <c r="AG482" s="7"/>
      <c r="AH482" s="7"/>
      <c r="AI482" s="7"/>
    </row>
    <row r="483" spans="1:35" ht="12.75" customHeight="1">
      <c r="A483" s="7"/>
      <c r="B483" s="7"/>
      <c r="C483" s="7"/>
      <c r="D483" s="7"/>
      <c r="E483" s="7"/>
      <c r="F483" s="7"/>
      <c r="G483" s="7"/>
      <c r="H483" s="7"/>
      <c r="I483" s="8"/>
      <c r="J483" s="8"/>
      <c r="P483" s="10"/>
      <c r="Q483" s="10"/>
      <c r="R483" s="10"/>
      <c r="S483" s="10"/>
      <c r="T483" s="10"/>
      <c r="U483" s="10"/>
      <c r="V483" s="10"/>
      <c r="W483" s="10"/>
      <c r="X483" s="10"/>
      <c r="Z483" s="10"/>
      <c r="AA483" s="7"/>
      <c r="AB483" s="7"/>
      <c r="AC483" s="7"/>
      <c r="AD483" s="7"/>
      <c r="AE483" s="7"/>
      <c r="AF483" s="7"/>
      <c r="AG483" s="7"/>
      <c r="AH483" s="7"/>
      <c r="AI483" s="7"/>
    </row>
    <row r="484" spans="1:35" ht="12.75" customHeight="1">
      <c r="A484" s="7"/>
      <c r="B484" s="7"/>
      <c r="C484" s="7"/>
      <c r="D484" s="7"/>
      <c r="E484" s="7"/>
      <c r="F484" s="7"/>
      <c r="G484" s="7"/>
      <c r="H484" s="7"/>
      <c r="I484" s="8"/>
      <c r="J484" s="8"/>
      <c r="P484" s="10"/>
      <c r="Q484" s="10"/>
      <c r="R484" s="10"/>
      <c r="S484" s="10"/>
      <c r="T484" s="10"/>
      <c r="U484" s="10"/>
      <c r="V484" s="10"/>
      <c r="W484" s="10"/>
      <c r="X484" s="10"/>
      <c r="Z484" s="10"/>
      <c r="AA484" s="7"/>
      <c r="AB484" s="7"/>
      <c r="AC484" s="7"/>
      <c r="AD484" s="7"/>
      <c r="AE484" s="7"/>
      <c r="AF484" s="7"/>
      <c r="AG484" s="7"/>
      <c r="AH484" s="7"/>
      <c r="AI484" s="7"/>
    </row>
    <row r="485" spans="1:35" ht="12.75" customHeight="1">
      <c r="A485" s="7"/>
      <c r="B485" s="7"/>
      <c r="C485" s="7"/>
      <c r="D485" s="7"/>
      <c r="E485" s="7"/>
      <c r="F485" s="7"/>
      <c r="G485" s="7"/>
      <c r="H485" s="7"/>
      <c r="I485" s="8"/>
      <c r="J485" s="8"/>
      <c r="P485" s="10"/>
      <c r="Q485" s="10"/>
      <c r="R485" s="10"/>
      <c r="S485" s="10"/>
      <c r="T485" s="10"/>
      <c r="U485" s="10"/>
      <c r="V485" s="10"/>
      <c r="W485" s="10"/>
      <c r="X485" s="10"/>
      <c r="Z485" s="10"/>
      <c r="AA485" s="7"/>
      <c r="AB485" s="7"/>
      <c r="AC485" s="7"/>
      <c r="AD485" s="7"/>
      <c r="AE485" s="7"/>
      <c r="AF485" s="7"/>
      <c r="AG485" s="7"/>
      <c r="AH485" s="7"/>
      <c r="AI485" s="7"/>
    </row>
    <row r="486" spans="1:35" ht="12.75" customHeight="1">
      <c r="A486" s="7"/>
      <c r="B486" s="7"/>
      <c r="C486" s="7"/>
      <c r="D486" s="7"/>
      <c r="E486" s="7"/>
      <c r="F486" s="7"/>
      <c r="G486" s="7"/>
      <c r="H486" s="7"/>
      <c r="I486" s="8"/>
      <c r="J486" s="8"/>
      <c r="P486" s="10"/>
      <c r="Q486" s="10"/>
      <c r="R486" s="10"/>
      <c r="S486" s="10"/>
      <c r="T486" s="10"/>
      <c r="U486" s="10"/>
      <c r="V486" s="10"/>
      <c r="W486" s="10"/>
      <c r="X486" s="10"/>
      <c r="Z486" s="10"/>
      <c r="AA486" s="7"/>
      <c r="AB486" s="7"/>
      <c r="AC486" s="7"/>
      <c r="AD486" s="7"/>
      <c r="AE486" s="7"/>
      <c r="AF486" s="7"/>
      <c r="AG486" s="7"/>
      <c r="AH486" s="7"/>
      <c r="AI486" s="7"/>
    </row>
    <row r="487" spans="1:35" ht="12.75" customHeight="1">
      <c r="A487" s="7"/>
      <c r="B487" s="7"/>
      <c r="C487" s="7"/>
      <c r="D487" s="7"/>
      <c r="E487" s="7"/>
      <c r="F487" s="7"/>
      <c r="G487" s="7"/>
      <c r="H487" s="7"/>
      <c r="I487" s="8"/>
      <c r="J487" s="8"/>
      <c r="P487" s="10"/>
      <c r="Q487" s="10"/>
      <c r="R487" s="10"/>
      <c r="S487" s="10"/>
      <c r="T487" s="10"/>
      <c r="U487" s="10"/>
      <c r="V487" s="10"/>
      <c r="W487" s="10"/>
      <c r="X487" s="10"/>
      <c r="Z487" s="10"/>
      <c r="AA487" s="7"/>
      <c r="AB487" s="7"/>
      <c r="AC487" s="7"/>
      <c r="AD487" s="7"/>
      <c r="AE487" s="7"/>
      <c r="AF487" s="7"/>
      <c r="AG487" s="7"/>
      <c r="AH487" s="7"/>
      <c r="AI487" s="7"/>
    </row>
    <row r="488" spans="1:35" ht="12.75" customHeight="1">
      <c r="A488" s="7"/>
      <c r="B488" s="7"/>
      <c r="C488" s="7"/>
      <c r="D488" s="7"/>
      <c r="E488" s="7"/>
      <c r="F488" s="7"/>
      <c r="G488" s="7"/>
      <c r="H488" s="7"/>
      <c r="I488" s="8"/>
      <c r="J488" s="8"/>
      <c r="P488" s="10"/>
      <c r="Q488" s="10"/>
      <c r="R488" s="10"/>
      <c r="S488" s="10"/>
      <c r="T488" s="10"/>
      <c r="U488" s="10"/>
      <c r="V488" s="10"/>
      <c r="W488" s="10"/>
      <c r="X488" s="10"/>
      <c r="Z488" s="10"/>
      <c r="AA488" s="7"/>
      <c r="AB488" s="7"/>
      <c r="AC488" s="7"/>
      <c r="AD488" s="7"/>
      <c r="AE488" s="7"/>
      <c r="AF488" s="7"/>
      <c r="AG488" s="7"/>
      <c r="AH488" s="7"/>
      <c r="AI488" s="7"/>
    </row>
    <row r="489" spans="1:35" ht="12.75" customHeight="1">
      <c r="A489" s="7"/>
      <c r="B489" s="7"/>
      <c r="C489" s="7"/>
      <c r="D489" s="7"/>
      <c r="E489" s="7"/>
      <c r="F489" s="7"/>
      <c r="G489" s="7"/>
      <c r="H489" s="7"/>
      <c r="I489" s="8"/>
      <c r="J489" s="8"/>
      <c r="P489" s="10"/>
      <c r="Q489" s="10"/>
      <c r="R489" s="10"/>
      <c r="S489" s="10"/>
      <c r="T489" s="10"/>
      <c r="U489" s="10"/>
      <c r="V489" s="10"/>
      <c r="W489" s="10"/>
      <c r="X489" s="10"/>
      <c r="Z489" s="10"/>
      <c r="AA489" s="7"/>
      <c r="AB489" s="7"/>
      <c r="AC489" s="7"/>
      <c r="AD489" s="7"/>
      <c r="AE489" s="7"/>
      <c r="AF489" s="7"/>
      <c r="AG489" s="7"/>
      <c r="AH489" s="7"/>
      <c r="AI489" s="7"/>
    </row>
    <row r="490" spans="1:35" ht="12.75" customHeight="1">
      <c r="A490" s="7"/>
      <c r="B490" s="7"/>
      <c r="C490" s="7"/>
      <c r="D490" s="7"/>
      <c r="E490" s="7"/>
      <c r="F490" s="7"/>
      <c r="G490" s="7"/>
      <c r="H490" s="7"/>
      <c r="I490" s="8"/>
      <c r="J490" s="8"/>
      <c r="P490" s="10"/>
      <c r="Q490" s="10"/>
      <c r="R490" s="10"/>
      <c r="S490" s="10"/>
      <c r="T490" s="10"/>
      <c r="U490" s="10"/>
      <c r="V490" s="10"/>
      <c r="W490" s="10"/>
      <c r="X490" s="10"/>
      <c r="Z490" s="10"/>
      <c r="AA490" s="7"/>
      <c r="AB490" s="7"/>
      <c r="AC490" s="7"/>
      <c r="AD490" s="7"/>
      <c r="AE490" s="7"/>
      <c r="AF490" s="7"/>
      <c r="AG490" s="7"/>
      <c r="AH490" s="7"/>
      <c r="AI490" s="7"/>
    </row>
    <row r="491" spans="1:35" ht="12.75" customHeight="1">
      <c r="A491" s="7"/>
      <c r="B491" s="7"/>
      <c r="C491" s="7"/>
      <c r="D491" s="7"/>
      <c r="E491" s="7"/>
      <c r="F491" s="7"/>
      <c r="G491" s="7"/>
      <c r="H491" s="7"/>
      <c r="I491" s="8"/>
      <c r="J491" s="8"/>
      <c r="P491" s="10"/>
      <c r="Q491" s="10"/>
      <c r="R491" s="10"/>
      <c r="S491" s="10"/>
      <c r="T491" s="10"/>
      <c r="U491" s="10"/>
      <c r="V491" s="10"/>
      <c r="W491" s="10"/>
      <c r="X491" s="10"/>
      <c r="Z491" s="10"/>
      <c r="AA491" s="7"/>
      <c r="AB491" s="7"/>
      <c r="AC491" s="7"/>
      <c r="AD491" s="7"/>
      <c r="AE491" s="7"/>
      <c r="AF491" s="7"/>
      <c r="AG491" s="7"/>
      <c r="AH491" s="7"/>
      <c r="AI491" s="7"/>
    </row>
    <row r="492" spans="1:35" ht="12.75" customHeight="1">
      <c r="A492" s="7"/>
      <c r="B492" s="7"/>
      <c r="C492" s="7"/>
      <c r="D492" s="7"/>
      <c r="E492" s="7"/>
      <c r="F492" s="7"/>
      <c r="G492" s="7"/>
      <c r="H492" s="7"/>
      <c r="I492" s="8"/>
      <c r="J492" s="8"/>
      <c r="P492" s="10"/>
      <c r="Q492" s="10"/>
      <c r="R492" s="10"/>
      <c r="S492" s="10"/>
      <c r="T492" s="10"/>
      <c r="U492" s="10"/>
      <c r="V492" s="10"/>
      <c r="W492" s="10"/>
      <c r="X492" s="10"/>
      <c r="Z492" s="10"/>
      <c r="AA492" s="7"/>
      <c r="AB492" s="7"/>
      <c r="AC492" s="7"/>
      <c r="AD492" s="7"/>
      <c r="AE492" s="7"/>
      <c r="AF492" s="7"/>
      <c r="AG492" s="7"/>
      <c r="AH492" s="7"/>
      <c r="AI492" s="7"/>
    </row>
    <row r="493" spans="1:35" ht="12.75" customHeight="1">
      <c r="A493" s="7"/>
      <c r="B493" s="7"/>
      <c r="C493" s="7"/>
      <c r="D493" s="7"/>
      <c r="E493" s="7"/>
      <c r="F493" s="7"/>
      <c r="G493" s="7"/>
      <c r="H493" s="7"/>
      <c r="I493" s="8"/>
      <c r="J493" s="8"/>
      <c r="P493" s="10"/>
      <c r="Q493" s="10"/>
      <c r="R493" s="10"/>
      <c r="S493" s="10"/>
      <c r="T493" s="10"/>
      <c r="U493" s="10"/>
      <c r="V493" s="10"/>
      <c r="W493" s="10"/>
      <c r="X493" s="10"/>
      <c r="Z493" s="10"/>
      <c r="AA493" s="7"/>
      <c r="AB493" s="7"/>
      <c r="AC493" s="7"/>
      <c r="AD493" s="7"/>
      <c r="AE493" s="7"/>
      <c r="AF493" s="7"/>
      <c r="AG493" s="7"/>
      <c r="AH493" s="7"/>
      <c r="AI493" s="7"/>
    </row>
    <row r="494" spans="1:35" ht="12.75" customHeight="1">
      <c r="A494" s="7"/>
      <c r="B494" s="7"/>
      <c r="C494" s="7"/>
      <c r="D494" s="7"/>
      <c r="E494" s="7"/>
      <c r="F494" s="7"/>
      <c r="G494" s="7"/>
      <c r="H494" s="7"/>
      <c r="I494" s="8"/>
      <c r="J494" s="8"/>
      <c r="P494" s="10"/>
      <c r="Q494" s="10"/>
      <c r="R494" s="10"/>
      <c r="S494" s="10"/>
      <c r="T494" s="10"/>
      <c r="U494" s="10"/>
      <c r="V494" s="10"/>
      <c r="W494" s="10"/>
      <c r="X494" s="10"/>
      <c r="Z494" s="10"/>
      <c r="AA494" s="7"/>
      <c r="AB494" s="7"/>
      <c r="AC494" s="7"/>
      <c r="AD494" s="7"/>
      <c r="AE494" s="7"/>
      <c r="AF494" s="7"/>
      <c r="AG494" s="7"/>
      <c r="AH494" s="7"/>
      <c r="AI494" s="7"/>
    </row>
    <row r="495" spans="1:35" ht="12.75" customHeight="1">
      <c r="A495" s="7"/>
      <c r="B495" s="7"/>
      <c r="C495" s="7"/>
      <c r="D495" s="7"/>
      <c r="E495" s="7"/>
      <c r="F495" s="7"/>
      <c r="G495" s="7"/>
      <c r="H495" s="7"/>
      <c r="I495" s="8"/>
      <c r="J495" s="8"/>
      <c r="P495" s="10"/>
      <c r="Q495" s="10"/>
      <c r="R495" s="10"/>
      <c r="S495" s="10"/>
      <c r="T495" s="10"/>
      <c r="U495" s="10"/>
      <c r="V495" s="10"/>
      <c r="W495" s="10"/>
      <c r="X495" s="10"/>
      <c r="Z495" s="10"/>
      <c r="AA495" s="7"/>
      <c r="AB495" s="7"/>
      <c r="AC495" s="7"/>
      <c r="AD495" s="7"/>
      <c r="AE495" s="7"/>
      <c r="AF495" s="7"/>
      <c r="AG495" s="7"/>
      <c r="AH495" s="7"/>
      <c r="AI495" s="7"/>
    </row>
    <row r="496" spans="1:35" ht="12.75" customHeight="1">
      <c r="A496" s="7"/>
      <c r="B496" s="7"/>
      <c r="C496" s="7"/>
      <c r="D496" s="7"/>
      <c r="E496" s="7"/>
      <c r="F496" s="7"/>
      <c r="G496" s="7"/>
      <c r="H496" s="7"/>
      <c r="I496" s="8"/>
      <c r="J496" s="8"/>
      <c r="P496" s="10"/>
      <c r="Q496" s="10"/>
      <c r="R496" s="10"/>
      <c r="S496" s="10"/>
      <c r="T496" s="10"/>
      <c r="U496" s="10"/>
      <c r="V496" s="10"/>
      <c r="W496" s="10"/>
      <c r="X496" s="10"/>
      <c r="Z496" s="10"/>
      <c r="AA496" s="7"/>
      <c r="AB496" s="7"/>
      <c r="AC496" s="7"/>
      <c r="AD496" s="7"/>
      <c r="AE496" s="7"/>
      <c r="AF496" s="7"/>
      <c r="AG496" s="7"/>
      <c r="AH496" s="7"/>
      <c r="AI496" s="7"/>
    </row>
    <row r="497" spans="1:35" ht="12.75" customHeight="1">
      <c r="A497" s="7"/>
      <c r="B497" s="7"/>
      <c r="C497" s="7"/>
      <c r="D497" s="7"/>
      <c r="E497" s="7"/>
      <c r="F497" s="7"/>
      <c r="G497" s="7"/>
      <c r="H497" s="7"/>
      <c r="I497" s="8"/>
      <c r="J497" s="8"/>
      <c r="P497" s="10"/>
      <c r="Q497" s="10"/>
      <c r="R497" s="10"/>
      <c r="S497" s="10"/>
      <c r="T497" s="10"/>
      <c r="U497" s="10"/>
      <c r="V497" s="10"/>
      <c r="W497" s="10"/>
      <c r="X497" s="10"/>
      <c r="Z497" s="10"/>
      <c r="AA497" s="7"/>
      <c r="AB497" s="7"/>
      <c r="AC497" s="7"/>
      <c r="AD497" s="7"/>
      <c r="AE497" s="7"/>
      <c r="AF497" s="7"/>
      <c r="AG497" s="7"/>
      <c r="AH497" s="7"/>
      <c r="AI497" s="7"/>
    </row>
    <row r="498" spans="1:35" ht="12.75" customHeight="1">
      <c r="A498" s="7"/>
      <c r="B498" s="7"/>
      <c r="C498" s="7"/>
      <c r="D498" s="7"/>
      <c r="E498" s="7"/>
      <c r="F498" s="7"/>
      <c r="G498" s="7"/>
      <c r="H498" s="7"/>
      <c r="I498" s="8"/>
      <c r="J498" s="8"/>
      <c r="P498" s="10"/>
      <c r="Q498" s="10"/>
      <c r="R498" s="10"/>
      <c r="S498" s="10"/>
      <c r="T498" s="10"/>
      <c r="U498" s="10"/>
      <c r="V498" s="10"/>
      <c r="W498" s="10"/>
      <c r="X498" s="10"/>
      <c r="Z498" s="10"/>
      <c r="AA498" s="7"/>
      <c r="AB498" s="7"/>
      <c r="AC498" s="7"/>
      <c r="AD498" s="7"/>
      <c r="AE498" s="7"/>
      <c r="AF498" s="7"/>
      <c r="AG498" s="7"/>
      <c r="AH498" s="7"/>
      <c r="AI498" s="7"/>
    </row>
    <row r="499" spans="1:35" ht="12.75" customHeight="1">
      <c r="A499" s="7"/>
      <c r="B499" s="7"/>
      <c r="C499" s="7"/>
      <c r="D499" s="7"/>
      <c r="E499" s="7"/>
      <c r="F499" s="7"/>
      <c r="G499" s="7"/>
      <c r="H499" s="7"/>
      <c r="I499" s="8"/>
      <c r="J499" s="8"/>
      <c r="P499" s="10"/>
      <c r="Q499" s="10"/>
      <c r="R499" s="10"/>
      <c r="S499" s="10"/>
      <c r="T499" s="10"/>
      <c r="U499" s="10"/>
      <c r="V499" s="10"/>
      <c r="W499" s="10"/>
      <c r="X499" s="10"/>
      <c r="Z499" s="10"/>
      <c r="AA499" s="7"/>
      <c r="AB499" s="7"/>
      <c r="AC499" s="7"/>
      <c r="AD499" s="7"/>
      <c r="AE499" s="7"/>
      <c r="AF499" s="7"/>
      <c r="AG499" s="7"/>
      <c r="AH499" s="7"/>
      <c r="AI499" s="7"/>
    </row>
    <row r="500" spans="1:35" ht="12.75" customHeight="1">
      <c r="A500" s="7"/>
      <c r="B500" s="7"/>
      <c r="C500" s="7"/>
      <c r="D500" s="7"/>
      <c r="E500" s="7"/>
      <c r="F500" s="7"/>
      <c r="G500" s="7"/>
      <c r="H500" s="7"/>
      <c r="I500" s="8"/>
      <c r="J500" s="8"/>
      <c r="P500" s="10"/>
      <c r="Q500" s="10"/>
      <c r="R500" s="10"/>
      <c r="S500" s="10"/>
      <c r="T500" s="10"/>
      <c r="U500" s="10"/>
      <c r="V500" s="10"/>
      <c r="W500" s="10"/>
      <c r="X500" s="10"/>
      <c r="Z500" s="10"/>
      <c r="AA500" s="7"/>
      <c r="AB500" s="7"/>
      <c r="AC500" s="7"/>
      <c r="AD500" s="7"/>
      <c r="AE500" s="7"/>
      <c r="AF500" s="7"/>
      <c r="AG500" s="7"/>
      <c r="AH500" s="7"/>
      <c r="AI500" s="7"/>
    </row>
    <row r="501" spans="1:35" ht="12.75" customHeight="1">
      <c r="A501" s="7"/>
      <c r="B501" s="7"/>
      <c r="C501" s="7"/>
      <c r="D501" s="7"/>
      <c r="E501" s="7"/>
      <c r="F501" s="7"/>
      <c r="G501" s="7"/>
      <c r="H501" s="7"/>
      <c r="I501" s="8"/>
      <c r="J501" s="8"/>
      <c r="P501" s="10"/>
      <c r="Q501" s="10"/>
      <c r="R501" s="10"/>
      <c r="S501" s="10"/>
      <c r="T501" s="10"/>
      <c r="U501" s="10"/>
      <c r="V501" s="10"/>
      <c r="W501" s="10"/>
      <c r="X501" s="10"/>
      <c r="Z501" s="10"/>
      <c r="AA501" s="7"/>
      <c r="AB501" s="7"/>
      <c r="AC501" s="7"/>
      <c r="AD501" s="7"/>
      <c r="AE501" s="7"/>
      <c r="AF501" s="7"/>
      <c r="AG501" s="7"/>
      <c r="AH501" s="7"/>
      <c r="AI501" s="7"/>
    </row>
    <row r="502" spans="1:35" ht="12.75" customHeight="1">
      <c r="A502" s="7"/>
      <c r="B502" s="7"/>
      <c r="C502" s="7"/>
      <c r="D502" s="7"/>
      <c r="E502" s="7"/>
      <c r="F502" s="7"/>
      <c r="G502" s="7"/>
      <c r="H502" s="7"/>
      <c r="I502" s="8"/>
      <c r="J502" s="8"/>
      <c r="P502" s="10"/>
      <c r="Q502" s="10"/>
      <c r="R502" s="10"/>
      <c r="S502" s="10"/>
      <c r="T502" s="10"/>
      <c r="U502" s="10"/>
      <c r="V502" s="10"/>
      <c r="W502" s="10"/>
      <c r="X502" s="10"/>
      <c r="Z502" s="10"/>
      <c r="AA502" s="7"/>
      <c r="AB502" s="7"/>
      <c r="AC502" s="7"/>
      <c r="AD502" s="7"/>
      <c r="AE502" s="7"/>
      <c r="AF502" s="7"/>
      <c r="AG502" s="7"/>
      <c r="AH502" s="7"/>
      <c r="AI502" s="7"/>
    </row>
    <row r="503" spans="1:35" ht="12.75" customHeight="1">
      <c r="A503" s="7"/>
      <c r="B503" s="7"/>
      <c r="C503" s="7"/>
      <c r="D503" s="7"/>
      <c r="E503" s="7"/>
      <c r="F503" s="7"/>
      <c r="G503" s="7"/>
      <c r="H503" s="7"/>
      <c r="I503" s="8"/>
      <c r="J503" s="8"/>
      <c r="P503" s="10"/>
      <c r="Q503" s="10"/>
      <c r="R503" s="10"/>
      <c r="S503" s="10"/>
      <c r="T503" s="10"/>
      <c r="U503" s="10"/>
      <c r="V503" s="10"/>
      <c r="W503" s="10"/>
      <c r="X503" s="10"/>
      <c r="Z503" s="10"/>
      <c r="AA503" s="7"/>
      <c r="AB503" s="7"/>
      <c r="AC503" s="7"/>
      <c r="AD503" s="7"/>
      <c r="AE503" s="7"/>
      <c r="AF503" s="7"/>
      <c r="AG503" s="7"/>
      <c r="AH503" s="7"/>
      <c r="AI503" s="7"/>
    </row>
    <row r="504" spans="1:35" ht="12.75" customHeight="1">
      <c r="A504" s="7"/>
      <c r="B504" s="7"/>
      <c r="C504" s="7"/>
      <c r="D504" s="7"/>
      <c r="E504" s="7"/>
      <c r="F504" s="7"/>
      <c r="G504" s="7"/>
      <c r="H504" s="7"/>
      <c r="I504" s="8"/>
      <c r="J504" s="8"/>
      <c r="P504" s="10"/>
      <c r="Q504" s="10"/>
      <c r="R504" s="10"/>
      <c r="S504" s="10"/>
      <c r="T504" s="10"/>
      <c r="U504" s="10"/>
      <c r="V504" s="10"/>
      <c r="W504" s="10"/>
      <c r="X504" s="10"/>
      <c r="Z504" s="10"/>
      <c r="AA504" s="7"/>
      <c r="AB504" s="7"/>
      <c r="AC504" s="7"/>
      <c r="AD504" s="7"/>
      <c r="AE504" s="7"/>
      <c r="AF504" s="7"/>
      <c r="AG504" s="7"/>
      <c r="AH504" s="7"/>
      <c r="AI504" s="7"/>
    </row>
    <row r="505" spans="1:35" ht="12.75" customHeight="1">
      <c r="A505" s="7"/>
      <c r="B505" s="7"/>
      <c r="C505" s="7"/>
      <c r="D505" s="7"/>
      <c r="E505" s="7"/>
      <c r="F505" s="7"/>
      <c r="G505" s="7"/>
      <c r="H505" s="7"/>
      <c r="I505" s="8"/>
      <c r="J505" s="8"/>
      <c r="P505" s="10"/>
      <c r="Q505" s="10"/>
      <c r="R505" s="10"/>
      <c r="S505" s="10"/>
      <c r="T505" s="10"/>
      <c r="U505" s="10"/>
      <c r="V505" s="10"/>
      <c r="W505" s="10"/>
      <c r="X505" s="10"/>
      <c r="Z505" s="10"/>
      <c r="AA505" s="7"/>
      <c r="AB505" s="7"/>
      <c r="AC505" s="7"/>
      <c r="AD505" s="7"/>
      <c r="AE505" s="7"/>
      <c r="AF505" s="7"/>
      <c r="AG505" s="7"/>
      <c r="AH505" s="7"/>
      <c r="AI505" s="7"/>
    </row>
    <row r="506" spans="1:35" ht="12.75" customHeight="1">
      <c r="A506" s="7"/>
      <c r="B506" s="7"/>
      <c r="C506" s="7"/>
      <c r="D506" s="7"/>
      <c r="E506" s="7"/>
      <c r="F506" s="7"/>
      <c r="G506" s="7"/>
      <c r="H506" s="7"/>
      <c r="I506" s="8"/>
      <c r="J506" s="8"/>
      <c r="P506" s="10"/>
      <c r="Q506" s="10"/>
      <c r="R506" s="10"/>
      <c r="S506" s="10"/>
      <c r="T506" s="10"/>
      <c r="U506" s="10"/>
      <c r="V506" s="10"/>
      <c r="W506" s="10"/>
      <c r="X506" s="10"/>
      <c r="Z506" s="10"/>
      <c r="AA506" s="7"/>
      <c r="AB506" s="7"/>
      <c r="AC506" s="7"/>
      <c r="AD506" s="7"/>
      <c r="AE506" s="7"/>
      <c r="AF506" s="7"/>
      <c r="AG506" s="7"/>
      <c r="AH506" s="7"/>
      <c r="AI506" s="7"/>
    </row>
    <row r="507" spans="1:35" ht="12.75" customHeight="1">
      <c r="A507" s="7"/>
      <c r="B507" s="7"/>
      <c r="C507" s="7"/>
      <c r="D507" s="7"/>
      <c r="E507" s="7"/>
      <c r="F507" s="7"/>
      <c r="G507" s="7"/>
      <c r="H507" s="7"/>
      <c r="I507" s="8"/>
      <c r="J507" s="8"/>
      <c r="P507" s="10"/>
      <c r="Q507" s="10"/>
      <c r="R507" s="10"/>
      <c r="S507" s="10"/>
      <c r="T507" s="10"/>
      <c r="U507" s="10"/>
      <c r="V507" s="10"/>
      <c r="W507" s="10"/>
      <c r="X507" s="10"/>
      <c r="Z507" s="10"/>
      <c r="AA507" s="7"/>
      <c r="AB507" s="7"/>
      <c r="AC507" s="7"/>
      <c r="AD507" s="7"/>
      <c r="AE507" s="7"/>
      <c r="AF507" s="7"/>
      <c r="AG507" s="7"/>
      <c r="AH507" s="7"/>
      <c r="AI507" s="7"/>
    </row>
    <row r="508" spans="1:35" ht="12.75" customHeight="1">
      <c r="A508" s="7"/>
      <c r="B508" s="7"/>
      <c r="C508" s="7"/>
      <c r="D508" s="7"/>
      <c r="E508" s="7"/>
      <c r="F508" s="7"/>
      <c r="G508" s="7"/>
      <c r="H508" s="7"/>
      <c r="I508" s="8"/>
      <c r="J508" s="8"/>
      <c r="P508" s="10"/>
      <c r="Q508" s="10"/>
      <c r="R508" s="10"/>
      <c r="S508" s="10"/>
      <c r="T508" s="10"/>
      <c r="U508" s="10"/>
      <c r="V508" s="10"/>
      <c r="W508" s="10"/>
      <c r="X508" s="10"/>
      <c r="Z508" s="10"/>
      <c r="AA508" s="7"/>
      <c r="AB508" s="7"/>
      <c r="AC508" s="7"/>
      <c r="AD508" s="7"/>
      <c r="AE508" s="7"/>
      <c r="AF508" s="7"/>
      <c r="AG508" s="7"/>
      <c r="AH508" s="7"/>
      <c r="AI508" s="7"/>
    </row>
    <row r="509" spans="1:35" ht="12.75" customHeight="1">
      <c r="A509" s="7"/>
      <c r="B509" s="7"/>
      <c r="C509" s="7"/>
      <c r="D509" s="7"/>
      <c r="E509" s="7"/>
      <c r="F509" s="7"/>
      <c r="G509" s="7"/>
      <c r="H509" s="7"/>
      <c r="I509" s="8"/>
      <c r="J509" s="8"/>
      <c r="P509" s="10"/>
      <c r="Q509" s="10"/>
      <c r="R509" s="10"/>
      <c r="S509" s="10"/>
      <c r="T509" s="10"/>
      <c r="U509" s="10"/>
      <c r="V509" s="10"/>
      <c r="W509" s="10"/>
      <c r="X509" s="10"/>
      <c r="Z509" s="10"/>
      <c r="AA509" s="7"/>
      <c r="AB509" s="7"/>
      <c r="AC509" s="7"/>
      <c r="AD509" s="7"/>
      <c r="AE509" s="7"/>
      <c r="AF509" s="7"/>
      <c r="AG509" s="7"/>
      <c r="AH509" s="7"/>
      <c r="AI509" s="7"/>
    </row>
    <row r="510" spans="1:35" ht="12.75" customHeight="1">
      <c r="A510" s="7"/>
      <c r="B510" s="7"/>
      <c r="C510" s="7"/>
      <c r="D510" s="7"/>
      <c r="E510" s="7"/>
      <c r="F510" s="7"/>
      <c r="G510" s="7"/>
      <c r="H510" s="7"/>
      <c r="I510" s="8"/>
      <c r="J510" s="8"/>
      <c r="P510" s="10"/>
      <c r="Q510" s="10"/>
      <c r="R510" s="10"/>
      <c r="S510" s="10"/>
      <c r="T510" s="10"/>
      <c r="U510" s="10"/>
      <c r="V510" s="10"/>
      <c r="W510" s="10"/>
      <c r="X510" s="10"/>
      <c r="Z510" s="10"/>
      <c r="AA510" s="7"/>
      <c r="AB510" s="7"/>
      <c r="AC510" s="7"/>
      <c r="AD510" s="7"/>
      <c r="AE510" s="7"/>
      <c r="AF510" s="7"/>
      <c r="AG510" s="7"/>
      <c r="AH510" s="7"/>
      <c r="AI510" s="7"/>
    </row>
    <row r="511" spans="1:35" ht="12.75" customHeight="1">
      <c r="A511" s="7"/>
      <c r="B511" s="7"/>
      <c r="C511" s="7"/>
      <c r="D511" s="7"/>
      <c r="E511" s="7"/>
      <c r="F511" s="7"/>
      <c r="G511" s="7"/>
      <c r="H511" s="7"/>
      <c r="I511" s="8"/>
      <c r="J511" s="8"/>
      <c r="P511" s="10"/>
      <c r="Q511" s="10"/>
      <c r="R511" s="10"/>
      <c r="S511" s="10"/>
      <c r="T511" s="10"/>
      <c r="U511" s="10"/>
      <c r="V511" s="10"/>
      <c r="W511" s="10"/>
      <c r="X511" s="10"/>
      <c r="Z511" s="10"/>
      <c r="AA511" s="7"/>
      <c r="AB511" s="7"/>
      <c r="AC511" s="7"/>
      <c r="AD511" s="7"/>
      <c r="AE511" s="7"/>
      <c r="AF511" s="7"/>
      <c r="AG511" s="7"/>
      <c r="AH511" s="7"/>
      <c r="AI511" s="7"/>
    </row>
    <row r="512" spans="1:35" ht="12.75" customHeight="1">
      <c r="A512" s="7"/>
      <c r="B512" s="7"/>
      <c r="C512" s="7"/>
      <c r="D512" s="7"/>
      <c r="E512" s="7"/>
      <c r="F512" s="7"/>
      <c r="G512" s="7"/>
      <c r="H512" s="7"/>
      <c r="I512" s="8"/>
      <c r="J512" s="8"/>
      <c r="P512" s="10"/>
      <c r="Q512" s="10"/>
      <c r="R512" s="10"/>
      <c r="S512" s="10"/>
      <c r="T512" s="10"/>
      <c r="U512" s="10"/>
      <c r="V512" s="10"/>
      <c r="W512" s="10"/>
      <c r="X512" s="10"/>
      <c r="Z512" s="10"/>
      <c r="AA512" s="7"/>
      <c r="AB512" s="7"/>
      <c r="AC512" s="7"/>
      <c r="AD512" s="7"/>
      <c r="AE512" s="7"/>
      <c r="AF512" s="7"/>
      <c r="AG512" s="7"/>
      <c r="AH512" s="7"/>
      <c r="AI512" s="7"/>
    </row>
    <row r="513" spans="1:35" ht="12.75" customHeight="1">
      <c r="A513" s="7"/>
      <c r="B513" s="7"/>
      <c r="C513" s="7"/>
      <c r="D513" s="7"/>
      <c r="E513" s="7"/>
      <c r="F513" s="7"/>
      <c r="G513" s="7"/>
      <c r="H513" s="7"/>
      <c r="I513" s="8"/>
      <c r="J513" s="8"/>
      <c r="P513" s="10"/>
      <c r="Q513" s="10"/>
      <c r="R513" s="10"/>
      <c r="S513" s="10"/>
      <c r="T513" s="10"/>
      <c r="U513" s="10"/>
      <c r="V513" s="10"/>
      <c r="W513" s="10"/>
      <c r="X513" s="10"/>
      <c r="Z513" s="10"/>
      <c r="AA513" s="7"/>
      <c r="AB513" s="7"/>
      <c r="AC513" s="7"/>
      <c r="AD513" s="7"/>
      <c r="AE513" s="7"/>
      <c r="AF513" s="7"/>
      <c r="AG513" s="7"/>
      <c r="AH513" s="7"/>
      <c r="AI513" s="7"/>
    </row>
    <row r="514" spans="1:35" ht="12.75" customHeight="1">
      <c r="A514" s="7"/>
      <c r="B514" s="7"/>
      <c r="C514" s="7"/>
      <c r="D514" s="7"/>
      <c r="E514" s="7"/>
      <c r="F514" s="7"/>
      <c r="G514" s="7"/>
      <c r="H514" s="7"/>
      <c r="I514" s="8"/>
      <c r="J514" s="8"/>
      <c r="P514" s="10"/>
      <c r="Q514" s="10"/>
      <c r="R514" s="10"/>
      <c r="S514" s="10"/>
      <c r="T514" s="10"/>
      <c r="U514" s="10"/>
      <c r="V514" s="10"/>
      <c r="W514" s="10"/>
      <c r="X514" s="10"/>
      <c r="Z514" s="10"/>
      <c r="AA514" s="7"/>
      <c r="AB514" s="7"/>
      <c r="AC514" s="7"/>
      <c r="AD514" s="7"/>
      <c r="AE514" s="7"/>
      <c r="AF514" s="7"/>
      <c r="AG514" s="7"/>
      <c r="AH514" s="7"/>
      <c r="AI514" s="7"/>
    </row>
    <row r="515" spans="1:35" ht="12.75" customHeight="1">
      <c r="A515" s="7"/>
      <c r="B515" s="7"/>
      <c r="C515" s="7"/>
      <c r="D515" s="7"/>
      <c r="E515" s="7"/>
      <c r="F515" s="7"/>
      <c r="G515" s="7"/>
      <c r="H515" s="7"/>
      <c r="I515" s="8"/>
      <c r="J515" s="8"/>
      <c r="P515" s="10"/>
      <c r="Q515" s="10"/>
      <c r="R515" s="10"/>
      <c r="S515" s="10"/>
      <c r="T515" s="10"/>
      <c r="U515" s="10"/>
      <c r="V515" s="10"/>
      <c r="W515" s="10"/>
      <c r="X515" s="10"/>
      <c r="Z515" s="10"/>
      <c r="AA515" s="7"/>
      <c r="AB515" s="7"/>
      <c r="AC515" s="7"/>
      <c r="AD515" s="7"/>
      <c r="AE515" s="7"/>
      <c r="AF515" s="7"/>
      <c r="AG515" s="7"/>
      <c r="AH515" s="7"/>
      <c r="AI515" s="7"/>
    </row>
    <row r="516" spans="1:35" ht="12.75" customHeight="1">
      <c r="A516" s="7"/>
      <c r="B516" s="7"/>
      <c r="C516" s="7"/>
      <c r="D516" s="7"/>
      <c r="E516" s="7"/>
      <c r="F516" s="7"/>
      <c r="G516" s="7"/>
      <c r="H516" s="7"/>
      <c r="I516" s="8"/>
      <c r="J516" s="8"/>
      <c r="P516" s="10"/>
      <c r="Q516" s="10"/>
      <c r="R516" s="10"/>
      <c r="S516" s="10"/>
      <c r="T516" s="10"/>
      <c r="U516" s="10"/>
      <c r="V516" s="10"/>
      <c r="W516" s="10"/>
      <c r="X516" s="10"/>
      <c r="Z516" s="10"/>
      <c r="AA516" s="7"/>
      <c r="AB516" s="7"/>
      <c r="AC516" s="7"/>
      <c r="AD516" s="7"/>
      <c r="AE516" s="7"/>
      <c r="AF516" s="7"/>
      <c r="AG516" s="7"/>
      <c r="AH516" s="7"/>
      <c r="AI516" s="7"/>
    </row>
    <row r="517" spans="1:35" ht="12.75" customHeight="1">
      <c r="A517" s="7"/>
      <c r="B517" s="7"/>
      <c r="C517" s="7"/>
      <c r="D517" s="7"/>
      <c r="E517" s="7"/>
      <c r="F517" s="7"/>
      <c r="G517" s="7"/>
      <c r="H517" s="7"/>
      <c r="I517" s="8"/>
      <c r="J517" s="8"/>
      <c r="P517" s="10"/>
      <c r="Q517" s="10"/>
      <c r="R517" s="10"/>
      <c r="S517" s="10"/>
      <c r="T517" s="10"/>
      <c r="U517" s="10"/>
      <c r="V517" s="10"/>
      <c r="W517" s="10"/>
      <c r="X517" s="10"/>
      <c r="Z517" s="10"/>
      <c r="AA517" s="7"/>
      <c r="AB517" s="7"/>
      <c r="AC517" s="7"/>
      <c r="AD517" s="7"/>
      <c r="AE517" s="7"/>
      <c r="AF517" s="7"/>
      <c r="AG517" s="7"/>
      <c r="AH517" s="7"/>
      <c r="AI517" s="7"/>
    </row>
    <row r="518" spans="1:35" ht="12.75" customHeight="1">
      <c r="A518" s="7"/>
      <c r="B518" s="7"/>
      <c r="C518" s="7"/>
      <c r="D518" s="7"/>
      <c r="E518" s="7"/>
      <c r="F518" s="7"/>
      <c r="G518" s="7"/>
      <c r="H518" s="7"/>
      <c r="I518" s="8"/>
      <c r="J518" s="8"/>
      <c r="P518" s="10"/>
      <c r="Q518" s="10"/>
      <c r="R518" s="10"/>
      <c r="S518" s="10"/>
      <c r="T518" s="10"/>
      <c r="U518" s="10"/>
      <c r="V518" s="10"/>
      <c r="W518" s="10"/>
      <c r="X518" s="10"/>
      <c r="Z518" s="10"/>
      <c r="AA518" s="7"/>
      <c r="AB518" s="7"/>
      <c r="AC518" s="7"/>
      <c r="AD518" s="7"/>
      <c r="AE518" s="7"/>
      <c r="AF518" s="7"/>
      <c r="AG518" s="7"/>
      <c r="AH518" s="7"/>
      <c r="AI518" s="7"/>
    </row>
    <row r="519" spans="1:35" ht="12.75" customHeight="1">
      <c r="A519" s="7"/>
      <c r="B519" s="7"/>
      <c r="C519" s="7"/>
      <c r="D519" s="7"/>
      <c r="E519" s="7"/>
      <c r="F519" s="7"/>
      <c r="G519" s="7"/>
      <c r="H519" s="7"/>
      <c r="I519" s="8"/>
      <c r="J519" s="8"/>
      <c r="P519" s="10"/>
      <c r="Q519" s="10"/>
      <c r="R519" s="10"/>
      <c r="S519" s="10"/>
      <c r="T519" s="10"/>
      <c r="U519" s="10"/>
      <c r="V519" s="10"/>
      <c r="W519" s="10"/>
      <c r="X519" s="10"/>
      <c r="Z519" s="10"/>
      <c r="AA519" s="7"/>
      <c r="AB519" s="7"/>
      <c r="AC519" s="7"/>
      <c r="AD519" s="7"/>
      <c r="AE519" s="7"/>
      <c r="AF519" s="7"/>
      <c r="AG519" s="7"/>
      <c r="AH519" s="7"/>
      <c r="AI519" s="7"/>
    </row>
    <row r="520" spans="1:35" ht="12.75" customHeight="1">
      <c r="A520" s="7"/>
      <c r="B520" s="7"/>
      <c r="C520" s="7"/>
      <c r="D520" s="7"/>
      <c r="E520" s="7"/>
      <c r="F520" s="7"/>
      <c r="G520" s="7"/>
      <c r="H520" s="7"/>
      <c r="I520" s="8"/>
      <c r="J520" s="8"/>
      <c r="P520" s="10"/>
      <c r="Q520" s="10"/>
      <c r="R520" s="10"/>
      <c r="S520" s="10"/>
      <c r="T520" s="10"/>
      <c r="U520" s="10"/>
      <c r="V520" s="10"/>
      <c r="W520" s="10"/>
      <c r="X520" s="10"/>
      <c r="Z520" s="10"/>
      <c r="AA520" s="7"/>
      <c r="AB520" s="7"/>
      <c r="AC520" s="7"/>
      <c r="AD520" s="7"/>
      <c r="AE520" s="7"/>
      <c r="AF520" s="7"/>
      <c r="AG520" s="7"/>
      <c r="AH520" s="7"/>
      <c r="AI520" s="7"/>
    </row>
    <row r="521" spans="1:35" ht="12.75" customHeight="1">
      <c r="A521" s="7"/>
      <c r="B521" s="7"/>
      <c r="C521" s="7"/>
      <c r="D521" s="7"/>
      <c r="E521" s="7"/>
      <c r="F521" s="7"/>
      <c r="G521" s="7"/>
      <c r="H521" s="7"/>
      <c r="I521" s="8"/>
      <c r="J521" s="8"/>
      <c r="P521" s="10"/>
      <c r="Q521" s="10"/>
      <c r="R521" s="10"/>
      <c r="S521" s="10"/>
      <c r="T521" s="10"/>
      <c r="U521" s="10"/>
      <c r="V521" s="10"/>
      <c r="W521" s="10"/>
      <c r="X521" s="10"/>
      <c r="Z521" s="10"/>
      <c r="AA521" s="7"/>
      <c r="AB521" s="7"/>
      <c r="AC521" s="7"/>
      <c r="AD521" s="7"/>
      <c r="AE521" s="7"/>
      <c r="AF521" s="7"/>
      <c r="AG521" s="7"/>
      <c r="AH521" s="7"/>
      <c r="AI521" s="7"/>
    </row>
    <row r="522" spans="1:35" ht="12.75" customHeight="1">
      <c r="A522" s="7"/>
      <c r="B522" s="7"/>
      <c r="C522" s="7"/>
      <c r="D522" s="7"/>
      <c r="E522" s="7"/>
      <c r="F522" s="7"/>
      <c r="G522" s="7"/>
      <c r="H522" s="7"/>
      <c r="I522" s="8"/>
      <c r="J522" s="8"/>
      <c r="P522" s="10"/>
      <c r="Q522" s="10"/>
      <c r="R522" s="10"/>
      <c r="S522" s="10"/>
      <c r="T522" s="10"/>
      <c r="U522" s="10"/>
      <c r="V522" s="10"/>
      <c r="W522" s="10"/>
      <c r="X522" s="10"/>
      <c r="Z522" s="10"/>
      <c r="AA522" s="7"/>
      <c r="AB522" s="7"/>
      <c r="AC522" s="7"/>
      <c r="AD522" s="7"/>
      <c r="AE522" s="7"/>
      <c r="AF522" s="7"/>
      <c r="AG522" s="7"/>
      <c r="AH522" s="7"/>
      <c r="AI522" s="7"/>
    </row>
    <row r="523" spans="1:35" ht="12.75" customHeight="1">
      <c r="A523" s="7"/>
      <c r="B523" s="7"/>
      <c r="C523" s="7"/>
      <c r="D523" s="7"/>
      <c r="E523" s="7"/>
      <c r="F523" s="7"/>
      <c r="G523" s="7"/>
      <c r="H523" s="7"/>
      <c r="I523" s="8"/>
      <c r="J523" s="8"/>
      <c r="P523" s="10"/>
      <c r="Q523" s="10"/>
      <c r="R523" s="10"/>
      <c r="S523" s="10"/>
      <c r="T523" s="10"/>
      <c r="U523" s="10"/>
      <c r="V523" s="10"/>
      <c r="W523" s="10"/>
      <c r="X523" s="10"/>
      <c r="Z523" s="10"/>
      <c r="AA523" s="7"/>
      <c r="AB523" s="7"/>
      <c r="AC523" s="7"/>
      <c r="AD523" s="7"/>
      <c r="AE523" s="7"/>
      <c r="AF523" s="7"/>
      <c r="AG523" s="7"/>
      <c r="AH523" s="7"/>
      <c r="AI523" s="7"/>
    </row>
    <row r="524" spans="1:35" ht="12.75" customHeight="1">
      <c r="A524" s="7"/>
      <c r="B524" s="7"/>
      <c r="C524" s="7"/>
      <c r="D524" s="7"/>
      <c r="E524" s="7"/>
      <c r="F524" s="7"/>
      <c r="G524" s="7"/>
      <c r="H524" s="7"/>
      <c r="I524" s="8"/>
      <c r="J524" s="8"/>
      <c r="P524" s="10"/>
      <c r="Q524" s="10"/>
      <c r="R524" s="10"/>
      <c r="S524" s="10"/>
      <c r="T524" s="10"/>
      <c r="U524" s="10"/>
      <c r="V524" s="10"/>
      <c r="W524" s="10"/>
      <c r="X524" s="10"/>
      <c r="Z524" s="10"/>
      <c r="AA524" s="7"/>
      <c r="AB524" s="7"/>
      <c r="AC524" s="7"/>
      <c r="AD524" s="7"/>
      <c r="AE524" s="7"/>
      <c r="AF524" s="7"/>
      <c r="AG524" s="7"/>
      <c r="AH524" s="7"/>
      <c r="AI524" s="7"/>
    </row>
    <row r="525" spans="1:35" ht="12.75" customHeight="1">
      <c r="A525" s="7"/>
      <c r="B525" s="7"/>
      <c r="C525" s="7"/>
      <c r="D525" s="7"/>
      <c r="E525" s="7"/>
      <c r="F525" s="7"/>
      <c r="G525" s="7"/>
      <c r="H525" s="7"/>
      <c r="I525" s="8"/>
      <c r="J525" s="8"/>
      <c r="P525" s="10"/>
      <c r="Q525" s="10"/>
      <c r="R525" s="10"/>
      <c r="S525" s="10"/>
      <c r="T525" s="10"/>
      <c r="U525" s="10"/>
      <c r="V525" s="10"/>
      <c r="W525" s="10"/>
      <c r="X525" s="10"/>
      <c r="Z525" s="10"/>
      <c r="AA525" s="7"/>
      <c r="AB525" s="7"/>
      <c r="AC525" s="7"/>
      <c r="AD525" s="7"/>
      <c r="AE525" s="7"/>
      <c r="AF525" s="7"/>
      <c r="AG525" s="7"/>
      <c r="AH525" s="7"/>
      <c r="AI525" s="7"/>
    </row>
    <row r="526" spans="1:35" ht="12.75" customHeight="1">
      <c r="A526" s="7"/>
      <c r="B526" s="7"/>
      <c r="C526" s="7"/>
      <c r="D526" s="7"/>
      <c r="E526" s="7"/>
      <c r="F526" s="7"/>
      <c r="G526" s="7"/>
      <c r="H526" s="7"/>
      <c r="I526" s="8"/>
      <c r="J526" s="8"/>
      <c r="P526" s="10"/>
      <c r="Q526" s="10"/>
      <c r="R526" s="10"/>
      <c r="S526" s="10"/>
      <c r="T526" s="10"/>
      <c r="U526" s="10"/>
      <c r="V526" s="10"/>
      <c r="W526" s="10"/>
      <c r="X526" s="10"/>
      <c r="Z526" s="10"/>
      <c r="AA526" s="7"/>
      <c r="AB526" s="7"/>
      <c r="AC526" s="7"/>
      <c r="AD526" s="7"/>
      <c r="AE526" s="7"/>
      <c r="AF526" s="7"/>
      <c r="AG526" s="7"/>
      <c r="AH526" s="7"/>
      <c r="AI526" s="7"/>
    </row>
    <row r="527" spans="1:35" ht="12.75" customHeight="1">
      <c r="A527" s="7"/>
      <c r="B527" s="7"/>
      <c r="C527" s="7"/>
      <c r="D527" s="7"/>
      <c r="E527" s="7"/>
      <c r="F527" s="7"/>
      <c r="G527" s="7"/>
      <c r="H527" s="7"/>
      <c r="I527" s="8"/>
      <c r="J527" s="8"/>
      <c r="P527" s="10"/>
      <c r="Q527" s="10"/>
      <c r="R527" s="10"/>
      <c r="S527" s="10"/>
      <c r="T527" s="10"/>
      <c r="U527" s="10"/>
      <c r="V527" s="10"/>
      <c r="W527" s="10"/>
      <c r="X527" s="10"/>
      <c r="Z527" s="10"/>
      <c r="AA527" s="7"/>
      <c r="AB527" s="7"/>
      <c r="AC527" s="7"/>
      <c r="AD527" s="7"/>
      <c r="AE527" s="7"/>
      <c r="AF527" s="7"/>
      <c r="AG527" s="7"/>
      <c r="AH527" s="7"/>
      <c r="AI527" s="7"/>
    </row>
    <row r="528" spans="1:35" ht="12.75" customHeight="1">
      <c r="A528" s="7"/>
      <c r="B528" s="7"/>
      <c r="C528" s="7"/>
      <c r="D528" s="7"/>
      <c r="E528" s="7"/>
      <c r="F528" s="7"/>
      <c r="G528" s="7"/>
      <c r="H528" s="7"/>
      <c r="I528" s="8"/>
      <c r="J528" s="8"/>
      <c r="P528" s="10"/>
      <c r="Q528" s="10"/>
      <c r="R528" s="10"/>
      <c r="S528" s="10"/>
      <c r="T528" s="10"/>
      <c r="U528" s="10"/>
      <c r="V528" s="10"/>
      <c r="W528" s="10"/>
      <c r="X528" s="10"/>
      <c r="Z528" s="10"/>
      <c r="AA528" s="7"/>
      <c r="AB528" s="7"/>
      <c r="AC528" s="7"/>
      <c r="AD528" s="7"/>
      <c r="AE528" s="7"/>
      <c r="AF528" s="7"/>
      <c r="AG528" s="7"/>
      <c r="AH528" s="7"/>
      <c r="AI528" s="7"/>
    </row>
    <row r="529" spans="1:35" ht="12.75" customHeight="1">
      <c r="A529" s="7"/>
      <c r="B529" s="7"/>
      <c r="C529" s="7"/>
      <c r="D529" s="7"/>
      <c r="E529" s="7"/>
      <c r="F529" s="7"/>
      <c r="G529" s="7"/>
      <c r="H529" s="7"/>
      <c r="I529" s="8"/>
      <c r="J529" s="8"/>
      <c r="P529" s="10"/>
      <c r="Q529" s="10"/>
      <c r="R529" s="10"/>
      <c r="S529" s="10"/>
      <c r="T529" s="10"/>
      <c r="U529" s="10"/>
      <c r="V529" s="10"/>
      <c r="W529" s="10"/>
      <c r="X529" s="10"/>
      <c r="Z529" s="10"/>
      <c r="AA529" s="7"/>
      <c r="AB529" s="7"/>
      <c r="AC529" s="7"/>
      <c r="AD529" s="7"/>
      <c r="AE529" s="7"/>
      <c r="AF529" s="7"/>
      <c r="AG529" s="7"/>
      <c r="AH529" s="7"/>
      <c r="AI529" s="7"/>
    </row>
    <row r="530" spans="1:35" ht="12.75" customHeight="1">
      <c r="A530" s="7"/>
      <c r="B530" s="7"/>
      <c r="C530" s="7"/>
      <c r="D530" s="7"/>
      <c r="E530" s="7"/>
      <c r="F530" s="7"/>
      <c r="G530" s="7"/>
      <c r="H530" s="7"/>
      <c r="I530" s="8"/>
      <c r="J530" s="8"/>
      <c r="P530" s="10"/>
      <c r="Q530" s="10"/>
      <c r="R530" s="10"/>
      <c r="S530" s="10"/>
      <c r="T530" s="10"/>
      <c r="U530" s="10"/>
      <c r="V530" s="10"/>
      <c r="W530" s="10"/>
      <c r="X530" s="10"/>
      <c r="Z530" s="10"/>
      <c r="AA530" s="7"/>
      <c r="AB530" s="7"/>
      <c r="AC530" s="7"/>
      <c r="AD530" s="7"/>
      <c r="AE530" s="7"/>
      <c r="AF530" s="7"/>
      <c r="AG530" s="7"/>
      <c r="AH530" s="7"/>
      <c r="AI530" s="7"/>
    </row>
    <row r="531" spans="1:35" ht="12.75" customHeight="1">
      <c r="A531" s="7"/>
      <c r="B531" s="7"/>
      <c r="C531" s="7"/>
      <c r="D531" s="7"/>
      <c r="E531" s="7"/>
      <c r="F531" s="7"/>
      <c r="G531" s="7"/>
      <c r="H531" s="7"/>
      <c r="I531" s="8"/>
      <c r="J531" s="8"/>
      <c r="P531" s="10"/>
      <c r="Q531" s="10"/>
      <c r="R531" s="10"/>
      <c r="S531" s="10"/>
      <c r="T531" s="10"/>
      <c r="U531" s="10"/>
      <c r="V531" s="10"/>
      <c r="W531" s="10"/>
      <c r="X531" s="10"/>
      <c r="Z531" s="10"/>
      <c r="AA531" s="7"/>
      <c r="AB531" s="7"/>
      <c r="AC531" s="7"/>
      <c r="AD531" s="7"/>
      <c r="AE531" s="7"/>
      <c r="AF531" s="7"/>
      <c r="AG531" s="7"/>
      <c r="AH531" s="7"/>
      <c r="AI531" s="7"/>
    </row>
    <row r="532" spans="1:35" ht="12.75" customHeight="1">
      <c r="A532" s="7"/>
      <c r="B532" s="7"/>
      <c r="C532" s="7"/>
      <c r="D532" s="7"/>
      <c r="E532" s="7"/>
      <c r="F532" s="7"/>
      <c r="G532" s="7"/>
      <c r="H532" s="7"/>
      <c r="I532" s="8"/>
      <c r="J532" s="8"/>
      <c r="P532" s="10"/>
      <c r="Q532" s="10"/>
      <c r="R532" s="10"/>
      <c r="S532" s="10"/>
      <c r="T532" s="10"/>
      <c r="U532" s="10"/>
      <c r="V532" s="10"/>
      <c r="W532" s="10"/>
      <c r="X532" s="10"/>
      <c r="Z532" s="10"/>
      <c r="AA532" s="7"/>
      <c r="AB532" s="7"/>
      <c r="AC532" s="7"/>
      <c r="AD532" s="7"/>
      <c r="AE532" s="7"/>
      <c r="AF532" s="7"/>
      <c r="AG532" s="7"/>
      <c r="AH532" s="7"/>
      <c r="AI532" s="7"/>
    </row>
    <row r="533" spans="1:35" ht="12.75" customHeight="1">
      <c r="A533" s="7"/>
      <c r="B533" s="7"/>
      <c r="C533" s="7"/>
      <c r="D533" s="7"/>
      <c r="E533" s="7"/>
      <c r="F533" s="7"/>
      <c r="G533" s="7"/>
      <c r="H533" s="7"/>
      <c r="I533" s="8"/>
      <c r="J533" s="8"/>
      <c r="P533" s="10"/>
      <c r="Q533" s="10"/>
      <c r="R533" s="10"/>
      <c r="S533" s="10"/>
      <c r="T533" s="10"/>
      <c r="U533" s="10"/>
      <c r="V533" s="10"/>
      <c r="W533" s="10"/>
      <c r="X533" s="10"/>
      <c r="Z533" s="10"/>
      <c r="AA533" s="7"/>
      <c r="AB533" s="7"/>
      <c r="AC533" s="7"/>
      <c r="AD533" s="7"/>
      <c r="AE533" s="7"/>
      <c r="AF533" s="7"/>
      <c r="AG533" s="7"/>
      <c r="AH533" s="7"/>
      <c r="AI533" s="7"/>
    </row>
    <row r="534" spans="1:35" ht="12.75" customHeight="1">
      <c r="A534" s="7"/>
      <c r="B534" s="7"/>
      <c r="C534" s="7"/>
      <c r="D534" s="7"/>
      <c r="E534" s="7"/>
      <c r="F534" s="7"/>
      <c r="G534" s="7"/>
      <c r="H534" s="7"/>
      <c r="I534" s="8"/>
      <c r="J534" s="8"/>
      <c r="P534" s="10"/>
      <c r="Q534" s="10"/>
      <c r="R534" s="10"/>
      <c r="S534" s="10"/>
      <c r="T534" s="10"/>
      <c r="U534" s="10"/>
      <c r="V534" s="10"/>
      <c r="W534" s="10"/>
      <c r="X534" s="10"/>
      <c r="Z534" s="10"/>
      <c r="AA534" s="7"/>
      <c r="AB534" s="7"/>
      <c r="AC534" s="7"/>
      <c r="AD534" s="7"/>
      <c r="AE534" s="7"/>
      <c r="AF534" s="7"/>
      <c r="AG534" s="7"/>
      <c r="AH534" s="7"/>
      <c r="AI534" s="7"/>
    </row>
    <row r="535" spans="1:35" ht="12.75" customHeight="1">
      <c r="A535" s="7"/>
      <c r="B535" s="7"/>
      <c r="C535" s="7"/>
      <c r="D535" s="7"/>
      <c r="E535" s="7"/>
      <c r="F535" s="7"/>
      <c r="G535" s="7"/>
      <c r="H535" s="7"/>
      <c r="I535" s="8"/>
      <c r="J535" s="8"/>
      <c r="P535" s="10"/>
      <c r="Q535" s="10"/>
      <c r="R535" s="10"/>
      <c r="S535" s="10"/>
      <c r="T535" s="10"/>
      <c r="U535" s="10"/>
      <c r="V535" s="10"/>
      <c r="W535" s="10"/>
      <c r="X535" s="10"/>
      <c r="Z535" s="10"/>
      <c r="AA535" s="7"/>
      <c r="AB535" s="7"/>
      <c r="AC535" s="7"/>
      <c r="AD535" s="7"/>
      <c r="AE535" s="7"/>
      <c r="AF535" s="7"/>
      <c r="AG535" s="7"/>
      <c r="AH535" s="7"/>
      <c r="AI535" s="7"/>
    </row>
    <row r="536" spans="1:35" ht="12.75" customHeight="1">
      <c r="A536" s="7"/>
      <c r="B536" s="7"/>
      <c r="C536" s="7"/>
      <c r="D536" s="7"/>
      <c r="E536" s="7"/>
      <c r="F536" s="7"/>
      <c r="G536" s="7"/>
      <c r="H536" s="7"/>
      <c r="I536" s="8"/>
      <c r="J536" s="8"/>
      <c r="P536" s="10"/>
      <c r="Q536" s="10"/>
      <c r="R536" s="10"/>
      <c r="S536" s="10"/>
      <c r="T536" s="10"/>
      <c r="U536" s="10"/>
      <c r="V536" s="10"/>
      <c r="W536" s="10"/>
      <c r="X536" s="10"/>
      <c r="Z536" s="10"/>
      <c r="AA536" s="7"/>
      <c r="AB536" s="7"/>
      <c r="AC536" s="7"/>
      <c r="AD536" s="7"/>
      <c r="AE536" s="7"/>
      <c r="AF536" s="7"/>
      <c r="AG536" s="7"/>
      <c r="AH536" s="7"/>
      <c r="AI536" s="7"/>
    </row>
    <row r="537" spans="1:35" ht="12.75" customHeight="1">
      <c r="A537" s="7"/>
      <c r="B537" s="7"/>
      <c r="C537" s="7"/>
      <c r="D537" s="7"/>
      <c r="E537" s="7"/>
      <c r="F537" s="7"/>
      <c r="G537" s="7"/>
      <c r="H537" s="7"/>
      <c r="I537" s="8"/>
      <c r="J537" s="8"/>
      <c r="P537" s="10"/>
      <c r="Q537" s="10"/>
      <c r="R537" s="10"/>
      <c r="S537" s="10"/>
      <c r="T537" s="10"/>
      <c r="U537" s="10"/>
      <c r="V537" s="10"/>
      <c r="W537" s="10"/>
      <c r="X537" s="10"/>
      <c r="Z537" s="10"/>
      <c r="AA537" s="7"/>
      <c r="AB537" s="7"/>
      <c r="AC537" s="7"/>
      <c r="AD537" s="7"/>
      <c r="AE537" s="7"/>
      <c r="AF537" s="7"/>
      <c r="AG537" s="7"/>
      <c r="AH537" s="7"/>
      <c r="AI537" s="7"/>
    </row>
    <row r="538" spans="1:35" ht="12.75" customHeight="1">
      <c r="A538" s="7"/>
      <c r="B538" s="7"/>
      <c r="C538" s="7"/>
      <c r="D538" s="7"/>
      <c r="E538" s="7"/>
      <c r="F538" s="7"/>
      <c r="G538" s="7"/>
      <c r="H538" s="7"/>
      <c r="I538" s="8"/>
      <c r="J538" s="8"/>
      <c r="P538" s="10"/>
      <c r="Q538" s="10"/>
      <c r="R538" s="10"/>
      <c r="S538" s="10"/>
      <c r="T538" s="10"/>
      <c r="U538" s="10"/>
      <c r="V538" s="10"/>
      <c r="W538" s="10"/>
      <c r="X538" s="10"/>
      <c r="Z538" s="10"/>
      <c r="AA538" s="7"/>
      <c r="AB538" s="7"/>
      <c r="AC538" s="7"/>
      <c r="AD538" s="7"/>
      <c r="AE538" s="7"/>
      <c r="AF538" s="7"/>
      <c r="AG538" s="7"/>
      <c r="AH538" s="7"/>
      <c r="AI538" s="7"/>
    </row>
    <row r="539" spans="1:35" ht="12.75" customHeight="1">
      <c r="A539" s="7"/>
      <c r="B539" s="7"/>
      <c r="C539" s="7"/>
      <c r="D539" s="7"/>
      <c r="E539" s="7"/>
      <c r="F539" s="7"/>
      <c r="G539" s="7"/>
      <c r="H539" s="7"/>
      <c r="I539" s="8"/>
      <c r="J539" s="8"/>
      <c r="P539" s="10"/>
      <c r="Q539" s="10"/>
      <c r="R539" s="10"/>
      <c r="S539" s="10"/>
      <c r="T539" s="10"/>
      <c r="U539" s="10"/>
      <c r="V539" s="10"/>
      <c r="W539" s="10"/>
      <c r="X539" s="10"/>
      <c r="Z539" s="10"/>
      <c r="AA539" s="7"/>
      <c r="AB539" s="7"/>
      <c r="AC539" s="7"/>
      <c r="AD539" s="7"/>
      <c r="AE539" s="7"/>
      <c r="AF539" s="7"/>
      <c r="AG539" s="7"/>
      <c r="AH539" s="7"/>
      <c r="AI539" s="7"/>
    </row>
    <row r="540" spans="1:35" ht="12.75" customHeight="1">
      <c r="A540" s="7"/>
      <c r="B540" s="7"/>
      <c r="C540" s="7"/>
      <c r="D540" s="7"/>
      <c r="E540" s="7"/>
      <c r="F540" s="7"/>
      <c r="G540" s="7"/>
      <c r="H540" s="7"/>
      <c r="I540" s="8"/>
      <c r="J540" s="8"/>
      <c r="P540" s="10"/>
      <c r="Q540" s="10"/>
      <c r="R540" s="10"/>
      <c r="S540" s="10"/>
      <c r="T540" s="10"/>
      <c r="U540" s="10"/>
      <c r="V540" s="10"/>
      <c r="W540" s="10"/>
      <c r="X540" s="10"/>
      <c r="Z540" s="10"/>
      <c r="AA540" s="7"/>
      <c r="AB540" s="7"/>
      <c r="AC540" s="7"/>
      <c r="AD540" s="7"/>
      <c r="AE540" s="7"/>
      <c r="AF540" s="7"/>
      <c r="AG540" s="7"/>
      <c r="AH540" s="7"/>
      <c r="AI540" s="7"/>
    </row>
    <row r="541" spans="1:35" ht="12.75" customHeight="1">
      <c r="A541" s="7"/>
      <c r="B541" s="7"/>
      <c r="C541" s="7"/>
      <c r="D541" s="7"/>
      <c r="E541" s="7"/>
      <c r="F541" s="7"/>
      <c r="G541" s="7"/>
      <c r="H541" s="7"/>
      <c r="I541" s="8"/>
      <c r="J541" s="8"/>
      <c r="P541" s="10"/>
      <c r="Q541" s="10"/>
      <c r="R541" s="10"/>
      <c r="S541" s="10"/>
      <c r="T541" s="10"/>
      <c r="U541" s="10"/>
      <c r="V541" s="10"/>
      <c r="W541" s="10"/>
      <c r="X541" s="10"/>
      <c r="Z541" s="10"/>
      <c r="AA541" s="7"/>
      <c r="AB541" s="7"/>
      <c r="AC541" s="7"/>
      <c r="AD541" s="7"/>
      <c r="AE541" s="7"/>
      <c r="AF541" s="7"/>
      <c r="AG541" s="7"/>
      <c r="AH541" s="7"/>
      <c r="AI541" s="7"/>
    </row>
    <row r="542" spans="1:35" ht="12.75" customHeight="1">
      <c r="A542" s="7"/>
      <c r="B542" s="7"/>
      <c r="C542" s="7"/>
      <c r="D542" s="7"/>
      <c r="E542" s="7"/>
      <c r="F542" s="7"/>
      <c r="G542" s="7"/>
      <c r="H542" s="7"/>
      <c r="I542" s="8"/>
      <c r="J542" s="8"/>
      <c r="P542" s="10"/>
      <c r="Q542" s="10"/>
      <c r="R542" s="10"/>
      <c r="S542" s="10"/>
      <c r="T542" s="10"/>
      <c r="U542" s="10"/>
      <c r="V542" s="10"/>
      <c r="W542" s="10"/>
      <c r="X542" s="10"/>
      <c r="Z542" s="10"/>
      <c r="AA542" s="7"/>
      <c r="AB542" s="7"/>
      <c r="AC542" s="7"/>
      <c r="AD542" s="7"/>
      <c r="AE542" s="7"/>
      <c r="AF542" s="7"/>
      <c r="AG542" s="7"/>
      <c r="AH542" s="7"/>
      <c r="AI542" s="7"/>
    </row>
    <row r="543" spans="1:35" ht="12.75" customHeight="1">
      <c r="A543" s="7"/>
      <c r="B543" s="7"/>
      <c r="C543" s="7"/>
      <c r="D543" s="7"/>
      <c r="E543" s="7"/>
      <c r="F543" s="7"/>
      <c r="G543" s="7"/>
      <c r="H543" s="7"/>
      <c r="I543" s="8"/>
      <c r="J543" s="8"/>
      <c r="P543" s="10"/>
      <c r="Q543" s="10"/>
      <c r="R543" s="10"/>
      <c r="S543" s="10"/>
      <c r="T543" s="10"/>
      <c r="U543" s="10"/>
      <c r="V543" s="10"/>
      <c r="W543" s="10"/>
      <c r="X543" s="10"/>
      <c r="Z543" s="10"/>
      <c r="AA543" s="7"/>
      <c r="AB543" s="7"/>
      <c r="AC543" s="7"/>
      <c r="AD543" s="7"/>
      <c r="AE543" s="7"/>
      <c r="AF543" s="7"/>
      <c r="AG543" s="7"/>
      <c r="AH543" s="7"/>
      <c r="AI543" s="7"/>
    </row>
    <row r="544" spans="1:35" ht="12.75" customHeight="1">
      <c r="A544" s="7"/>
      <c r="B544" s="7"/>
      <c r="C544" s="7"/>
      <c r="D544" s="7"/>
      <c r="E544" s="7"/>
      <c r="F544" s="7"/>
      <c r="G544" s="7"/>
      <c r="H544" s="7"/>
      <c r="I544" s="8"/>
      <c r="J544" s="8"/>
      <c r="P544" s="10"/>
      <c r="Q544" s="10"/>
      <c r="R544" s="10"/>
      <c r="S544" s="10"/>
      <c r="T544" s="10"/>
      <c r="U544" s="10"/>
      <c r="V544" s="10"/>
      <c r="W544" s="10"/>
      <c r="X544" s="10"/>
      <c r="Z544" s="10"/>
      <c r="AA544" s="7"/>
      <c r="AB544" s="7"/>
      <c r="AC544" s="7"/>
      <c r="AD544" s="7"/>
      <c r="AE544" s="7"/>
      <c r="AF544" s="7"/>
      <c r="AG544" s="7"/>
      <c r="AH544" s="7"/>
      <c r="AI544" s="7"/>
    </row>
    <row r="545" spans="1:35" ht="12.75" customHeight="1">
      <c r="A545" s="7"/>
      <c r="B545" s="7"/>
      <c r="C545" s="7"/>
      <c r="D545" s="7"/>
      <c r="E545" s="7"/>
      <c r="F545" s="7"/>
      <c r="G545" s="7"/>
      <c r="H545" s="7"/>
      <c r="I545" s="8"/>
      <c r="J545" s="8"/>
      <c r="P545" s="10"/>
      <c r="Q545" s="10"/>
      <c r="R545" s="10"/>
      <c r="S545" s="10"/>
      <c r="T545" s="10"/>
      <c r="U545" s="10"/>
      <c r="V545" s="10"/>
      <c r="W545" s="10"/>
      <c r="X545" s="10"/>
      <c r="Z545" s="10"/>
      <c r="AA545" s="7"/>
      <c r="AB545" s="7"/>
      <c r="AC545" s="7"/>
      <c r="AD545" s="7"/>
      <c r="AE545" s="7"/>
      <c r="AF545" s="7"/>
      <c r="AG545" s="7"/>
      <c r="AH545" s="7"/>
      <c r="AI545" s="7"/>
    </row>
    <row r="546" spans="1:35" ht="12.75" customHeight="1">
      <c r="A546" s="7"/>
      <c r="B546" s="7"/>
      <c r="C546" s="7"/>
      <c r="D546" s="7"/>
      <c r="E546" s="7"/>
      <c r="F546" s="7"/>
      <c r="G546" s="7"/>
      <c r="H546" s="7"/>
      <c r="I546" s="8"/>
      <c r="J546" s="8"/>
      <c r="P546" s="10"/>
      <c r="Q546" s="10"/>
      <c r="R546" s="10"/>
      <c r="S546" s="10"/>
      <c r="T546" s="10"/>
      <c r="U546" s="10"/>
      <c r="V546" s="10"/>
      <c r="W546" s="10"/>
      <c r="X546" s="10"/>
      <c r="Z546" s="10"/>
      <c r="AA546" s="7"/>
      <c r="AB546" s="7"/>
      <c r="AC546" s="7"/>
      <c r="AD546" s="7"/>
      <c r="AE546" s="7"/>
      <c r="AF546" s="7"/>
      <c r="AG546" s="7"/>
      <c r="AH546" s="7"/>
      <c r="AI546" s="7"/>
    </row>
    <row r="547" spans="1:35" ht="12.75" customHeight="1">
      <c r="A547" s="7"/>
      <c r="B547" s="7"/>
      <c r="C547" s="7"/>
      <c r="D547" s="7"/>
      <c r="E547" s="7"/>
      <c r="F547" s="7"/>
      <c r="G547" s="7"/>
      <c r="H547" s="7"/>
      <c r="I547" s="8"/>
      <c r="J547" s="8"/>
      <c r="P547" s="10"/>
      <c r="Q547" s="10"/>
      <c r="R547" s="10"/>
      <c r="S547" s="10"/>
      <c r="T547" s="10"/>
      <c r="U547" s="10"/>
      <c r="V547" s="10"/>
      <c r="W547" s="10"/>
      <c r="X547" s="10"/>
      <c r="Z547" s="10"/>
      <c r="AA547" s="7"/>
      <c r="AB547" s="7"/>
      <c r="AC547" s="7"/>
      <c r="AD547" s="7"/>
      <c r="AE547" s="7"/>
      <c r="AF547" s="7"/>
      <c r="AG547" s="7"/>
      <c r="AH547" s="7"/>
      <c r="AI547" s="7"/>
    </row>
    <row r="548" spans="1:35" ht="12.75" customHeight="1">
      <c r="A548" s="7"/>
      <c r="B548" s="7"/>
      <c r="C548" s="7"/>
      <c r="D548" s="7"/>
      <c r="E548" s="7"/>
      <c r="F548" s="7"/>
      <c r="G548" s="7"/>
      <c r="H548" s="7"/>
      <c r="I548" s="8"/>
      <c r="J548" s="8"/>
      <c r="P548" s="10"/>
      <c r="Q548" s="10"/>
      <c r="R548" s="10"/>
      <c r="S548" s="10"/>
      <c r="T548" s="10"/>
      <c r="U548" s="10"/>
      <c r="V548" s="10"/>
      <c r="W548" s="10"/>
      <c r="X548" s="10"/>
      <c r="Z548" s="10"/>
      <c r="AA548" s="7"/>
      <c r="AB548" s="7"/>
      <c r="AC548" s="7"/>
      <c r="AD548" s="7"/>
      <c r="AE548" s="7"/>
      <c r="AF548" s="7"/>
      <c r="AG548" s="7"/>
      <c r="AH548" s="7"/>
      <c r="AI548" s="7"/>
    </row>
    <row r="549" spans="1:35" ht="12.75" customHeight="1">
      <c r="A549" s="7"/>
      <c r="B549" s="7"/>
      <c r="C549" s="7"/>
      <c r="D549" s="7"/>
      <c r="E549" s="7"/>
      <c r="F549" s="7"/>
      <c r="G549" s="7"/>
      <c r="H549" s="7"/>
      <c r="I549" s="8"/>
      <c r="J549" s="8"/>
      <c r="P549" s="10"/>
      <c r="Q549" s="10"/>
      <c r="R549" s="10"/>
      <c r="S549" s="10"/>
      <c r="T549" s="10"/>
      <c r="U549" s="10"/>
      <c r="V549" s="10"/>
      <c r="W549" s="10"/>
      <c r="X549" s="10"/>
      <c r="Z549" s="10"/>
      <c r="AA549" s="7"/>
      <c r="AB549" s="7"/>
      <c r="AC549" s="7"/>
      <c r="AD549" s="7"/>
      <c r="AE549" s="7"/>
      <c r="AF549" s="7"/>
      <c r="AG549" s="7"/>
      <c r="AH549" s="7"/>
      <c r="AI549" s="7"/>
    </row>
    <row r="550" spans="1:35" ht="12.75" customHeight="1">
      <c r="A550" s="7"/>
      <c r="B550" s="7"/>
      <c r="C550" s="7"/>
      <c r="D550" s="7"/>
      <c r="E550" s="7"/>
      <c r="F550" s="7"/>
      <c r="G550" s="7"/>
      <c r="H550" s="7"/>
      <c r="I550" s="8"/>
      <c r="J550" s="8"/>
      <c r="P550" s="10"/>
      <c r="Q550" s="10"/>
      <c r="R550" s="10"/>
      <c r="S550" s="10"/>
      <c r="T550" s="10"/>
      <c r="U550" s="10"/>
      <c r="V550" s="10"/>
      <c r="W550" s="10"/>
      <c r="X550" s="10"/>
      <c r="Z550" s="10"/>
      <c r="AA550" s="7"/>
      <c r="AB550" s="7"/>
      <c r="AC550" s="7"/>
      <c r="AD550" s="7"/>
      <c r="AE550" s="7"/>
      <c r="AF550" s="7"/>
      <c r="AG550" s="7"/>
      <c r="AH550" s="7"/>
      <c r="AI550" s="7"/>
    </row>
    <row r="551" spans="1:35" ht="12.75" customHeight="1">
      <c r="A551" s="7"/>
      <c r="B551" s="7"/>
      <c r="C551" s="7"/>
      <c r="D551" s="7"/>
      <c r="E551" s="7"/>
      <c r="F551" s="7"/>
      <c r="G551" s="7"/>
      <c r="H551" s="7"/>
      <c r="I551" s="8"/>
      <c r="J551" s="8"/>
      <c r="P551" s="10"/>
      <c r="Q551" s="10"/>
      <c r="R551" s="10"/>
      <c r="S551" s="10"/>
      <c r="T551" s="10"/>
      <c r="U551" s="10"/>
      <c r="V551" s="10"/>
      <c r="W551" s="10"/>
      <c r="X551" s="10"/>
      <c r="Z551" s="10"/>
      <c r="AA551" s="7"/>
      <c r="AB551" s="7"/>
      <c r="AC551" s="7"/>
      <c r="AD551" s="7"/>
      <c r="AE551" s="7"/>
      <c r="AF551" s="7"/>
      <c r="AG551" s="7"/>
      <c r="AH551" s="7"/>
      <c r="AI551" s="7"/>
    </row>
    <row r="552" spans="1:35" ht="12.75" customHeight="1">
      <c r="A552" s="7"/>
      <c r="B552" s="7"/>
      <c r="C552" s="7"/>
      <c r="D552" s="7"/>
      <c r="E552" s="7"/>
      <c r="F552" s="7"/>
      <c r="G552" s="7"/>
      <c r="H552" s="7"/>
      <c r="I552" s="8"/>
      <c r="J552" s="8"/>
      <c r="P552" s="10"/>
      <c r="Q552" s="10"/>
      <c r="R552" s="10"/>
      <c r="S552" s="10"/>
      <c r="T552" s="10"/>
      <c r="U552" s="10"/>
      <c r="V552" s="10"/>
      <c r="W552" s="10"/>
      <c r="X552" s="10"/>
      <c r="Z552" s="10"/>
      <c r="AA552" s="7"/>
      <c r="AB552" s="7"/>
      <c r="AC552" s="7"/>
      <c r="AD552" s="7"/>
      <c r="AE552" s="7"/>
      <c r="AF552" s="7"/>
      <c r="AG552" s="7"/>
      <c r="AH552" s="7"/>
      <c r="AI552" s="7"/>
    </row>
    <row r="553" spans="1:35" ht="12.75" customHeight="1">
      <c r="A553" s="7"/>
      <c r="B553" s="7"/>
      <c r="C553" s="7"/>
      <c r="D553" s="7"/>
      <c r="E553" s="7"/>
      <c r="F553" s="7"/>
      <c r="G553" s="7"/>
      <c r="H553" s="7"/>
      <c r="I553" s="8"/>
      <c r="J553" s="8"/>
      <c r="P553" s="10"/>
      <c r="Q553" s="10"/>
      <c r="R553" s="10"/>
      <c r="S553" s="10"/>
      <c r="T553" s="10"/>
      <c r="U553" s="10"/>
      <c r="V553" s="10"/>
      <c r="W553" s="10"/>
      <c r="X553" s="10"/>
      <c r="Z553" s="10"/>
      <c r="AA553" s="7"/>
      <c r="AB553" s="7"/>
      <c r="AC553" s="7"/>
      <c r="AD553" s="7"/>
      <c r="AE553" s="7"/>
      <c r="AF553" s="7"/>
      <c r="AG553" s="7"/>
      <c r="AH553" s="7"/>
      <c r="AI553" s="7"/>
    </row>
    <row r="554" spans="1:35" ht="12.75" customHeight="1">
      <c r="A554" s="7"/>
      <c r="B554" s="7"/>
      <c r="C554" s="7"/>
      <c r="D554" s="7"/>
      <c r="E554" s="7"/>
      <c r="F554" s="7"/>
      <c r="G554" s="7"/>
      <c r="H554" s="7"/>
      <c r="I554" s="8"/>
      <c r="J554" s="8"/>
      <c r="P554" s="10"/>
      <c r="Q554" s="10"/>
      <c r="R554" s="10"/>
      <c r="S554" s="10"/>
      <c r="T554" s="10"/>
      <c r="U554" s="10"/>
      <c r="V554" s="10"/>
      <c r="W554" s="10"/>
      <c r="X554" s="10"/>
      <c r="Z554" s="10"/>
      <c r="AA554" s="7"/>
      <c r="AB554" s="7"/>
      <c r="AC554" s="7"/>
      <c r="AD554" s="7"/>
      <c r="AE554" s="7"/>
      <c r="AF554" s="7"/>
      <c r="AG554" s="7"/>
      <c r="AH554" s="7"/>
      <c r="AI554" s="7"/>
    </row>
    <row r="555" spans="1:35" ht="12.75" customHeight="1">
      <c r="A555" s="7"/>
      <c r="B555" s="7"/>
      <c r="C555" s="7"/>
      <c r="D555" s="7"/>
      <c r="E555" s="7"/>
      <c r="F555" s="7"/>
      <c r="G555" s="7"/>
      <c r="H555" s="7"/>
      <c r="I555" s="8"/>
      <c r="J555" s="8"/>
      <c r="P555" s="10"/>
      <c r="Q555" s="10"/>
      <c r="R555" s="10"/>
      <c r="S555" s="10"/>
      <c r="T555" s="10"/>
      <c r="U555" s="10"/>
      <c r="V555" s="10"/>
      <c r="W555" s="10"/>
      <c r="X555" s="10"/>
      <c r="Z555" s="10"/>
      <c r="AA555" s="7"/>
      <c r="AB555" s="7"/>
      <c r="AC555" s="7"/>
      <c r="AD555" s="7"/>
      <c r="AE555" s="7"/>
      <c r="AF555" s="7"/>
      <c r="AG555" s="7"/>
      <c r="AH555" s="7"/>
      <c r="AI555" s="7"/>
    </row>
    <row r="556" spans="1:35" ht="12.75" customHeight="1">
      <c r="A556" s="7"/>
      <c r="B556" s="7"/>
      <c r="C556" s="7"/>
      <c r="D556" s="7"/>
      <c r="E556" s="7"/>
      <c r="F556" s="7"/>
      <c r="G556" s="7"/>
      <c r="H556" s="7"/>
      <c r="I556" s="8"/>
      <c r="J556" s="8"/>
      <c r="P556" s="10"/>
      <c r="Q556" s="10"/>
      <c r="R556" s="10"/>
      <c r="S556" s="10"/>
      <c r="T556" s="10"/>
      <c r="U556" s="10"/>
      <c r="V556" s="10"/>
      <c r="W556" s="10"/>
      <c r="X556" s="10"/>
      <c r="Z556" s="10"/>
      <c r="AA556" s="7"/>
      <c r="AB556" s="7"/>
      <c r="AC556" s="7"/>
      <c r="AD556" s="7"/>
      <c r="AE556" s="7"/>
      <c r="AF556" s="7"/>
      <c r="AG556" s="7"/>
      <c r="AH556" s="7"/>
      <c r="AI556" s="7"/>
    </row>
    <row r="557" spans="1:35" ht="12.75" customHeight="1">
      <c r="A557" s="7"/>
      <c r="B557" s="7"/>
      <c r="C557" s="7"/>
      <c r="D557" s="7"/>
      <c r="E557" s="7"/>
      <c r="F557" s="7"/>
      <c r="G557" s="7"/>
      <c r="H557" s="7"/>
      <c r="I557" s="8"/>
      <c r="J557" s="8"/>
      <c r="P557" s="10"/>
      <c r="Q557" s="10"/>
      <c r="R557" s="10"/>
      <c r="S557" s="10"/>
      <c r="T557" s="10"/>
      <c r="U557" s="10"/>
      <c r="V557" s="10"/>
      <c r="W557" s="10"/>
      <c r="X557" s="10"/>
      <c r="Z557" s="10"/>
      <c r="AA557" s="7"/>
      <c r="AB557" s="7"/>
      <c r="AC557" s="7"/>
      <c r="AD557" s="7"/>
      <c r="AE557" s="7"/>
      <c r="AF557" s="7"/>
      <c r="AG557" s="7"/>
      <c r="AH557" s="7"/>
      <c r="AI557" s="7"/>
    </row>
    <row r="558" spans="1:35" ht="12.75" customHeight="1">
      <c r="A558" s="7"/>
      <c r="B558" s="7"/>
      <c r="C558" s="7"/>
      <c r="D558" s="7"/>
      <c r="E558" s="7"/>
      <c r="F558" s="7"/>
      <c r="G558" s="7"/>
      <c r="H558" s="7"/>
      <c r="I558" s="8"/>
      <c r="J558" s="8"/>
      <c r="P558" s="10"/>
      <c r="Q558" s="10"/>
      <c r="R558" s="10"/>
      <c r="S558" s="10"/>
      <c r="T558" s="10"/>
      <c r="U558" s="10"/>
      <c r="V558" s="10"/>
      <c r="W558" s="10"/>
      <c r="X558" s="10"/>
      <c r="Z558" s="10"/>
      <c r="AA558" s="7"/>
      <c r="AB558" s="7"/>
      <c r="AC558" s="7"/>
      <c r="AD558" s="7"/>
      <c r="AE558" s="7"/>
      <c r="AF558" s="7"/>
      <c r="AG558" s="7"/>
      <c r="AH558" s="7"/>
      <c r="AI558" s="7"/>
    </row>
    <row r="559" spans="1:35" ht="12.75" customHeight="1">
      <c r="A559" s="7"/>
      <c r="B559" s="7"/>
      <c r="C559" s="7"/>
      <c r="D559" s="7"/>
      <c r="E559" s="7"/>
      <c r="F559" s="7"/>
      <c r="G559" s="7"/>
      <c r="H559" s="7"/>
      <c r="I559" s="8"/>
      <c r="J559" s="8"/>
      <c r="P559" s="10"/>
      <c r="Q559" s="10"/>
      <c r="R559" s="10"/>
      <c r="S559" s="10"/>
      <c r="T559" s="10"/>
      <c r="U559" s="10"/>
      <c r="V559" s="10"/>
      <c r="W559" s="10"/>
      <c r="X559" s="10"/>
      <c r="Z559" s="10"/>
      <c r="AA559" s="7"/>
      <c r="AB559" s="7"/>
      <c r="AC559" s="7"/>
      <c r="AD559" s="7"/>
      <c r="AE559" s="7"/>
      <c r="AF559" s="7"/>
      <c r="AG559" s="7"/>
      <c r="AH559" s="7"/>
      <c r="AI559" s="7"/>
    </row>
    <row r="560" spans="1:35" ht="12.75" customHeight="1">
      <c r="A560" s="7"/>
      <c r="B560" s="7"/>
      <c r="C560" s="7"/>
      <c r="D560" s="7"/>
      <c r="E560" s="7"/>
      <c r="F560" s="7"/>
      <c r="G560" s="7"/>
      <c r="H560" s="7"/>
      <c r="I560" s="8"/>
      <c r="J560" s="8"/>
      <c r="P560" s="10"/>
      <c r="Q560" s="10"/>
      <c r="R560" s="10"/>
      <c r="S560" s="10"/>
      <c r="T560" s="10"/>
      <c r="U560" s="10"/>
      <c r="V560" s="10"/>
      <c r="W560" s="10"/>
      <c r="X560" s="10"/>
      <c r="Z560" s="10"/>
      <c r="AA560" s="7"/>
      <c r="AB560" s="7"/>
      <c r="AC560" s="7"/>
      <c r="AD560" s="7"/>
      <c r="AE560" s="7"/>
      <c r="AF560" s="7"/>
      <c r="AG560" s="7"/>
      <c r="AH560" s="7"/>
      <c r="AI560" s="7"/>
    </row>
    <row r="561" spans="1:35" ht="12.75" customHeight="1">
      <c r="A561" s="7"/>
      <c r="B561" s="7"/>
      <c r="C561" s="7"/>
      <c r="D561" s="7"/>
      <c r="E561" s="7"/>
      <c r="F561" s="7"/>
      <c r="G561" s="7"/>
      <c r="H561" s="7"/>
      <c r="I561" s="8"/>
      <c r="J561" s="8"/>
      <c r="P561" s="10"/>
      <c r="Q561" s="10"/>
      <c r="R561" s="10"/>
      <c r="S561" s="10"/>
      <c r="T561" s="10"/>
      <c r="U561" s="10"/>
      <c r="V561" s="10"/>
      <c r="W561" s="10"/>
      <c r="X561" s="10"/>
      <c r="Z561" s="10"/>
      <c r="AA561" s="7"/>
      <c r="AB561" s="7"/>
      <c r="AC561" s="7"/>
      <c r="AD561" s="7"/>
      <c r="AE561" s="7"/>
      <c r="AF561" s="7"/>
      <c r="AG561" s="7"/>
      <c r="AH561" s="7"/>
      <c r="AI561" s="7"/>
    </row>
    <row r="562" spans="1:35" ht="12.75" customHeight="1">
      <c r="A562" s="7"/>
      <c r="B562" s="7"/>
      <c r="C562" s="7"/>
      <c r="D562" s="7"/>
      <c r="E562" s="7"/>
      <c r="F562" s="7"/>
      <c r="G562" s="7"/>
      <c r="H562" s="7"/>
      <c r="I562" s="8"/>
      <c r="J562" s="8"/>
      <c r="P562" s="10"/>
      <c r="Q562" s="10"/>
      <c r="R562" s="10"/>
      <c r="S562" s="10"/>
      <c r="T562" s="10"/>
      <c r="U562" s="10"/>
      <c r="V562" s="10"/>
      <c r="W562" s="10"/>
      <c r="X562" s="10"/>
      <c r="Z562" s="10"/>
      <c r="AA562" s="7"/>
      <c r="AB562" s="7"/>
      <c r="AC562" s="7"/>
      <c r="AD562" s="7"/>
      <c r="AE562" s="7"/>
      <c r="AF562" s="7"/>
      <c r="AG562" s="7"/>
      <c r="AH562" s="7"/>
      <c r="AI562" s="7"/>
    </row>
    <row r="563" spans="1:35" ht="12.75" customHeight="1">
      <c r="A563" s="7"/>
      <c r="B563" s="7"/>
      <c r="C563" s="7"/>
      <c r="D563" s="7"/>
      <c r="E563" s="7"/>
      <c r="F563" s="7"/>
      <c r="G563" s="7"/>
      <c r="H563" s="7"/>
      <c r="I563" s="8"/>
      <c r="J563" s="8"/>
      <c r="P563" s="10"/>
      <c r="Q563" s="10"/>
      <c r="R563" s="10"/>
      <c r="S563" s="10"/>
      <c r="T563" s="10"/>
      <c r="U563" s="10"/>
      <c r="V563" s="10"/>
      <c r="W563" s="10"/>
      <c r="X563" s="10"/>
      <c r="Z563" s="10"/>
      <c r="AA563" s="7"/>
      <c r="AB563" s="7"/>
      <c r="AC563" s="7"/>
      <c r="AD563" s="7"/>
      <c r="AE563" s="7"/>
      <c r="AF563" s="7"/>
      <c r="AG563" s="7"/>
      <c r="AH563" s="7"/>
      <c r="AI563" s="7"/>
    </row>
    <row r="564" spans="1:35" ht="12.75" customHeight="1">
      <c r="A564" s="7"/>
      <c r="B564" s="7"/>
      <c r="C564" s="7"/>
      <c r="D564" s="7"/>
      <c r="E564" s="7"/>
      <c r="F564" s="7"/>
      <c r="G564" s="7"/>
      <c r="H564" s="7"/>
      <c r="I564" s="8"/>
      <c r="J564" s="8"/>
      <c r="P564" s="10"/>
      <c r="Q564" s="10"/>
      <c r="R564" s="10"/>
      <c r="S564" s="10"/>
      <c r="T564" s="10"/>
      <c r="U564" s="10"/>
      <c r="V564" s="10"/>
      <c r="W564" s="10"/>
      <c r="X564" s="10"/>
      <c r="Z564" s="10"/>
      <c r="AA564" s="7"/>
      <c r="AB564" s="7"/>
      <c r="AC564" s="7"/>
      <c r="AD564" s="7"/>
      <c r="AE564" s="7"/>
      <c r="AF564" s="7"/>
      <c r="AG564" s="7"/>
      <c r="AH564" s="7"/>
      <c r="AI564" s="7"/>
    </row>
    <row r="565" spans="1:35" ht="12.75" customHeight="1">
      <c r="A565" s="7"/>
      <c r="B565" s="7"/>
      <c r="C565" s="7"/>
      <c r="D565" s="7"/>
      <c r="E565" s="7"/>
      <c r="F565" s="7"/>
      <c r="G565" s="7"/>
      <c r="H565" s="7"/>
      <c r="I565" s="8"/>
      <c r="J565" s="8"/>
      <c r="P565" s="10"/>
      <c r="Q565" s="10"/>
      <c r="R565" s="10"/>
      <c r="S565" s="10"/>
      <c r="T565" s="10"/>
      <c r="U565" s="10"/>
      <c r="V565" s="10"/>
      <c r="W565" s="10"/>
      <c r="X565" s="10"/>
      <c r="Z565" s="10"/>
      <c r="AA565" s="7"/>
      <c r="AB565" s="7"/>
      <c r="AC565" s="7"/>
      <c r="AD565" s="7"/>
      <c r="AE565" s="7"/>
      <c r="AF565" s="7"/>
      <c r="AG565" s="7"/>
      <c r="AH565" s="7"/>
      <c r="AI565" s="7"/>
    </row>
    <row r="566" spans="1:35" ht="12.75" customHeight="1">
      <c r="A566" s="7"/>
      <c r="B566" s="7"/>
      <c r="C566" s="7"/>
      <c r="D566" s="7"/>
      <c r="E566" s="7"/>
      <c r="F566" s="7"/>
      <c r="G566" s="7"/>
      <c r="H566" s="7"/>
      <c r="I566" s="8"/>
      <c r="J566" s="8"/>
      <c r="P566" s="10"/>
      <c r="Q566" s="10"/>
      <c r="R566" s="10"/>
      <c r="S566" s="10"/>
      <c r="T566" s="10"/>
      <c r="U566" s="10"/>
      <c r="V566" s="10"/>
      <c r="W566" s="10"/>
      <c r="X566" s="10"/>
      <c r="Z566" s="10"/>
      <c r="AA566" s="7"/>
      <c r="AB566" s="7"/>
      <c r="AC566" s="7"/>
      <c r="AD566" s="7"/>
      <c r="AE566" s="7"/>
      <c r="AF566" s="7"/>
      <c r="AG566" s="7"/>
      <c r="AH566" s="7"/>
      <c r="AI566" s="7"/>
    </row>
    <row r="567" spans="1:35" ht="12.75" customHeight="1">
      <c r="A567" s="7"/>
      <c r="B567" s="7"/>
      <c r="C567" s="7"/>
      <c r="D567" s="7"/>
      <c r="E567" s="7"/>
      <c r="F567" s="7"/>
      <c r="G567" s="7"/>
      <c r="H567" s="7"/>
      <c r="I567" s="8"/>
      <c r="J567" s="8"/>
      <c r="P567" s="10"/>
      <c r="Q567" s="10"/>
      <c r="R567" s="10"/>
      <c r="S567" s="10"/>
      <c r="T567" s="10"/>
      <c r="U567" s="10"/>
      <c r="V567" s="10"/>
      <c r="W567" s="10"/>
      <c r="X567" s="10"/>
      <c r="Z567" s="10"/>
      <c r="AA567" s="7"/>
      <c r="AB567" s="7"/>
      <c r="AC567" s="7"/>
      <c r="AD567" s="7"/>
      <c r="AE567" s="7"/>
      <c r="AF567" s="7"/>
      <c r="AG567" s="7"/>
      <c r="AH567" s="7"/>
      <c r="AI567" s="7"/>
    </row>
    <row r="568" spans="1:35" ht="12.75" customHeight="1">
      <c r="A568" s="7"/>
      <c r="B568" s="7"/>
      <c r="C568" s="7"/>
      <c r="D568" s="7"/>
      <c r="E568" s="7"/>
      <c r="F568" s="7"/>
      <c r="G568" s="7"/>
      <c r="H568" s="7"/>
      <c r="I568" s="8"/>
      <c r="J568" s="8"/>
      <c r="P568" s="10"/>
      <c r="Q568" s="10"/>
      <c r="R568" s="10"/>
      <c r="S568" s="10"/>
      <c r="T568" s="10"/>
      <c r="U568" s="10"/>
      <c r="V568" s="10"/>
      <c r="W568" s="10"/>
      <c r="X568" s="10"/>
      <c r="Z568" s="10"/>
      <c r="AA568" s="7"/>
      <c r="AB568" s="7"/>
      <c r="AC568" s="7"/>
      <c r="AD568" s="7"/>
      <c r="AE568" s="7"/>
      <c r="AF568" s="7"/>
      <c r="AG568" s="7"/>
      <c r="AH568" s="7"/>
      <c r="AI568" s="7"/>
    </row>
    <row r="569" spans="1:35" ht="12.75" customHeight="1">
      <c r="A569" s="7"/>
      <c r="B569" s="7"/>
      <c r="C569" s="7"/>
      <c r="D569" s="7"/>
      <c r="E569" s="7"/>
      <c r="F569" s="7"/>
      <c r="G569" s="7"/>
      <c r="H569" s="7"/>
      <c r="I569" s="8"/>
      <c r="J569" s="8"/>
      <c r="P569" s="10"/>
      <c r="Q569" s="10"/>
      <c r="R569" s="10"/>
      <c r="S569" s="10"/>
      <c r="T569" s="10"/>
      <c r="U569" s="10"/>
      <c r="V569" s="10"/>
      <c r="W569" s="10"/>
      <c r="X569" s="10"/>
      <c r="Z569" s="10"/>
      <c r="AA569" s="7"/>
      <c r="AB569" s="7"/>
      <c r="AC569" s="7"/>
      <c r="AD569" s="7"/>
      <c r="AE569" s="7"/>
      <c r="AF569" s="7"/>
      <c r="AG569" s="7"/>
      <c r="AH569" s="7"/>
      <c r="AI569" s="7"/>
    </row>
    <row r="570" spans="1:35" ht="12.75" customHeight="1">
      <c r="A570" s="7"/>
      <c r="B570" s="7"/>
      <c r="C570" s="7"/>
      <c r="D570" s="7"/>
      <c r="E570" s="7"/>
      <c r="F570" s="7"/>
      <c r="G570" s="7"/>
      <c r="H570" s="7"/>
      <c r="I570" s="8"/>
      <c r="J570" s="8"/>
      <c r="P570" s="10"/>
      <c r="Q570" s="10"/>
      <c r="R570" s="10"/>
      <c r="S570" s="10"/>
      <c r="T570" s="10"/>
      <c r="U570" s="10"/>
      <c r="V570" s="10"/>
      <c r="W570" s="10"/>
      <c r="X570" s="10"/>
      <c r="Z570" s="10"/>
      <c r="AA570" s="7"/>
      <c r="AB570" s="7"/>
      <c r="AC570" s="7"/>
      <c r="AD570" s="7"/>
      <c r="AE570" s="7"/>
      <c r="AF570" s="7"/>
      <c r="AG570" s="7"/>
      <c r="AH570" s="7"/>
      <c r="AI570" s="7"/>
    </row>
    <row r="571" spans="1:35" ht="12.75" customHeight="1">
      <c r="A571" s="7"/>
      <c r="B571" s="7"/>
      <c r="C571" s="7"/>
      <c r="D571" s="7"/>
      <c r="E571" s="7"/>
      <c r="F571" s="7"/>
      <c r="G571" s="7"/>
      <c r="H571" s="7"/>
      <c r="I571" s="8"/>
      <c r="J571" s="8"/>
      <c r="P571" s="10"/>
      <c r="Q571" s="10"/>
      <c r="R571" s="10"/>
      <c r="S571" s="10"/>
      <c r="T571" s="10"/>
      <c r="U571" s="10"/>
      <c r="V571" s="10"/>
      <c r="W571" s="10"/>
      <c r="X571" s="10"/>
      <c r="Z571" s="10"/>
      <c r="AA571" s="7"/>
      <c r="AB571" s="7"/>
      <c r="AC571" s="7"/>
      <c r="AD571" s="7"/>
      <c r="AE571" s="7"/>
      <c r="AF571" s="7"/>
      <c r="AG571" s="7"/>
      <c r="AH571" s="7"/>
      <c r="AI571" s="7"/>
    </row>
    <row r="572" spans="1:35" ht="12.75" customHeight="1">
      <c r="A572" s="7"/>
      <c r="B572" s="7"/>
      <c r="C572" s="7"/>
      <c r="D572" s="7"/>
      <c r="E572" s="7"/>
      <c r="F572" s="7"/>
      <c r="G572" s="7"/>
      <c r="H572" s="7"/>
      <c r="I572" s="8"/>
      <c r="J572" s="8"/>
      <c r="P572" s="10"/>
      <c r="Q572" s="10"/>
      <c r="R572" s="10"/>
      <c r="S572" s="10"/>
      <c r="T572" s="10"/>
      <c r="U572" s="10"/>
      <c r="V572" s="10"/>
      <c r="W572" s="10"/>
      <c r="X572" s="10"/>
      <c r="Z572" s="10"/>
      <c r="AA572" s="7"/>
      <c r="AB572" s="7"/>
      <c r="AC572" s="7"/>
      <c r="AD572" s="7"/>
      <c r="AE572" s="7"/>
      <c r="AF572" s="7"/>
      <c r="AG572" s="7"/>
      <c r="AH572" s="7"/>
      <c r="AI572" s="7"/>
    </row>
    <row r="573" spans="1:35" ht="12.75" customHeight="1">
      <c r="A573" s="7"/>
      <c r="B573" s="7"/>
      <c r="C573" s="7"/>
      <c r="D573" s="7"/>
      <c r="E573" s="7"/>
      <c r="F573" s="7"/>
      <c r="G573" s="7"/>
      <c r="H573" s="7"/>
      <c r="I573" s="8"/>
      <c r="J573" s="8"/>
      <c r="P573" s="10"/>
      <c r="Q573" s="10"/>
      <c r="R573" s="10"/>
      <c r="S573" s="10"/>
      <c r="T573" s="10"/>
      <c r="U573" s="10"/>
      <c r="V573" s="10"/>
      <c r="W573" s="10"/>
      <c r="X573" s="10"/>
      <c r="Z573" s="10"/>
      <c r="AA573" s="7"/>
      <c r="AB573" s="7"/>
      <c r="AC573" s="7"/>
      <c r="AD573" s="7"/>
      <c r="AE573" s="7"/>
      <c r="AF573" s="7"/>
      <c r="AG573" s="7"/>
      <c r="AH573" s="7"/>
      <c r="AI573" s="7"/>
    </row>
    <row r="574" spans="1:35" ht="12.75" customHeight="1">
      <c r="A574" s="7"/>
      <c r="B574" s="7"/>
      <c r="C574" s="7"/>
      <c r="D574" s="7"/>
      <c r="E574" s="7"/>
      <c r="F574" s="7"/>
      <c r="G574" s="7"/>
      <c r="H574" s="7"/>
      <c r="I574" s="8"/>
      <c r="J574" s="8"/>
      <c r="P574" s="10"/>
      <c r="Q574" s="10"/>
      <c r="R574" s="10"/>
      <c r="S574" s="10"/>
      <c r="T574" s="10"/>
      <c r="U574" s="10"/>
      <c r="V574" s="10"/>
      <c r="W574" s="10"/>
      <c r="X574" s="10"/>
      <c r="Z574" s="10"/>
      <c r="AA574" s="7"/>
      <c r="AB574" s="7"/>
      <c r="AC574" s="7"/>
      <c r="AD574" s="7"/>
      <c r="AE574" s="7"/>
      <c r="AF574" s="7"/>
      <c r="AG574" s="7"/>
      <c r="AH574" s="7"/>
      <c r="AI574" s="7"/>
    </row>
    <row r="575" spans="1:35" ht="12.75" customHeight="1">
      <c r="A575" s="7"/>
      <c r="B575" s="7"/>
      <c r="C575" s="7"/>
      <c r="D575" s="7"/>
      <c r="E575" s="7"/>
      <c r="F575" s="7"/>
      <c r="G575" s="7"/>
      <c r="H575" s="7"/>
      <c r="I575" s="8"/>
      <c r="J575" s="8"/>
      <c r="P575" s="10"/>
      <c r="Q575" s="10"/>
      <c r="R575" s="10"/>
      <c r="S575" s="10"/>
      <c r="T575" s="10"/>
      <c r="U575" s="10"/>
      <c r="V575" s="10"/>
      <c r="W575" s="10"/>
      <c r="X575" s="10"/>
      <c r="Z575" s="10"/>
      <c r="AA575" s="7"/>
      <c r="AB575" s="7"/>
      <c r="AC575" s="7"/>
      <c r="AD575" s="7"/>
      <c r="AE575" s="7"/>
      <c r="AF575" s="7"/>
      <c r="AG575" s="7"/>
      <c r="AH575" s="7"/>
      <c r="AI575" s="7"/>
    </row>
    <row r="576" spans="1:35" ht="12.75" customHeight="1">
      <c r="A576" s="7"/>
      <c r="B576" s="7"/>
      <c r="C576" s="7"/>
      <c r="D576" s="7"/>
      <c r="E576" s="7"/>
      <c r="F576" s="7"/>
      <c r="G576" s="7"/>
      <c r="H576" s="7"/>
      <c r="I576" s="8"/>
      <c r="J576" s="8"/>
      <c r="P576" s="10"/>
      <c r="Q576" s="10"/>
      <c r="R576" s="10"/>
      <c r="S576" s="10"/>
      <c r="T576" s="10"/>
      <c r="U576" s="10"/>
      <c r="V576" s="10"/>
      <c r="W576" s="10"/>
      <c r="X576" s="10"/>
      <c r="Z576" s="10"/>
      <c r="AA576" s="7"/>
      <c r="AB576" s="7"/>
      <c r="AC576" s="7"/>
      <c r="AD576" s="7"/>
      <c r="AE576" s="7"/>
      <c r="AF576" s="7"/>
      <c r="AG576" s="7"/>
      <c r="AH576" s="7"/>
      <c r="AI576" s="7"/>
    </row>
    <row r="577" spans="1:35" ht="12.75" customHeight="1">
      <c r="A577" s="7"/>
      <c r="B577" s="7"/>
      <c r="C577" s="7"/>
      <c r="D577" s="7"/>
      <c r="E577" s="7"/>
      <c r="F577" s="7"/>
      <c r="G577" s="7"/>
      <c r="H577" s="7"/>
      <c r="I577" s="8"/>
      <c r="J577" s="8"/>
      <c r="P577" s="10"/>
      <c r="Q577" s="10"/>
      <c r="R577" s="10"/>
      <c r="S577" s="10"/>
      <c r="T577" s="10"/>
      <c r="U577" s="10"/>
      <c r="V577" s="10"/>
      <c r="W577" s="10"/>
      <c r="X577" s="10"/>
      <c r="Z577" s="10"/>
      <c r="AA577" s="7"/>
      <c r="AB577" s="7"/>
      <c r="AC577" s="7"/>
      <c r="AD577" s="7"/>
      <c r="AE577" s="7"/>
      <c r="AF577" s="7"/>
      <c r="AG577" s="7"/>
      <c r="AH577" s="7"/>
      <c r="AI577" s="7"/>
    </row>
    <row r="578" spans="1:35" ht="12.75" customHeight="1">
      <c r="A578" s="7"/>
      <c r="B578" s="7"/>
      <c r="C578" s="7"/>
      <c r="D578" s="7"/>
      <c r="E578" s="7"/>
      <c r="F578" s="7"/>
      <c r="G578" s="7"/>
      <c r="H578" s="7"/>
      <c r="I578" s="8"/>
      <c r="J578" s="8"/>
      <c r="P578" s="10"/>
      <c r="Q578" s="10"/>
      <c r="R578" s="10"/>
      <c r="S578" s="10"/>
      <c r="T578" s="10"/>
      <c r="U578" s="10"/>
      <c r="V578" s="10"/>
      <c r="W578" s="10"/>
      <c r="X578" s="10"/>
      <c r="Z578" s="10"/>
      <c r="AA578" s="7"/>
      <c r="AB578" s="7"/>
      <c r="AC578" s="7"/>
      <c r="AD578" s="7"/>
      <c r="AE578" s="7"/>
      <c r="AF578" s="7"/>
      <c r="AG578" s="7"/>
      <c r="AH578" s="7"/>
      <c r="AI578" s="7"/>
    </row>
    <row r="579" spans="1:35" ht="12.75" customHeight="1">
      <c r="A579" s="7"/>
      <c r="B579" s="7"/>
      <c r="C579" s="7"/>
      <c r="D579" s="7"/>
      <c r="E579" s="7"/>
      <c r="F579" s="7"/>
      <c r="G579" s="7"/>
      <c r="H579" s="7"/>
      <c r="I579" s="8"/>
      <c r="J579" s="8"/>
      <c r="P579" s="10"/>
      <c r="Q579" s="10"/>
      <c r="R579" s="10"/>
      <c r="S579" s="10"/>
      <c r="T579" s="10"/>
      <c r="U579" s="10"/>
      <c r="V579" s="10"/>
      <c r="W579" s="10"/>
      <c r="X579" s="10"/>
      <c r="Z579" s="10"/>
      <c r="AA579" s="7"/>
      <c r="AB579" s="7"/>
      <c r="AC579" s="7"/>
      <c r="AD579" s="7"/>
      <c r="AE579" s="7"/>
      <c r="AF579" s="7"/>
      <c r="AG579" s="7"/>
      <c r="AH579" s="7"/>
      <c r="AI579" s="7"/>
    </row>
    <row r="580" spans="1:35" ht="12.75" customHeight="1">
      <c r="A580" s="7"/>
      <c r="B580" s="7"/>
      <c r="C580" s="7"/>
      <c r="D580" s="7"/>
      <c r="E580" s="7"/>
      <c r="F580" s="7"/>
      <c r="G580" s="7"/>
      <c r="H580" s="7"/>
      <c r="I580" s="8"/>
      <c r="J580" s="8"/>
      <c r="P580" s="10"/>
      <c r="Q580" s="10"/>
      <c r="R580" s="10"/>
      <c r="S580" s="10"/>
      <c r="T580" s="10"/>
      <c r="U580" s="10"/>
      <c r="V580" s="10"/>
      <c r="W580" s="10"/>
      <c r="X580" s="10"/>
      <c r="Z580" s="10"/>
      <c r="AA580" s="7"/>
      <c r="AB580" s="7"/>
      <c r="AC580" s="7"/>
      <c r="AD580" s="7"/>
      <c r="AE580" s="7"/>
      <c r="AF580" s="7"/>
      <c r="AG580" s="7"/>
      <c r="AH580" s="7"/>
      <c r="AI580" s="7"/>
    </row>
    <row r="581" spans="1:35" ht="12.75" customHeight="1">
      <c r="A581" s="7"/>
      <c r="B581" s="7"/>
      <c r="C581" s="7"/>
      <c r="D581" s="7"/>
      <c r="E581" s="7"/>
      <c r="F581" s="7"/>
      <c r="G581" s="7"/>
      <c r="H581" s="7"/>
      <c r="I581" s="8"/>
      <c r="J581" s="8"/>
      <c r="P581" s="10"/>
      <c r="Q581" s="10"/>
      <c r="R581" s="10"/>
      <c r="S581" s="10"/>
      <c r="T581" s="10"/>
      <c r="U581" s="10"/>
      <c r="V581" s="10"/>
      <c r="W581" s="10"/>
      <c r="X581" s="10"/>
      <c r="Z581" s="10"/>
      <c r="AA581" s="7"/>
      <c r="AB581" s="7"/>
      <c r="AC581" s="7"/>
      <c r="AD581" s="7"/>
      <c r="AE581" s="7"/>
      <c r="AF581" s="7"/>
      <c r="AG581" s="7"/>
      <c r="AH581" s="7"/>
      <c r="AI581" s="7"/>
    </row>
    <row r="582" spans="1:35" ht="12.75" customHeight="1">
      <c r="A582" s="7"/>
      <c r="B582" s="7"/>
      <c r="C582" s="7"/>
      <c r="D582" s="7"/>
      <c r="E582" s="7"/>
      <c r="F582" s="7"/>
      <c r="G582" s="7"/>
      <c r="H582" s="7"/>
      <c r="I582" s="8"/>
      <c r="J582" s="8"/>
      <c r="P582" s="10"/>
      <c r="Q582" s="10"/>
      <c r="R582" s="10"/>
      <c r="S582" s="10"/>
      <c r="T582" s="10"/>
      <c r="U582" s="10"/>
      <c r="V582" s="10"/>
      <c r="W582" s="10"/>
      <c r="X582" s="10"/>
      <c r="Z582" s="10"/>
      <c r="AA582" s="7"/>
      <c r="AB582" s="7"/>
      <c r="AC582" s="7"/>
      <c r="AD582" s="7"/>
      <c r="AE582" s="7"/>
      <c r="AF582" s="7"/>
      <c r="AG582" s="7"/>
      <c r="AH582" s="7"/>
      <c r="AI582" s="7"/>
    </row>
    <row r="583" spans="1:35" ht="12.75" customHeight="1">
      <c r="A583" s="7"/>
      <c r="B583" s="7"/>
      <c r="C583" s="7"/>
      <c r="D583" s="7"/>
      <c r="E583" s="7"/>
      <c r="F583" s="7"/>
      <c r="G583" s="7"/>
      <c r="H583" s="7"/>
      <c r="I583" s="8"/>
      <c r="J583" s="8"/>
      <c r="P583" s="10"/>
      <c r="Q583" s="10"/>
      <c r="R583" s="10"/>
      <c r="S583" s="10"/>
      <c r="T583" s="10"/>
      <c r="U583" s="10"/>
      <c r="V583" s="10"/>
      <c r="W583" s="10"/>
      <c r="X583" s="10"/>
      <c r="Z583" s="10"/>
      <c r="AA583" s="7"/>
      <c r="AB583" s="7"/>
      <c r="AC583" s="7"/>
      <c r="AD583" s="7"/>
      <c r="AE583" s="7"/>
      <c r="AF583" s="7"/>
      <c r="AG583" s="7"/>
      <c r="AH583" s="7"/>
      <c r="AI583" s="7"/>
    </row>
    <row r="584" spans="1:35" ht="12.75" customHeight="1">
      <c r="A584" s="7"/>
      <c r="B584" s="7"/>
      <c r="C584" s="7"/>
      <c r="D584" s="7"/>
      <c r="E584" s="7"/>
      <c r="F584" s="7"/>
      <c r="G584" s="7"/>
      <c r="H584" s="7"/>
      <c r="I584" s="8"/>
      <c r="J584" s="8"/>
      <c r="P584" s="10"/>
      <c r="Q584" s="10"/>
      <c r="R584" s="10"/>
      <c r="S584" s="10"/>
      <c r="T584" s="10"/>
      <c r="U584" s="10"/>
      <c r="V584" s="10"/>
      <c r="W584" s="10"/>
      <c r="X584" s="10"/>
      <c r="Z584" s="10"/>
      <c r="AA584" s="7"/>
      <c r="AB584" s="7"/>
      <c r="AC584" s="7"/>
      <c r="AD584" s="7"/>
      <c r="AE584" s="7"/>
      <c r="AF584" s="7"/>
      <c r="AG584" s="7"/>
      <c r="AH584" s="7"/>
      <c r="AI584" s="7"/>
    </row>
    <row r="585" spans="1:35" ht="12.75" customHeight="1">
      <c r="A585" s="7"/>
      <c r="B585" s="7"/>
      <c r="C585" s="7"/>
      <c r="D585" s="7"/>
      <c r="E585" s="7"/>
      <c r="F585" s="7"/>
      <c r="G585" s="7"/>
      <c r="H585" s="7"/>
      <c r="I585" s="8"/>
      <c r="J585" s="8"/>
      <c r="P585" s="10"/>
      <c r="Q585" s="10"/>
      <c r="R585" s="10"/>
      <c r="S585" s="10"/>
      <c r="T585" s="10"/>
      <c r="U585" s="10"/>
      <c r="V585" s="10"/>
      <c r="W585" s="10"/>
      <c r="X585" s="10"/>
      <c r="Z585" s="10"/>
      <c r="AA585" s="7"/>
      <c r="AB585" s="7"/>
      <c r="AC585" s="7"/>
      <c r="AD585" s="7"/>
      <c r="AE585" s="7"/>
      <c r="AF585" s="7"/>
      <c r="AG585" s="7"/>
      <c r="AH585" s="7"/>
      <c r="AI585" s="7"/>
    </row>
    <row r="586" spans="1:35" ht="12.75" customHeight="1">
      <c r="A586" s="7"/>
      <c r="B586" s="7"/>
      <c r="C586" s="7"/>
      <c r="D586" s="7"/>
      <c r="E586" s="7"/>
      <c r="F586" s="7"/>
      <c r="G586" s="7"/>
      <c r="H586" s="7"/>
      <c r="I586" s="8"/>
      <c r="J586" s="8"/>
      <c r="P586" s="10"/>
      <c r="Q586" s="10"/>
      <c r="R586" s="10"/>
      <c r="S586" s="10"/>
      <c r="T586" s="10"/>
      <c r="U586" s="10"/>
      <c r="V586" s="10"/>
      <c r="W586" s="10"/>
      <c r="X586" s="10"/>
      <c r="Z586" s="10"/>
      <c r="AA586" s="7"/>
      <c r="AB586" s="7"/>
      <c r="AC586" s="7"/>
      <c r="AD586" s="7"/>
      <c r="AE586" s="7"/>
      <c r="AF586" s="7"/>
      <c r="AG586" s="7"/>
      <c r="AH586" s="7"/>
      <c r="AI586" s="7"/>
    </row>
    <row r="587" spans="1:35" ht="12.75" customHeight="1">
      <c r="A587" s="7"/>
      <c r="B587" s="7"/>
      <c r="C587" s="7"/>
      <c r="D587" s="7"/>
      <c r="E587" s="7"/>
      <c r="F587" s="7"/>
      <c r="G587" s="7"/>
      <c r="H587" s="7"/>
      <c r="I587" s="8"/>
      <c r="J587" s="8"/>
      <c r="P587" s="10"/>
      <c r="Q587" s="10"/>
      <c r="R587" s="10"/>
      <c r="S587" s="10"/>
      <c r="T587" s="10"/>
      <c r="U587" s="10"/>
      <c r="V587" s="10"/>
      <c r="W587" s="10"/>
      <c r="X587" s="10"/>
      <c r="Z587" s="10"/>
      <c r="AA587" s="7"/>
      <c r="AB587" s="7"/>
      <c r="AC587" s="7"/>
      <c r="AD587" s="7"/>
      <c r="AE587" s="7"/>
      <c r="AF587" s="7"/>
      <c r="AG587" s="7"/>
      <c r="AH587" s="7"/>
      <c r="AI587" s="7"/>
    </row>
    <row r="588" spans="1:35" ht="12.75" customHeight="1">
      <c r="A588" s="7"/>
      <c r="B588" s="7"/>
      <c r="C588" s="7"/>
      <c r="D588" s="7"/>
      <c r="E588" s="7"/>
      <c r="F588" s="7"/>
      <c r="G588" s="7"/>
      <c r="H588" s="7"/>
      <c r="I588" s="8"/>
      <c r="J588" s="8"/>
      <c r="P588" s="10"/>
      <c r="Q588" s="10"/>
      <c r="R588" s="10"/>
      <c r="S588" s="10"/>
      <c r="T588" s="10"/>
      <c r="U588" s="10"/>
      <c r="V588" s="10"/>
      <c r="W588" s="10"/>
      <c r="X588" s="10"/>
      <c r="Z588" s="10"/>
      <c r="AA588" s="7"/>
      <c r="AB588" s="7"/>
      <c r="AC588" s="7"/>
      <c r="AD588" s="7"/>
      <c r="AE588" s="7"/>
      <c r="AF588" s="7"/>
      <c r="AG588" s="7"/>
      <c r="AH588" s="7"/>
      <c r="AI588" s="7"/>
    </row>
    <row r="589" spans="1:35" ht="12.75" customHeight="1">
      <c r="A589" s="7"/>
      <c r="B589" s="7"/>
      <c r="C589" s="7"/>
      <c r="D589" s="7"/>
      <c r="E589" s="7"/>
      <c r="F589" s="7"/>
      <c r="G589" s="7"/>
      <c r="H589" s="7"/>
      <c r="I589" s="8"/>
      <c r="J589" s="8"/>
      <c r="P589" s="10"/>
      <c r="Q589" s="10"/>
      <c r="R589" s="10"/>
      <c r="S589" s="10"/>
      <c r="T589" s="10"/>
      <c r="U589" s="10"/>
      <c r="V589" s="10"/>
      <c r="W589" s="10"/>
      <c r="X589" s="10"/>
      <c r="Z589" s="10"/>
      <c r="AA589" s="7"/>
      <c r="AB589" s="7"/>
      <c r="AC589" s="7"/>
      <c r="AD589" s="7"/>
      <c r="AE589" s="7"/>
      <c r="AF589" s="7"/>
      <c r="AG589" s="7"/>
      <c r="AH589" s="7"/>
      <c r="AI589" s="7"/>
    </row>
    <row r="590" spans="1:35" ht="12.75" customHeight="1">
      <c r="A590" s="7"/>
      <c r="B590" s="7"/>
      <c r="C590" s="7"/>
      <c r="D590" s="7"/>
      <c r="E590" s="7"/>
      <c r="F590" s="7"/>
      <c r="G590" s="7"/>
      <c r="H590" s="7"/>
      <c r="I590" s="8"/>
      <c r="J590" s="8"/>
      <c r="P590" s="10"/>
      <c r="Q590" s="10"/>
      <c r="R590" s="10"/>
      <c r="S590" s="10"/>
      <c r="T590" s="10"/>
      <c r="U590" s="10"/>
      <c r="V590" s="10"/>
      <c r="W590" s="10"/>
      <c r="X590" s="10"/>
      <c r="Z590" s="10"/>
      <c r="AA590" s="7"/>
      <c r="AB590" s="7"/>
      <c r="AC590" s="7"/>
      <c r="AD590" s="7"/>
      <c r="AE590" s="7"/>
      <c r="AF590" s="7"/>
      <c r="AG590" s="7"/>
      <c r="AH590" s="7"/>
      <c r="AI590" s="7"/>
    </row>
    <row r="591" spans="1:35" ht="12.75" customHeight="1">
      <c r="A591" s="7"/>
      <c r="B591" s="7"/>
      <c r="C591" s="7"/>
      <c r="D591" s="7"/>
      <c r="E591" s="7"/>
      <c r="F591" s="7"/>
      <c r="G591" s="7"/>
      <c r="H591" s="7"/>
      <c r="I591" s="8"/>
      <c r="J591" s="8"/>
      <c r="P591" s="10"/>
      <c r="Q591" s="10"/>
      <c r="R591" s="10"/>
      <c r="S591" s="10"/>
      <c r="T591" s="10"/>
      <c r="U591" s="10"/>
      <c r="V591" s="10"/>
      <c r="W591" s="10"/>
      <c r="X591" s="10"/>
      <c r="Z591" s="10"/>
      <c r="AA591" s="7"/>
      <c r="AB591" s="7"/>
      <c r="AC591" s="7"/>
      <c r="AD591" s="7"/>
      <c r="AE591" s="7"/>
      <c r="AF591" s="7"/>
      <c r="AG591" s="7"/>
      <c r="AH591" s="7"/>
      <c r="AI591" s="7"/>
    </row>
    <row r="592" spans="1:35" ht="12.75" customHeight="1">
      <c r="A592" s="7"/>
      <c r="B592" s="7"/>
      <c r="C592" s="7"/>
      <c r="D592" s="7"/>
      <c r="E592" s="7"/>
      <c r="F592" s="7"/>
      <c r="G592" s="7"/>
      <c r="H592" s="7"/>
      <c r="I592" s="8"/>
      <c r="J592" s="8"/>
      <c r="P592" s="10"/>
      <c r="Q592" s="10"/>
      <c r="R592" s="10"/>
      <c r="S592" s="10"/>
      <c r="T592" s="10"/>
      <c r="U592" s="10"/>
      <c r="V592" s="10"/>
      <c r="W592" s="10"/>
      <c r="X592" s="10"/>
      <c r="Z592" s="10"/>
      <c r="AA592" s="7"/>
      <c r="AB592" s="7"/>
      <c r="AC592" s="7"/>
      <c r="AD592" s="7"/>
      <c r="AE592" s="7"/>
      <c r="AF592" s="7"/>
      <c r="AG592" s="7"/>
      <c r="AH592" s="7"/>
      <c r="AI592" s="7"/>
    </row>
    <row r="593" spans="1:35" ht="12.75" customHeight="1">
      <c r="A593" s="7"/>
      <c r="B593" s="7"/>
      <c r="C593" s="7"/>
      <c r="D593" s="7"/>
      <c r="E593" s="7"/>
      <c r="F593" s="7"/>
      <c r="G593" s="7"/>
      <c r="H593" s="7"/>
      <c r="I593" s="8"/>
      <c r="J593" s="8"/>
      <c r="P593" s="10"/>
      <c r="Q593" s="10"/>
      <c r="R593" s="10"/>
      <c r="S593" s="10"/>
      <c r="T593" s="10"/>
      <c r="U593" s="10"/>
      <c r="V593" s="10"/>
      <c r="W593" s="10"/>
      <c r="X593" s="10"/>
      <c r="Z593" s="10"/>
      <c r="AA593" s="7"/>
      <c r="AB593" s="7"/>
      <c r="AC593" s="7"/>
      <c r="AD593" s="7"/>
      <c r="AE593" s="7"/>
      <c r="AF593" s="7"/>
      <c r="AG593" s="7"/>
      <c r="AH593" s="7"/>
      <c r="AI593" s="7"/>
    </row>
    <row r="594" spans="1:35" ht="12.75" customHeight="1">
      <c r="A594" s="7"/>
      <c r="B594" s="7"/>
      <c r="C594" s="7"/>
      <c r="D594" s="7"/>
      <c r="E594" s="7"/>
      <c r="F594" s="7"/>
      <c r="G594" s="7"/>
      <c r="H594" s="7"/>
      <c r="I594" s="8"/>
      <c r="J594" s="8"/>
      <c r="P594" s="10"/>
      <c r="Q594" s="10"/>
      <c r="R594" s="10"/>
      <c r="S594" s="10"/>
      <c r="T594" s="10"/>
      <c r="U594" s="10"/>
      <c r="V594" s="10"/>
      <c r="W594" s="10"/>
      <c r="X594" s="10"/>
      <c r="Z594" s="10"/>
      <c r="AA594" s="7"/>
      <c r="AB594" s="7"/>
      <c r="AC594" s="7"/>
      <c r="AD594" s="7"/>
      <c r="AE594" s="7"/>
      <c r="AF594" s="7"/>
      <c r="AG594" s="7"/>
      <c r="AH594" s="7"/>
      <c r="AI594" s="7"/>
    </row>
    <row r="595" spans="1:35" ht="12.75" customHeight="1">
      <c r="A595" s="7"/>
      <c r="B595" s="7"/>
      <c r="C595" s="7"/>
      <c r="D595" s="7"/>
      <c r="E595" s="7"/>
      <c r="F595" s="7"/>
      <c r="G595" s="7"/>
      <c r="H595" s="7"/>
      <c r="I595" s="8"/>
      <c r="J595" s="8"/>
      <c r="P595" s="10"/>
      <c r="Q595" s="10"/>
      <c r="R595" s="10"/>
      <c r="S595" s="10"/>
      <c r="T595" s="10"/>
      <c r="U595" s="10"/>
      <c r="V595" s="10"/>
      <c r="W595" s="10"/>
      <c r="X595" s="10"/>
      <c r="Z595" s="10"/>
      <c r="AA595" s="7"/>
      <c r="AB595" s="7"/>
      <c r="AC595" s="7"/>
      <c r="AD595" s="7"/>
      <c r="AE595" s="7"/>
      <c r="AF595" s="7"/>
      <c r="AG595" s="7"/>
      <c r="AH595" s="7"/>
      <c r="AI595" s="7"/>
    </row>
    <row r="596" spans="1:35" ht="12.75" customHeight="1">
      <c r="A596" s="7"/>
      <c r="B596" s="7"/>
      <c r="C596" s="7"/>
      <c r="D596" s="7"/>
      <c r="E596" s="7"/>
      <c r="F596" s="7"/>
      <c r="G596" s="7"/>
      <c r="H596" s="7"/>
      <c r="I596" s="8"/>
      <c r="J596" s="8"/>
      <c r="P596" s="10"/>
      <c r="Q596" s="10"/>
      <c r="R596" s="10"/>
      <c r="S596" s="10"/>
      <c r="T596" s="10"/>
      <c r="U596" s="10"/>
      <c r="V596" s="10"/>
      <c r="W596" s="10"/>
      <c r="X596" s="10"/>
      <c r="Z596" s="10"/>
      <c r="AA596" s="7"/>
      <c r="AB596" s="7"/>
      <c r="AC596" s="7"/>
      <c r="AD596" s="7"/>
      <c r="AE596" s="7"/>
      <c r="AF596" s="7"/>
      <c r="AG596" s="7"/>
      <c r="AH596" s="7"/>
      <c r="AI596" s="7"/>
    </row>
    <row r="597" spans="1:35" ht="12.75" customHeight="1">
      <c r="A597" s="7"/>
      <c r="B597" s="7"/>
      <c r="C597" s="7"/>
      <c r="D597" s="7"/>
      <c r="E597" s="7"/>
      <c r="F597" s="7"/>
      <c r="G597" s="7"/>
      <c r="H597" s="7"/>
      <c r="I597" s="8"/>
      <c r="J597" s="8"/>
      <c r="P597" s="10"/>
      <c r="Q597" s="10"/>
      <c r="R597" s="10"/>
      <c r="S597" s="10"/>
      <c r="T597" s="10"/>
      <c r="U597" s="10"/>
      <c r="V597" s="10"/>
      <c r="W597" s="10"/>
      <c r="X597" s="10"/>
      <c r="Z597" s="10"/>
      <c r="AA597" s="7"/>
      <c r="AB597" s="7"/>
      <c r="AC597" s="7"/>
      <c r="AD597" s="7"/>
      <c r="AE597" s="7"/>
      <c r="AF597" s="7"/>
      <c r="AG597" s="7"/>
      <c r="AH597" s="7"/>
      <c r="AI597" s="7"/>
    </row>
    <row r="598" spans="1:35" ht="12.75" customHeight="1">
      <c r="A598" s="7"/>
      <c r="B598" s="7"/>
      <c r="C598" s="7"/>
      <c r="D598" s="7"/>
      <c r="E598" s="7"/>
      <c r="F598" s="7"/>
      <c r="G598" s="7"/>
      <c r="H598" s="7"/>
      <c r="I598" s="8"/>
      <c r="J598" s="8"/>
      <c r="P598" s="10"/>
      <c r="Q598" s="10"/>
      <c r="R598" s="10"/>
      <c r="S598" s="10"/>
      <c r="T598" s="10"/>
      <c r="U598" s="10"/>
      <c r="V598" s="10"/>
      <c r="W598" s="10"/>
      <c r="X598" s="10"/>
      <c r="Z598" s="10"/>
      <c r="AA598" s="7"/>
      <c r="AB598" s="7"/>
      <c r="AC598" s="7"/>
      <c r="AD598" s="7"/>
      <c r="AE598" s="7"/>
      <c r="AF598" s="7"/>
      <c r="AG598" s="7"/>
      <c r="AH598" s="7"/>
      <c r="AI598" s="7"/>
    </row>
    <row r="599" spans="1:35" ht="12.75" customHeight="1">
      <c r="A599" s="7"/>
      <c r="B599" s="7"/>
      <c r="C599" s="7"/>
      <c r="D599" s="7"/>
      <c r="E599" s="7"/>
      <c r="F599" s="7"/>
      <c r="G599" s="7"/>
      <c r="H599" s="7"/>
      <c r="I599" s="8"/>
      <c r="J599" s="8"/>
      <c r="P599" s="10"/>
      <c r="Q599" s="10"/>
      <c r="R599" s="10"/>
      <c r="S599" s="10"/>
      <c r="T599" s="10"/>
      <c r="U599" s="10"/>
      <c r="V599" s="10"/>
      <c r="W599" s="10"/>
      <c r="X599" s="10"/>
      <c r="Z599" s="10"/>
      <c r="AA599" s="7"/>
      <c r="AB599" s="7"/>
      <c r="AC599" s="7"/>
      <c r="AD599" s="7"/>
      <c r="AE599" s="7"/>
      <c r="AF599" s="7"/>
      <c r="AG599" s="7"/>
      <c r="AH599" s="7"/>
      <c r="AI599" s="7"/>
    </row>
    <row r="600" spans="1:35" ht="12.75" customHeight="1">
      <c r="A600" s="7"/>
      <c r="B600" s="7"/>
      <c r="C600" s="7"/>
      <c r="D600" s="7"/>
      <c r="E600" s="7"/>
      <c r="F600" s="7"/>
      <c r="G600" s="7"/>
      <c r="H600" s="7"/>
      <c r="I600" s="8"/>
      <c r="J600" s="8"/>
      <c r="P600" s="10"/>
      <c r="Q600" s="10"/>
      <c r="R600" s="10"/>
      <c r="S600" s="10"/>
      <c r="T600" s="10"/>
      <c r="U600" s="10"/>
      <c r="V600" s="10"/>
      <c r="W600" s="10"/>
      <c r="X600" s="10"/>
      <c r="Z600" s="10"/>
      <c r="AA600" s="7"/>
      <c r="AB600" s="7"/>
      <c r="AC600" s="7"/>
      <c r="AD600" s="7"/>
      <c r="AE600" s="7"/>
      <c r="AF600" s="7"/>
      <c r="AG600" s="7"/>
      <c r="AH600" s="7"/>
      <c r="AI600" s="7"/>
    </row>
    <row r="601" spans="1:35" ht="12.75" customHeight="1">
      <c r="A601" s="7"/>
      <c r="B601" s="7"/>
      <c r="C601" s="7"/>
      <c r="D601" s="7"/>
      <c r="E601" s="7"/>
      <c r="F601" s="7"/>
      <c r="G601" s="7"/>
      <c r="H601" s="7"/>
      <c r="I601" s="8"/>
      <c r="J601" s="8"/>
      <c r="P601" s="10"/>
      <c r="Q601" s="10"/>
      <c r="R601" s="10"/>
      <c r="S601" s="10"/>
      <c r="T601" s="10"/>
      <c r="U601" s="10"/>
      <c r="V601" s="10"/>
      <c r="W601" s="10"/>
      <c r="X601" s="10"/>
      <c r="Z601" s="10"/>
      <c r="AA601" s="7"/>
      <c r="AB601" s="7"/>
      <c r="AC601" s="7"/>
      <c r="AD601" s="7"/>
      <c r="AE601" s="7"/>
      <c r="AF601" s="7"/>
      <c r="AG601" s="7"/>
      <c r="AH601" s="7"/>
      <c r="AI601" s="7"/>
    </row>
    <row r="602" spans="1:35" ht="12.75" customHeight="1">
      <c r="A602" s="7"/>
      <c r="B602" s="7"/>
      <c r="C602" s="7"/>
      <c r="D602" s="7"/>
      <c r="E602" s="7"/>
      <c r="F602" s="7"/>
      <c r="G602" s="7"/>
      <c r="H602" s="7"/>
      <c r="I602" s="8"/>
      <c r="J602" s="8"/>
      <c r="P602" s="10"/>
      <c r="Q602" s="10"/>
      <c r="R602" s="10"/>
      <c r="S602" s="10"/>
      <c r="T602" s="10"/>
      <c r="U602" s="10"/>
      <c r="V602" s="10"/>
      <c r="W602" s="10"/>
      <c r="X602" s="10"/>
      <c r="Z602" s="10"/>
      <c r="AA602" s="7"/>
      <c r="AB602" s="7"/>
      <c r="AC602" s="7"/>
      <c r="AD602" s="7"/>
      <c r="AE602" s="7"/>
      <c r="AF602" s="7"/>
      <c r="AG602" s="7"/>
      <c r="AH602" s="7"/>
      <c r="AI602" s="7"/>
    </row>
    <row r="603" spans="1:35" ht="12.75" customHeight="1">
      <c r="A603" s="7"/>
      <c r="B603" s="7"/>
      <c r="C603" s="7"/>
      <c r="D603" s="7"/>
      <c r="E603" s="7"/>
      <c r="F603" s="7"/>
      <c r="G603" s="7"/>
      <c r="H603" s="7"/>
      <c r="I603" s="8"/>
      <c r="J603" s="8"/>
      <c r="P603" s="10"/>
      <c r="Q603" s="10"/>
      <c r="R603" s="10"/>
      <c r="S603" s="10"/>
      <c r="T603" s="10"/>
      <c r="U603" s="10"/>
      <c r="V603" s="10"/>
      <c r="W603" s="10"/>
      <c r="X603" s="10"/>
      <c r="Z603" s="10"/>
      <c r="AA603" s="7"/>
      <c r="AB603" s="7"/>
      <c r="AC603" s="7"/>
      <c r="AD603" s="7"/>
      <c r="AE603" s="7"/>
      <c r="AF603" s="7"/>
      <c r="AG603" s="7"/>
      <c r="AH603" s="7"/>
      <c r="AI603" s="7"/>
    </row>
    <row r="604" spans="1:35" ht="12.75" customHeight="1">
      <c r="A604" s="7"/>
      <c r="B604" s="7"/>
      <c r="C604" s="7"/>
      <c r="D604" s="7"/>
      <c r="E604" s="7"/>
      <c r="F604" s="7"/>
      <c r="G604" s="7"/>
      <c r="H604" s="7"/>
      <c r="I604" s="8"/>
      <c r="J604" s="8"/>
      <c r="P604" s="10"/>
      <c r="Q604" s="10"/>
      <c r="R604" s="10"/>
      <c r="S604" s="10"/>
      <c r="T604" s="10"/>
      <c r="U604" s="10"/>
      <c r="V604" s="10"/>
      <c r="W604" s="10"/>
      <c r="X604" s="10"/>
      <c r="Z604" s="10"/>
      <c r="AA604" s="7"/>
      <c r="AB604" s="7"/>
      <c r="AC604" s="7"/>
      <c r="AD604" s="7"/>
      <c r="AE604" s="7"/>
      <c r="AF604" s="7"/>
      <c r="AG604" s="7"/>
      <c r="AH604" s="7"/>
      <c r="AI604" s="7"/>
    </row>
    <row r="605" spans="1:35" ht="12.75" customHeight="1">
      <c r="A605" s="7"/>
      <c r="B605" s="7"/>
      <c r="C605" s="7"/>
      <c r="D605" s="7"/>
      <c r="E605" s="7"/>
      <c r="F605" s="7"/>
      <c r="G605" s="7"/>
      <c r="H605" s="7"/>
      <c r="I605" s="8"/>
      <c r="J605" s="8"/>
      <c r="P605" s="10"/>
      <c r="Q605" s="10"/>
      <c r="R605" s="10"/>
      <c r="S605" s="10"/>
      <c r="T605" s="10"/>
      <c r="U605" s="10"/>
      <c r="V605" s="10"/>
      <c r="W605" s="10"/>
      <c r="X605" s="10"/>
      <c r="Z605" s="10"/>
      <c r="AA605" s="7"/>
      <c r="AB605" s="7"/>
      <c r="AC605" s="7"/>
      <c r="AD605" s="7"/>
      <c r="AE605" s="7"/>
      <c r="AF605" s="7"/>
      <c r="AG605" s="7"/>
      <c r="AH605" s="7"/>
      <c r="AI605" s="7"/>
    </row>
    <row r="606" spans="1:35" ht="12.75" customHeight="1">
      <c r="A606" s="7"/>
      <c r="B606" s="7"/>
      <c r="C606" s="7"/>
      <c r="D606" s="7"/>
      <c r="E606" s="7"/>
      <c r="F606" s="7"/>
      <c r="G606" s="7"/>
      <c r="H606" s="7"/>
      <c r="I606" s="8"/>
      <c r="J606" s="8"/>
      <c r="P606" s="10"/>
      <c r="Q606" s="10"/>
      <c r="R606" s="10"/>
      <c r="S606" s="10"/>
      <c r="T606" s="10"/>
      <c r="U606" s="10"/>
      <c r="V606" s="10"/>
      <c r="W606" s="10"/>
      <c r="X606" s="10"/>
      <c r="Z606" s="10"/>
      <c r="AA606" s="7"/>
      <c r="AB606" s="7"/>
      <c r="AC606" s="7"/>
      <c r="AD606" s="7"/>
      <c r="AE606" s="7"/>
      <c r="AF606" s="7"/>
      <c r="AG606" s="7"/>
      <c r="AH606" s="7"/>
      <c r="AI606" s="7"/>
    </row>
    <row r="607" spans="1:35" ht="12.75" customHeight="1">
      <c r="A607" s="7"/>
      <c r="B607" s="7"/>
      <c r="C607" s="7"/>
      <c r="D607" s="7"/>
      <c r="E607" s="7"/>
      <c r="F607" s="7"/>
      <c r="G607" s="7"/>
      <c r="H607" s="7"/>
      <c r="I607" s="8"/>
      <c r="J607" s="8"/>
      <c r="P607" s="10"/>
      <c r="Q607" s="10"/>
      <c r="R607" s="10"/>
      <c r="S607" s="10"/>
      <c r="T607" s="10"/>
      <c r="U607" s="10"/>
      <c r="V607" s="10"/>
      <c r="W607" s="10"/>
      <c r="X607" s="10"/>
      <c r="Z607" s="10"/>
      <c r="AA607" s="7"/>
      <c r="AB607" s="7"/>
      <c r="AC607" s="7"/>
      <c r="AD607" s="7"/>
      <c r="AE607" s="7"/>
      <c r="AF607" s="7"/>
      <c r="AG607" s="7"/>
      <c r="AH607" s="7"/>
      <c r="AI607" s="7"/>
    </row>
    <row r="608" spans="1:35" ht="12.75" customHeight="1">
      <c r="A608" s="7"/>
      <c r="B608" s="7"/>
      <c r="C608" s="7"/>
      <c r="D608" s="7"/>
      <c r="E608" s="7"/>
      <c r="F608" s="7"/>
      <c r="G608" s="7"/>
      <c r="H608" s="7"/>
      <c r="I608" s="8"/>
      <c r="J608" s="8"/>
      <c r="P608" s="10"/>
      <c r="Q608" s="10"/>
      <c r="R608" s="10"/>
      <c r="S608" s="10"/>
      <c r="T608" s="10"/>
      <c r="U608" s="10"/>
      <c r="V608" s="10"/>
      <c r="W608" s="10"/>
      <c r="X608" s="10"/>
      <c r="Z608" s="10"/>
      <c r="AA608" s="7"/>
      <c r="AB608" s="7"/>
      <c r="AC608" s="7"/>
      <c r="AD608" s="7"/>
      <c r="AE608" s="7"/>
      <c r="AF608" s="7"/>
      <c r="AG608" s="7"/>
      <c r="AH608" s="7"/>
      <c r="AI608" s="7"/>
    </row>
    <row r="609" spans="1:35" ht="12.75" customHeight="1">
      <c r="A609" s="7"/>
      <c r="B609" s="7"/>
      <c r="C609" s="7"/>
      <c r="D609" s="7"/>
      <c r="E609" s="7"/>
      <c r="F609" s="7"/>
      <c r="G609" s="7"/>
      <c r="H609" s="7"/>
      <c r="I609" s="8"/>
      <c r="J609" s="8"/>
      <c r="P609" s="10"/>
      <c r="Q609" s="10"/>
      <c r="R609" s="10"/>
      <c r="S609" s="10"/>
      <c r="T609" s="10"/>
      <c r="U609" s="10"/>
      <c r="V609" s="10"/>
      <c r="W609" s="10"/>
      <c r="X609" s="10"/>
      <c r="Z609" s="10"/>
      <c r="AA609" s="7"/>
      <c r="AB609" s="7"/>
      <c r="AC609" s="7"/>
      <c r="AD609" s="7"/>
      <c r="AE609" s="7"/>
      <c r="AF609" s="7"/>
      <c r="AG609" s="7"/>
      <c r="AH609" s="7"/>
      <c r="AI609" s="7"/>
    </row>
    <row r="610" spans="1:35" ht="12.75" customHeight="1">
      <c r="A610" s="7"/>
      <c r="B610" s="7"/>
      <c r="C610" s="7"/>
      <c r="D610" s="7"/>
      <c r="E610" s="7"/>
      <c r="F610" s="7"/>
      <c r="G610" s="7"/>
      <c r="H610" s="7"/>
      <c r="I610" s="8"/>
      <c r="J610" s="8"/>
      <c r="P610" s="10"/>
      <c r="Q610" s="10"/>
      <c r="R610" s="10"/>
      <c r="S610" s="10"/>
      <c r="T610" s="10"/>
      <c r="U610" s="10"/>
      <c r="V610" s="10"/>
      <c r="W610" s="10"/>
      <c r="X610" s="10"/>
      <c r="Z610" s="10"/>
      <c r="AA610" s="7"/>
      <c r="AB610" s="7"/>
      <c r="AC610" s="7"/>
      <c r="AD610" s="7"/>
      <c r="AE610" s="7"/>
      <c r="AF610" s="7"/>
      <c r="AG610" s="7"/>
      <c r="AH610" s="7"/>
      <c r="AI610" s="7"/>
    </row>
    <row r="611" spans="1:35" ht="12.75" customHeight="1">
      <c r="A611" s="7"/>
      <c r="B611" s="7"/>
      <c r="C611" s="7"/>
      <c r="D611" s="7"/>
      <c r="E611" s="7"/>
      <c r="F611" s="7"/>
      <c r="G611" s="7"/>
      <c r="H611" s="7"/>
      <c r="I611" s="8"/>
      <c r="J611" s="8"/>
      <c r="P611" s="10"/>
      <c r="Q611" s="10"/>
      <c r="R611" s="10"/>
      <c r="S611" s="10"/>
      <c r="T611" s="10"/>
      <c r="U611" s="10"/>
      <c r="V611" s="10"/>
      <c r="W611" s="10"/>
      <c r="X611" s="10"/>
      <c r="Z611" s="10"/>
      <c r="AA611" s="7"/>
      <c r="AB611" s="7"/>
      <c r="AC611" s="7"/>
      <c r="AD611" s="7"/>
      <c r="AE611" s="7"/>
      <c r="AF611" s="7"/>
      <c r="AG611" s="7"/>
      <c r="AH611" s="7"/>
      <c r="AI611" s="7"/>
    </row>
    <row r="612" spans="1:35" ht="12.75" customHeight="1">
      <c r="A612" s="7"/>
      <c r="B612" s="7"/>
      <c r="C612" s="7"/>
      <c r="D612" s="7"/>
      <c r="E612" s="7"/>
      <c r="F612" s="7"/>
      <c r="G612" s="7"/>
      <c r="H612" s="7"/>
      <c r="I612" s="8"/>
      <c r="J612" s="8"/>
      <c r="P612" s="10"/>
      <c r="Q612" s="10"/>
      <c r="R612" s="10"/>
      <c r="S612" s="10"/>
      <c r="T612" s="10"/>
      <c r="U612" s="10"/>
      <c r="V612" s="10"/>
      <c r="W612" s="10"/>
      <c r="X612" s="10"/>
      <c r="Z612" s="10"/>
      <c r="AA612" s="7"/>
      <c r="AB612" s="7"/>
      <c r="AC612" s="7"/>
      <c r="AD612" s="7"/>
      <c r="AE612" s="7"/>
      <c r="AF612" s="7"/>
      <c r="AG612" s="7"/>
      <c r="AH612" s="7"/>
      <c r="AI612" s="7"/>
    </row>
    <row r="613" spans="1:35" ht="12.75" customHeight="1">
      <c r="A613" s="7"/>
      <c r="B613" s="7"/>
      <c r="C613" s="7"/>
      <c r="D613" s="7"/>
      <c r="E613" s="7"/>
      <c r="F613" s="7"/>
      <c r="G613" s="7"/>
      <c r="H613" s="7"/>
      <c r="I613" s="8"/>
      <c r="J613" s="8"/>
      <c r="P613" s="10"/>
      <c r="Q613" s="10"/>
      <c r="R613" s="10"/>
      <c r="S613" s="10"/>
      <c r="T613" s="10"/>
      <c r="U613" s="10"/>
      <c r="V613" s="10"/>
      <c r="W613" s="10"/>
      <c r="X613" s="10"/>
      <c r="Z613" s="10"/>
      <c r="AA613" s="7"/>
      <c r="AB613" s="7"/>
      <c r="AC613" s="7"/>
      <c r="AD613" s="7"/>
      <c r="AE613" s="7"/>
      <c r="AF613" s="7"/>
      <c r="AG613" s="7"/>
      <c r="AH613" s="7"/>
      <c r="AI613" s="7"/>
    </row>
    <row r="614" spans="1:35" ht="12.75" customHeight="1">
      <c r="A614" s="7"/>
      <c r="B614" s="7"/>
      <c r="C614" s="7"/>
      <c r="D614" s="7"/>
      <c r="E614" s="7"/>
      <c r="F614" s="7"/>
      <c r="G614" s="7"/>
      <c r="H614" s="7"/>
      <c r="I614" s="8"/>
      <c r="J614" s="8"/>
      <c r="P614" s="10"/>
      <c r="Q614" s="10"/>
      <c r="R614" s="10"/>
      <c r="S614" s="10"/>
      <c r="T614" s="10"/>
      <c r="U614" s="10"/>
      <c r="V614" s="10"/>
      <c r="W614" s="10"/>
      <c r="X614" s="10"/>
      <c r="Z614" s="10"/>
      <c r="AA614" s="7"/>
      <c r="AB614" s="7"/>
      <c r="AC614" s="7"/>
      <c r="AD614" s="7"/>
      <c r="AE614" s="7"/>
      <c r="AF614" s="7"/>
      <c r="AG614" s="7"/>
      <c r="AH614" s="7"/>
      <c r="AI614" s="7"/>
    </row>
    <row r="615" spans="1:35" ht="12.75" customHeight="1">
      <c r="A615" s="7"/>
      <c r="B615" s="7"/>
      <c r="C615" s="7"/>
      <c r="D615" s="7"/>
      <c r="E615" s="7"/>
      <c r="F615" s="7"/>
      <c r="G615" s="7"/>
      <c r="H615" s="7"/>
      <c r="I615" s="8"/>
      <c r="J615" s="8"/>
      <c r="P615" s="10"/>
      <c r="Q615" s="10"/>
      <c r="R615" s="10"/>
      <c r="S615" s="10"/>
      <c r="T615" s="10"/>
      <c r="U615" s="10"/>
      <c r="V615" s="10"/>
      <c r="W615" s="10"/>
      <c r="X615" s="10"/>
      <c r="Z615" s="10"/>
      <c r="AA615" s="7"/>
      <c r="AB615" s="7"/>
      <c r="AC615" s="7"/>
      <c r="AD615" s="7"/>
      <c r="AE615" s="7"/>
      <c r="AF615" s="7"/>
      <c r="AG615" s="7"/>
      <c r="AH615" s="7"/>
      <c r="AI615" s="7"/>
    </row>
    <row r="616" spans="1:35" ht="12.75" customHeight="1">
      <c r="A616" s="7"/>
      <c r="B616" s="7"/>
      <c r="C616" s="7"/>
      <c r="D616" s="7"/>
      <c r="E616" s="7"/>
      <c r="F616" s="7"/>
      <c r="G616" s="7"/>
      <c r="H616" s="7"/>
      <c r="I616" s="8"/>
      <c r="J616" s="8"/>
      <c r="P616" s="10"/>
      <c r="Q616" s="10"/>
      <c r="R616" s="10"/>
      <c r="S616" s="10"/>
      <c r="T616" s="10"/>
      <c r="U616" s="10"/>
      <c r="V616" s="10"/>
      <c r="W616" s="10"/>
      <c r="X616" s="10"/>
      <c r="Z616" s="10"/>
      <c r="AA616" s="7"/>
      <c r="AB616" s="7"/>
      <c r="AC616" s="7"/>
      <c r="AD616" s="7"/>
      <c r="AE616" s="7"/>
      <c r="AF616" s="7"/>
      <c r="AG616" s="7"/>
      <c r="AH616" s="7"/>
      <c r="AI616" s="7"/>
    </row>
    <row r="617" spans="1:35" ht="12.75" customHeight="1">
      <c r="A617" s="7"/>
      <c r="B617" s="7"/>
      <c r="C617" s="7"/>
      <c r="D617" s="7"/>
      <c r="E617" s="7"/>
      <c r="F617" s="7"/>
      <c r="G617" s="7"/>
      <c r="H617" s="7"/>
      <c r="I617" s="8"/>
      <c r="J617" s="8"/>
      <c r="P617" s="10"/>
      <c r="Q617" s="10"/>
      <c r="R617" s="10"/>
      <c r="S617" s="10"/>
      <c r="T617" s="10"/>
      <c r="U617" s="10"/>
      <c r="V617" s="10"/>
      <c r="W617" s="10"/>
      <c r="X617" s="10"/>
      <c r="Z617" s="10"/>
      <c r="AA617" s="7"/>
      <c r="AB617" s="7"/>
      <c r="AC617" s="7"/>
      <c r="AD617" s="7"/>
      <c r="AE617" s="7"/>
      <c r="AF617" s="7"/>
      <c r="AG617" s="7"/>
      <c r="AH617" s="7"/>
      <c r="AI617" s="7"/>
    </row>
    <row r="618" spans="1:35" ht="12.75" customHeight="1">
      <c r="A618" s="7"/>
      <c r="B618" s="7"/>
      <c r="C618" s="7"/>
      <c r="D618" s="7"/>
      <c r="E618" s="7"/>
      <c r="F618" s="7"/>
      <c r="G618" s="7"/>
      <c r="H618" s="7"/>
      <c r="I618" s="8"/>
      <c r="J618" s="8"/>
      <c r="P618" s="10"/>
      <c r="Q618" s="10"/>
      <c r="R618" s="10"/>
      <c r="S618" s="10"/>
      <c r="T618" s="10"/>
      <c r="U618" s="10"/>
      <c r="V618" s="10"/>
      <c r="W618" s="10"/>
      <c r="X618" s="10"/>
      <c r="Z618" s="10"/>
      <c r="AA618" s="7"/>
      <c r="AB618" s="7"/>
      <c r="AC618" s="7"/>
      <c r="AD618" s="7"/>
      <c r="AE618" s="7"/>
      <c r="AF618" s="7"/>
      <c r="AG618" s="7"/>
      <c r="AH618" s="7"/>
      <c r="AI618" s="7"/>
    </row>
    <row r="619" spans="1:35" ht="12.75" customHeight="1">
      <c r="A619" s="7"/>
      <c r="B619" s="7"/>
      <c r="C619" s="7"/>
      <c r="D619" s="7"/>
      <c r="E619" s="7"/>
      <c r="F619" s="7"/>
      <c r="G619" s="7"/>
      <c r="H619" s="7"/>
      <c r="I619" s="8"/>
      <c r="J619" s="8"/>
      <c r="P619" s="10"/>
      <c r="Q619" s="10"/>
      <c r="R619" s="10"/>
      <c r="S619" s="10"/>
      <c r="T619" s="10"/>
      <c r="U619" s="10"/>
      <c r="V619" s="10"/>
      <c r="W619" s="10"/>
      <c r="X619" s="10"/>
      <c r="Z619" s="10"/>
      <c r="AA619" s="7"/>
      <c r="AB619" s="7"/>
      <c r="AC619" s="7"/>
      <c r="AD619" s="7"/>
      <c r="AE619" s="7"/>
      <c r="AF619" s="7"/>
      <c r="AG619" s="7"/>
      <c r="AH619" s="7"/>
      <c r="AI619" s="7"/>
    </row>
    <row r="620" spans="1:35" ht="12.75" customHeight="1">
      <c r="A620" s="7"/>
      <c r="B620" s="7"/>
      <c r="C620" s="7"/>
      <c r="D620" s="7"/>
      <c r="E620" s="7"/>
      <c r="F620" s="7"/>
      <c r="G620" s="7"/>
      <c r="H620" s="7"/>
      <c r="I620" s="8"/>
      <c r="J620" s="8"/>
      <c r="P620" s="10"/>
      <c r="Q620" s="10"/>
      <c r="R620" s="10"/>
      <c r="S620" s="10"/>
      <c r="T620" s="10"/>
      <c r="U620" s="10"/>
      <c r="V620" s="10"/>
      <c r="W620" s="10"/>
      <c r="X620" s="10"/>
      <c r="Z620" s="10"/>
      <c r="AA620" s="7"/>
      <c r="AB620" s="7"/>
      <c r="AC620" s="7"/>
      <c r="AD620" s="7"/>
      <c r="AE620" s="7"/>
      <c r="AF620" s="7"/>
      <c r="AG620" s="7"/>
      <c r="AH620" s="7"/>
      <c r="AI620" s="7"/>
    </row>
    <row r="621" spans="1:35" ht="12.75" customHeight="1">
      <c r="A621" s="7"/>
      <c r="B621" s="7"/>
      <c r="C621" s="7"/>
      <c r="D621" s="7"/>
      <c r="E621" s="7"/>
      <c r="F621" s="7"/>
      <c r="G621" s="7"/>
      <c r="H621" s="7"/>
      <c r="I621" s="8"/>
      <c r="J621" s="8"/>
      <c r="P621" s="10"/>
      <c r="Q621" s="10"/>
      <c r="R621" s="10"/>
      <c r="S621" s="10"/>
      <c r="T621" s="10"/>
      <c r="U621" s="10"/>
      <c r="V621" s="10"/>
      <c r="W621" s="10"/>
      <c r="X621" s="10"/>
      <c r="Z621" s="10"/>
      <c r="AA621" s="7"/>
      <c r="AB621" s="7"/>
      <c r="AC621" s="7"/>
      <c r="AD621" s="7"/>
      <c r="AE621" s="7"/>
      <c r="AF621" s="7"/>
      <c r="AG621" s="7"/>
      <c r="AH621" s="7"/>
      <c r="AI621" s="7"/>
    </row>
    <row r="622" spans="1:35" ht="12.75" customHeight="1">
      <c r="A622" s="7"/>
      <c r="B622" s="7"/>
      <c r="C622" s="7"/>
      <c r="D622" s="7"/>
      <c r="E622" s="7"/>
      <c r="F622" s="7"/>
      <c r="G622" s="7"/>
      <c r="H622" s="7"/>
      <c r="I622" s="8"/>
      <c r="J622" s="8"/>
      <c r="P622" s="10"/>
      <c r="Q622" s="10"/>
      <c r="R622" s="10"/>
      <c r="S622" s="10"/>
      <c r="T622" s="10"/>
      <c r="U622" s="10"/>
      <c r="V622" s="10"/>
      <c r="W622" s="10"/>
      <c r="X622" s="10"/>
      <c r="Z622" s="10"/>
      <c r="AA622" s="7"/>
      <c r="AB622" s="7"/>
      <c r="AC622" s="7"/>
      <c r="AD622" s="7"/>
      <c r="AE622" s="7"/>
      <c r="AF622" s="7"/>
      <c r="AG622" s="7"/>
      <c r="AH622" s="7"/>
      <c r="AI622" s="7"/>
    </row>
    <row r="623" spans="1:35" ht="12.75" customHeight="1">
      <c r="A623" s="7"/>
      <c r="B623" s="7"/>
      <c r="C623" s="7"/>
      <c r="D623" s="7"/>
      <c r="E623" s="7"/>
      <c r="F623" s="7"/>
      <c r="G623" s="7"/>
      <c r="H623" s="7"/>
      <c r="I623" s="8"/>
      <c r="J623" s="8"/>
      <c r="P623" s="10"/>
      <c r="Q623" s="10"/>
      <c r="R623" s="10"/>
      <c r="S623" s="10"/>
      <c r="T623" s="10"/>
      <c r="U623" s="10"/>
      <c r="V623" s="10"/>
      <c r="W623" s="10"/>
      <c r="X623" s="10"/>
      <c r="Z623" s="10"/>
      <c r="AA623" s="7"/>
      <c r="AB623" s="7"/>
      <c r="AC623" s="7"/>
      <c r="AD623" s="7"/>
      <c r="AE623" s="7"/>
      <c r="AF623" s="7"/>
      <c r="AG623" s="7"/>
      <c r="AH623" s="7"/>
      <c r="AI623" s="7"/>
    </row>
    <row r="624" spans="1:35" ht="12.75" customHeight="1">
      <c r="A624" s="7"/>
      <c r="B624" s="7"/>
      <c r="C624" s="7"/>
      <c r="D624" s="7"/>
      <c r="E624" s="7"/>
      <c r="F624" s="7"/>
      <c r="G624" s="7"/>
      <c r="H624" s="7"/>
      <c r="I624" s="8"/>
      <c r="J624" s="8"/>
      <c r="P624" s="10"/>
      <c r="Q624" s="10"/>
      <c r="R624" s="10"/>
      <c r="S624" s="10"/>
      <c r="T624" s="10"/>
      <c r="U624" s="10"/>
      <c r="V624" s="10"/>
      <c r="W624" s="10"/>
      <c r="X624" s="10"/>
      <c r="Z624" s="10"/>
      <c r="AA624" s="7"/>
      <c r="AB624" s="7"/>
      <c r="AC624" s="7"/>
      <c r="AD624" s="7"/>
      <c r="AE624" s="7"/>
      <c r="AF624" s="7"/>
      <c r="AG624" s="7"/>
      <c r="AH624" s="7"/>
      <c r="AI624" s="7"/>
    </row>
    <row r="625" spans="1:35" ht="12.75" customHeight="1">
      <c r="A625" s="7"/>
      <c r="B625" s="7"/>
      <c r="C625" s="7"/>
      <c r="D625" s="7"/>
      <c r="E625" s="7"/>
      <c r="F625" s="7"/>
      <c r="G625" s="7"/>
      <c r="H625" s="7"/>
      <c r="I625" s="8"/>
      <c r="J625" s="8"/>
      <c r="P625" s="10"/>
      <c r="Q625" s="10"/>
      <c r="R625" s="10"/>
      <c r="S625" s="10"/>
      <c r="T625" s="10"/>
      <c r="U625" s="10"/>
      <c r="V625" s="10"/>
      <c r="W625" s="10"/>
      <c r="X625" s="10"/>
      <c r="Z625" s="10"/>
      <c r="AA625" s="7"/>
      <c r="AB625" s="7"/>
      <c r="AC625" s="7"/>
      <c r="AD625" s="7"/>
      <c r="AE625" s="7"/>
      <c r="AF625" s="7"/>
      <c r="AG625" s="7"/>
      <c r="AH625" s="7"/>
      <c r="AI625" s="7"/>
    </row>
    <row r="626" spans="1:35" ht="12.75" customHeight="1">
      <c r="A626" s="7"/>
      <c r="B626" s="7"/>
      <c r="C626" s="7"/>
      <c r="D626" s="7"/>
      <c r="E626" s="7"/>
      <c r="F626" s="7"/>
      <c r="G626" s="7"/>
      <c r="H626" s="7"/>
      <c r="I626" s="8"/>
      <c r="J626" s="8"/>
      <c r="P626" s="10"/>
      <c r="Q626" s="10"/>
      <c r="R626" s="10"/>
      <c r="S626" s="10"/>
      <c r="T626" s="10"/>
      <c r="U626" s="10"/>
      <c r="V626" s="10"/>
      <c r="W626" s="10"/>
      <c r="X626" s="10"/>
      <c r="Z626" s="10"/>
      <c r="AA626" s="7"/>
      <c r="AB626" s="7"/>
      <c r="AC626" s="7"/>
      <c r="AD626" s="7"/>
      <c r="AE626" s="7"/>
      <c r="AF626" s="7"/>
      <c r="AG626" s="7"/>
      <c r="AH626" s="7"/>
      <c r="AI626" s="7"/>
    </row>
    <row r="627" spans="1:35" ht="12.75" customHeight="1">
      <c r="A627" s="7"/>
      <c r="B627" s="7"/>
      <c r="C627" s="7"/>
      <c r="D627" s="7"/>
      <c r="E627" s="7"/>
      <c r="F627" s="7"/>
      <c r="G627" s="7"/>
      <c r="H627" s="7"/>
      <c r="I627" s="8"/>
      <c r="J627" s="8"/>
      <c r="P627" s="10"/>
      <c r="Q627" s="10"/>
      <c r="R627" s="10"/>
      <c r="S627" s="10"/>
      <c r="T627" s="10"/>
      <c r="U627" s="10"/>
      <c r="V627" s="10"/>
      <c r="W627" s="10"/>
      <c r="X627" s="10"/>
      <c r="Z627" s="10"/>
      <c r="AA627" s="7"/>
      <c r="AB627" s="7"/>
      <c r="AC627" s="7"/>
      <c r="AD627" s="7"/>
      <c r="AE627" s="7"/>
      <c r="AF627" s="7"/>
      <c r="AG627" s="7"/>
      <c r="AH627" s="7"/>
      <c r="AI627" s="7"/>
    </row>
    <row r="628" spans="1:35" ht="12.75" customHeight="1">
      <c r="A628" s="7"/>
      <c r="B628" s="7"/>
      <c r="C628" s="7"/>
      <c r="D628" s="7"/>
      <c r="E628" s="7"/>
      <c r="F628" s="7"/>
      <c r="G628" s="7"/>
      <c r="H628" s="7"/>
      <c r="I628" s="8"/>
      <c r="J628" s="8"/>
      <c r="P628" s="10"/>
      <c r="Q628" s="10"/>
      <c r="R628" s="10"/>
      <c r="S628" s="10"/>
      <c r="T628" s="10"/>
      <c r="U628" s="10"/>
      <c r="V628" s="10"/>
      <c r="W628" s="10"/>
      <c r="X628" s="10"/>
      <c r="Z628" s="10"/>
      <c r="AA628" s="7"/>
      <c r="AB628" s="7"/>
      <c r="AC628" s="7"/>
      <c r="AD628" s="7"/>
      <c r="AE628" s="7"/>
      <c r="AF628" s="7"/>
      <c r="AG628" s="7"/>
      <c r="AH628" s="7"/>
      <c r="AI628" s="7"/>
    </row>
    <row r="629" spans="1:35" ht="12.75" customHeight="1">
      <c r="A629" s="7"/>
      <c r="B629" s="7"/>
      <c r="C629" s="7"/>
      <c r="D629" s="7"/>
      <c r="E629" s="7"/>
      <c r="F629" s="7"/>
      <c r="G629" s="7"/>
      <c r="H629" s="7"/>
      <c r="I629" s="8"/>
      <c r="J629" s="8"/>
      <c r="P629" s="10"/>
      <c r="Q629" s="10"/>
      <c r="R629" s="10"/>
      <c r="S629" s="10"/>
      <c r="T629" s="10"/>
      <c r="U629" s="10"/>
      <c r="V629" s="10"/>
      <c r="W629" s="10"/>
      <c r="X629" s="10"/>
      <c r="Z629" s="10"/>
      <c r="AA629" s="7"/>
      <c r="AB629" s="7"/>
      <c r="AC629" s="7"/>
      <c r="AD629" s="7"/>
      <c r="AE629" s="7"/>
      <c r="AF629" s="7"/>
      <c r="AG629" s="7"/>
      <c r="AH629" s="7"/>
      <c r="AI629" s="7"/>
    </row>
    <row r="630" spans="1:35" ht="12.75" customHeight="1">
      <c r="A630" s="7"/>
      <c r="B630" s="7"/>
      <c r="C630" s="7"/>
      <c r="D630" s="7"/>
      <c r="E630" s="7"/>
      <c r="F630" s="7"/>
      <c r="G630" s="7"/>
      <c r="H630" s="7"/>
      <c r="I630" s="8"/>
      <c r="J630" s="8"/>
      <c r="P630" s="10"/>
      <c r="Q630" s="10"/>
      <c r="R630" s="10"/>
      <c r="S630" s="10"/>
      <c r="T630" s="10"/>
      <c r="U630" s="10"/>
      <c r="V630" s="10"/>
      <c r="W630" s="10"/>
      <c r="X630" s="10"/>
      <c r="Z630" s="10"/>
      <c r="AA630" s="7"/>
      <c r="AB630" s="7"/>
      <c r="AC630" s="7"/>
      <c r="AD630" s="7"/>
      <c r="AE630" s="7"/>
      <c r="AF630" s="7"/>
      <c r="AG630" s="7"/>
      <c r="AH630" s="7"/>
      <c r="AI630" s="7"/>
    </row>
    <row r="631" spans="1:35" ht="12.75" customHeight="1">
      <c r="A631" s="7"/>
      <c r="B631" s="7"/>
      <c r="C631" s="7"/>
      <c r="D631" s="7"/>
      <c r="E631" s="7"/>
      <c r="F631" s="7"/>
      <c r="G631" s="7"/>
      <c r="H631" s="7"/>
      <c r="I631" s="8"/>
      <c r="J631" s="8"/>
      <c r="P631" s="10"/>
      <c r="Q631" s="10"/>
      <c r="R631" s="10"/>
      <c r="S631" s="10"/>
      <c r="T631" s="10"/>
      <c r="U631" s="10"/>
      <c r="V631" s="10"/>
      <c r="W631" s="10"/>
      <c r="X631" s="10"/>
      <c r="Z631" s="10"/>
      <c r="AA631" s="7"/>
      <c r="AB631" s="7"/>
      <c r="AC631" s="7"/>
      <c r="AD631" s="7"/>
      <c r="AE631" s="7"/>
      <c r="AF631" s="7"/>
      <c r="AG631" s="7"/>
      <c r="AH631" s="7"/>
      <c r="AI631" s="7"/>
    </row>
    <row r="632" spans="1:35" ht="12.75" customHeight="1">
      <c r="A632" s="7"/>
      <c r="B632" s="7"/>
      <c r="C632" s="7"/>
      <c r="D632" s="7"/>
      <c r="E632" s="7"/>
      <c r="F632" s="7"/>
      <c r="G632" s="7"/>
      <c r="H632" s="7"/>
      <c r="I632" s="8"/>
      <c r="J632" s="8"/>
      <c r="P632" s="10"/>
      <c r="Q632" s="10"/>
      <c r="R632" s="10"/>
      <c r="S632" s="10"/>
      <c r="T632" s="10"/>
      <c r="U632" s="10"/>
      <c r="V632" s="10"/>
      <c r="W632" s="10"/>
      <c r="X632" s="10"/>
      <c r="Z632" s="10"/>
      <c r="AA632" s="7"/>
      <c r="AB632" s="7"/>
      <c r="AC632" s="7"/>
      <c r="AD632" s="7"/>
      <c r="AE632" s="7"/>
      <c r="AF632" s="7"/>
      <c r="AG632" s="7"/>
      <c r="AH632" s="7"/>
      <c r="AI632" s="7"/>
    </row>
    <row r="633" spans="1:35" ht="12.75" customHeight="1">
      <c r="A633" s="7"/>
      <c r="B633" s="7"/>
      <c r="C633" s="7"/>
      <c r="D633" s="7"/>
      <c r="E633" s="7"/>
      <c r="F633" s="7"/>
      <c r="G633" s="7"/>
      <c r="H633" s="7"/>
      <c r="I633" s="8"/>
      <c r="J633" s="8"/>
      <c r="P633" s="10"/>
      <c r="Q633" s="10"/>
      <c r="R633" s="10"/>
      <c r="S633" s="10"/>
      <c r="T633" s="10"/>
      <c r="U633" s="10"/>
      <c r="V633" s="10"/>
      <c r="W633" s="10"/>
      <c r="X633" s="10"/>
      <c r="Z633" s="10"/>
      <c r="AA633" s="7"/>
      <c r="AB633" s="7"/>
      <c r="AC633" s="7"/>
      <c r="AD633" s="7"/>
      <c r="AE633" s="7"/>
      <c r="AF633" s="7"/>
      <c r="AG633" s="7"/>
      <c r="AH633" s="7"/>
      <c r="AI633" s="7"/>
    </row>
    <row r="634" spans="1:35" ht="12.75" customHeight="1">
      <c r="A634" s="7"/>
      <c r="B634" s="7"/>
      <c r="C634" s="7"/>
      <c r="D634" s="7"/>
      <c r="E634" s="7"/>
      <c r="F634" s="7"/>
      <c r="G634" s="7"/>
      <c r="H634" s="7"/>
      <c r="I634" s="8"/>
      <c r="J634" s="8"/>
      <c r="P634" s="10"/>
      <c r="Q634" s="10"/>
      <c r="R634" s="10"/>
      <c r="S634" s="10"/>
      <c r="T634" s="10"/>
      <c r="U634" s="10"/>
      <c r="V634" s="10"/>
      <c r="W634" s="10"/>
      <c r="X634" s="10"/>
      <c r="Z634" s="10"/>
      <c r="AA634" s="7"/>
      <c r="AB634" s="7"/>
      <c r="AC634" s="7"/>
      <c r="AD634" s="7"/>
      <c r="AE634" s="7"/>
      <c r="AF634" s="7"/>
      <c r="AG634" s="7"/>
      <c r="AH634" s="7"/>
      <c r="AI634" s="7"/>
    </row>
    <row r="635" spans="1:35" ht="12.75" customHeight="1">
      <c r="A635" s="7"/>
      <c r="B635" s="7"/>
      <c r="C635" s="7"/>
      <c r="D635" s="7"/>
      <c r="E635" s="7"/>
      <c r="F635" s="7"/>
      <c r="G635" s="7"/>
      <c r="H635" s="7"/>
      <c r="I635" s="8"/>
      <c r="J635" s="8"/>
      <c r="P635" s="10"/>
      <c r="Q635" s="10"/>
      <c r="R635" s="10"/>
      <c r="S635" s="10"/>
      <c r="T635" s="10"/>
      <c r="U635" s="10"/>
      <c r="V635" s="10"/>
      <c r="W635" s="10"/>
      <c r="X635" s="10"/>
      <c r="Z635" s="10"/>
      <c r="AA635" s="7"/>
      <c r="AB635" s="7"/>
      <c r="AC635" s="7"/>
      <c r="AD635" s="7"/>
      <c r="AE635" s="7"/>
      <c r="AF635" s="7"/>
      <c r="AG635" s="7"/>
      <c r="AH635" s="7"/>
      <c r="AI635" s="7"/>
    </row>
    <row r="636" spans="1:35" ht="12.75" customHeight="1">
      <c r="A636" s="7"/>
      <c r="B636" s="7"/>
      <c r="C636" s="7"/>
      <c r="D636" s="7"/>
      <c r="E636" s="7"/>
      <c r="F636" s="7"/>
      <c r="G636" s="7"/>
      <c r="H636" s="7"/>
      <c r="I636" s="8"/>
      <c r="J636" s="8"/>
      <c r="P636" s="10"/>
      <c r="Q636" s="10"/>
      <c r="R636" s="10"/>
      <c r="S636" s="10"/>
      <c r="T636" s="10"/>
      <c r="U636" s="10"/>
      <c r="V636" s="10"/>
      <c r="W636" s="10"/>
      <c r="X636" s="10"/>
      <c r="Z636" s="10"/>
      <c r="AA636" s="7"/>
      <c r="AB636" s="7"/>
      <c r="AC636" s="7"/>
      <c r="AD636" s="7"/>
      <c r="AE636" s="7"/>
      <c r="AF636" s="7"/>
      <c r="AG636" s="7"/>
      <c r="AH636" s="7"/>
      <c r="AI636" s="7"/>
    </row>
    <row r="637" spans="1:35" ht="12.75" customHeight="1">
      <c r="A637" s="7"/>
      <c r="B637" s="7"/>
      <c r="C637" s="7"/>
      <c r="D637" s="7"/>
      <c r="E637" s="7"/>
      <c r="F637" s="7"/>
      <c r="G637" s="7"/>
      <c r="H637" s="7"/>
      <c r="I637" s="8"/>
      <c r="J637" s="8"/>
      <c r="P637" s="10"/>
      <c r="Q637" s="10"/>
      <c r="R637" s="10"/>
      <c r="S637" s="10"/>
      <c r="T637" s="10"/>
      <c r="U637" s="10"/>
      <c r="V637" s="10"/>
      <c r="W637" s="10"/>
      <c r="X637" s="10"/>
      <c r="Z637" s="10"/>
      <c r="AA637" s="7"/>
      <c r="AB637" s="7"/>
      <c r="AC637" s="7"/>
      <c r="AD637" s="7"/>
      <c r="AE637" s="7"/>
      <c r="AF637" s="7"/>
      <c r="AG637" s="7"/>
      <c r="AH637" s="7"/>
      <c r="AI637" s="7"/>
    </row>
    <row r="638" spans="1:35" ht="12.75" customHeight="1">
      <c r="A638" s="7"/>
      <c r="B638" s="7"/>
      <c r="C638" s="7"/>
      <c r="D638" s="7"/>
      <c r="E638" s="7"/>
      <c r="F638" s="7"/>
      <c r="G638" s="7"/>
      <c r="H638" s="7"/>
      <c r="I638" s="8"/>
      <c r="J638" s="8"/>
      <c r="P638" s="10"/>
      <c r="Q638" s="10"/>
      <c r="R638" s="10"/>
      <c r="S638" s="10"/>
      <c r="T638" s="10"/>
      <c r="U638" s="10"/>
      <c r="V638" s="10"/>
      <c r="W638" s="10"/>
      <c r="X638" s="10"/>
      <c r="Z638" s="10"/>
      <c r="AA638" s="7"/>
      <c r="AB638" s="7"/>
      <c r="AC638" s="7"/>
      <c r="AD638" s="7"/>
      <c r="AE638" s="7"/>
      <c r="AF638" s="7"/>
      <c r="AG638" s="7"/>
      <c r="AH638" s="7"/>
      <c r="AI638" s="7"/>
    </row>
    <row r="639" spans="1:35" ht="12.75" customHeight="1">
      <c r="A639" s="7"/>
      <c r="B639" s="7"/>
      <c r="C639" s="7"/>
      <c r="D639" s="7"/>
      <c r="E639" s="7"/>
      <c r="F639" s="7"/>
      <c r="G639" s="7"/>
      <c r="H639" s="7"/>
      <c r="I639" s="8"/>
      <c r="J639" s="8"/>
      <c r="P639" s="10"/>
      <c r="Q639" s="10"/>
      <c r="R639" s="10"/>
      <c r="S639" s="10"/>
      <c r="T639" s="10"/>
      <c r="U639" s="10"/>
      <c r="V639" s="10"/>
      <c r="W639" s="10"/>
      <c r="X639" s="10"/>
      <c r="Z639" s="10"/>
      <c r="AA639" s="7"/>
      <c r="AB639" s="7"/>
      <c r="AC639" s="7"/>
      <c r="AD639" s="7"/>
      <c r="AE639" s="7"/>
      <c r="AF639" s="7"/>
      <c r="AG639" s="7"/>
      <c r="AH639" s="7"/>
      <c r="AI639" s="7"/>
    </row>
    <row r="640" spans="1:35" ht="12.75" customHeight="1">
      <c r="A640" s="7"/>
      <c r="B640" s="7"/>
      <c r="C640" s="7"/>
      <c r="D640" s="7"/>
      <c r="E640" s="7"/>
      <c r="F640" s="7"/>
      <c r="G640" s="7"/>
      <c r="H640" s="7"/>
      <c r="I640" s="8"/>
      <c r="J640" s="8"/>
      <c r="P640" s="10"/>
      <c r="Q640" s="10"/>
      <c r="R640" s="10"/>
      <c r="S640" s="10"/>
      <c r="T640" s="10"/>
      <c r="U640" s="10"/>
      <c r="V640" s="10"/>
      <c r="W640" s="10"/>
      <c r="X640" s="10"/>
      <c r="Z640" s="10"/>
      <c r="AA640" s="7"/>
      <c r="AB640" s="7"/>
      <c r="AC640" s="7"/>
      <c r="AD640" s="7"/>
      <c r="AE640" s="7"/>
      <c r="AF640" s="7"/>
      <c r="AG640" s="7"/>
      <c r="AH640" s="7"/>
      <c r="AI640" s="7"/>
    </row>
    <row r="641" spans="1:35" ht="12.75" customHeight="1">
      <c r="A641" s="7"/>
      <c r="B641" s="7"/>
      <c r="C641" s="7"/>
      <c r="D641" s="7"/>
      <c r="E641" s="7"/>
      <c r="F641" s="7"/>
      <c r="G641" s="7"/>
      <c r="H641" s="7"/>
      <c r="I641" s="8"/>
      <c r="J641" s="8"/>
      <c r="P641" s="10"/>
      <c r="Q641" s="10"/>
      <c r="R641" s="10"/>
      <c r="S641" s="10"/>
      <c r="T641" s="10"/>
      <c r="U641" s="10"/>
      <c r="V641" s="10"/>
      <c r="W641" s="10"/>
      <c r="X641" s="10"/>
      <c r="Z641" s="10"/>
      <c r="AA641" s="7"/>
      <c r="AB641" s="7"/>
      <c r="AC641" s="7"/>
      <c r="AD641" s="7"/>
      <c r="AE641" s="7"/>
      <c r="AF641" s="7"/>
      <c r="AG641" s="7"/>
      <c r="AH641" s="7"/>
      <c r="AI641" s="7"/>
    </row>
    <row r="642" spans="1:35" ht="12.75" customHeight="1">
      <c r="A642" s="7"/>
      <c r="B642" s="7"/>
      <c r="C642" s="7"/>
      <c r="D642" s="7"/>
      <c r="E642" s="7"/>
      <c r="F642" s="7"/>
      <c r="G642" s="7"/>
      <c r="H642" s="7"/>
      <c r="I642" s="8"/>
      <c r="J642" s="8"/>
      <c r="P642" s="10"/>
      <c r="Q642" s="10"/>
      <c r="R642" s="10"/>
      <c r="S642" s="10"/>
      <c r="T642" s="10"/>
      <c r="U642" s="10"/>
      <c r="V642" s="10"/>
      <c r="W642" s="10"/>
      <c r="X642" s="10"/>
      <c r="Z642" s="10"/>
      <c r="AA642" s="7"/>
      <c r="AB642" s="7"/>
      <c r="AC642" s="7"/>
      <c r="AD642" s="7"/>
      <c r="AE642" s="7"/>
      <c r="AF642" s="7"/>
      <c r="AG642" s="7"/>
      <c r="AH642" s="7"/>
      <c r="AI642" s="7"/>
    </row>
    <row r="643" spans="1:35" ht="12.75" customHeight="1">
      <c r="A643" s="7"/>
      <c r="B643" s="7"/>
      <c r="C643" s="7"/>
      <c r="D643" s="7"/>
      <c r="E643" s="7"/>
      <c r="F643" s="7"/>
      <c r="G643" s="7"/>
      <c r="H643" s="7"/>
      <c r="I643" s="8"/>
      <c r="J643" s="8"/>
      <c r="P643" s="10"/>
      <c r="Q643" s="10"/>
      <c r="R643" s="10"/>
      <c r="S643" s="10"/>
      <c r="T643" s="10"/>
      <c r="U643" s="10"/>
      <c r="V643" s="10"/>
      <c r="W643" s="10"/>
      <c r="X643" s="10"/>
      <c r="Z643" s="10"/>
      <c r="AA643" s="7"/>
      <c r="AB643" s="7"/>
      <c r="AC643" s="7"/>
      <c r="AD643" s="7"/>
      <c r="AE643" s="7"/>
      <c r="AF643" s="7"/>
      <c r="AG643" s="7"/>
      <c r="AH643" s="7"/>
      <c r="AI643" s="7"/>
    </row>
    <row r="644" spans="1:35" ht="12.75" customHeight="1">
      <c r="A644" s="7"/>
      <c r="B644" s="7"/>
      <c r="C644" s="7"/>
      <c r="D644" s="7"/>
      <c r="E644" s="7"/>
      <c r="F644" s="7"/>
      <c r="G644" s="7"/>
      <c r="H644" s="7"/>
      <c r="I644" s="8"/>
      <c r="J644" s="8"/>
      <c r="P644" s="10"/>
      <c r="Q644" s="10"/>
      <c r="R644" s="10"/>
      <c r="S644" s="10"/>
      <c r="T644" s="10"/>
      <c r="U644" s="10"/>
      <c r="V644" s="10"/>
      <c r="W644" s="10"/>
      <c r="X644" s="10"/>
      <c r="Z644" s="10"/>
      <c r="AA644" s="7"/>
      <c r="AB644" s="7"/>
      <c r="AC644" s="7"/>
      <c r="AD644" s="7"/>
      <c r="AE644" s="7"/>
      <c r="AF644" s="7"/>
      <c r="AG644" s="7"/>
      <c r="AH644" s="7"/>
      <c r="AI644" s="7"/>
    </row>
    <row r="645" spans="1:35" ht="12.75" customHeight="1">
      <c r="A645" s="7"/>
      <c r="B645" s="7"/>
      <c r="C645" s="7"/>
      <c r="D645" s="7"/>
      <c r="E645" s="7"/>
      <c r="F645" s="7"/>
      <c r="G645" s="7"/>
      <c r="H645" s="7"/>
      <c r="I645" s="8"/>
      <c r="J645" s="8"/>
      <c r="P645" s="10"/>
      <c r="Q645" s="10"/>
      <c r="R645" s="10"/>
      <c r="S645" s="10"/>
      <c r="T645" s="10"/>
      <c r="U645" s="10"/>
      <c r="V645" s="10"/>
      <c r="W645" s="10"/>
      <c r="X645" s="10"/>
      <c r="Z645" s="10"/>
      <c r="AA645" s="7"/>
      <c r="AB645" s="7"/>
      <c r="AC645" s="7"/>
      <c r="AD645" s="7"/>
      <c r="AE645" s="7"/>
      <c r="AF645" s="7"/>
      <c r="AG645" s="7"/>
      <c r="AH645" s="7"/>
      <c r="AI645" s="7"/>
    </row>
    <row r="646" spans="1:35" ht="12.75" customHeight="1">
      <c r="A646" s="7"/>
      <c r="B646" s="7"/>
      <c r="C646" s="7"/>
      <c r="D646" s="7"/>
      <c r="E646" s="7"/>
      <c r="F646" s="7"/>
      <c r="G646" s="7"/>
      <c r="H646" s="7"/>
      <c r="I646" s="8"/>
      <c r="J646" s="8"/>
      <c r="P646" s="10"/>
      <c r="Q646" s="10"/>
      <c r="R646" s="10"/>
      <c r="S646" s="10"/>
      <c r="T646" s="10"/>
      <c r="U646" s="10"/>
      <c r="V646" s="10"/>
      <c r="W646" s="10"/>
      <c r="X646" s="10"/>
      <c r="Z646" s="10"/>
      <c r="AA646" s="7"/>
      <c r="AB646" s="7"/>
      <c r="AC646" s="7"/>
      <c r="AD646" s="7"/>
      <c r="AE646" s="7"/>
      <c r="AF646" s="7"/>
      <c r="AG646" s="7"/>
      <c r="AH646" s="7"/>
      <c r="AI646" s="7"/>
    </row>
    <row r="647" spans="1:35" ht="12.75" customHeight="1">
      <c r="A647" s="7"/>
      <c r="B647" s="7"/>
      <c r="C647" s="7"/>
      <c r="D647" s="7"/>
      <c r="E647" s="7"/>
      <c r="F647" s="7"/>
      <c r="G647" s="7"/>
      <c r="H647" s="7"/>
      <c r="I647" s="8"/>
      <c r="J647" s="8"/>
      <c r="P647" s="10"/>
      <c r="Q647" s="10"/>
      <c r="R647" s="10"/>
      <c r="S647" s="10"/>
      <c r="T647" s="10"/>
      <c r="U647" s="10"/>
      <c r="V647" s="10"/>
      <c r="W647" s="10"/>
      <c r="X647" s="10"/>
      <c r="Z647" s="10"/>
      <c r="AA647" s="7"/>
      <c r="AB647" s="7"/>
      <c r="AC647" s="7"/>
      <c r="AD647" s="7"/>
      <c r="AE647" s="7"/>
      <c r="AF647" s="7"/>
      <c r="AG647" s="7"/>
      <c r="AH647" s="7"/>
      <c r="AI647" s="7"/>
    </row>
    <row r="648" spans="1:35" ht="12.75" customHeight="1">
      <c r="A648" s="7"/>
      <c r="B648" s="7"/>
      <c r="C648" s="7"/>
      <c r="D648" s="7"/>
      <c r="E648" s="7"/>
      <c r="F648" s="7"/>
      <c r="G648" s="7"/>
      <c r="H648" s="7"/>
      <c r="I648" s="8"/>
      <c r="J648" s="8"/>
      <c r="P648" s="10"/>
      <c r="Q648" s="10"/>
      <c r="R648" s="10"/>
      <c r="S648" s="10"/>
      <c r="T648" s="10"/>
      <c r="U648" s="10"/>
      <c r="V648" s="10"/>
      <c r="W648" s="10"/>
      <c r="X648" s="10"/>
      <c r="Z648" s="10"/>
      <c r="AA648" s="7"/>
      <c r="AB648" s="7"/>
      <c r="AC648" s="7"/>
      <c r="AD648" s="7"/>
      <c r="AE648" s="7"/>
      <c r="AF648" s="7"/>
      <c r="AG648" s="7"/>
      <c r="AH648" s="7"/>
      <c r="AI648" s="7"/>
    </row>
    <row r="649" spans="1:35" ht="12.75" customHeight="1">
      <c r="A649" s="7"/>
      <c r="B649" s="7"/>
      <c r="C649" s="7"/>
      <c r="D649" s="7"/>
      <c r="E649" s="7"/>
      <c r="F649" s="7"/>
      <c r="G649" s="7"/>
      <c r="H649" s="7"/>
      <c r="I649" s="8"/>
      <c r="J649" s="8"/>
      <c r="P649" s="10"/>
      <c r="Q649" s="10"/>
      <c r="R649" s="10"/>
      <c r="S649" s="10"/>
      <c r="T649" s="10"/>
      <c r="U649" s="10"/>
      <c r="V649" s="10"/>
      <c r="W649" s="10"/>
      <c r="X649" s="10"/>
      <c r="Z649" s="10"/>
      <c r="AA649" s="7"/>
      <c r="AB649" s="7"/>
      <c r="AC649" s="7"/>
      <c r="AD649" s="7"/>
      <c r="AE649" s="7"/>
      <c r="AF649" s="7"/>
      <c r="AG649" s="7"/>
      <c r="AH649" s="7"/>
      <c r="AI649" s="7"/>
    </row>
    <row r="650" spans="1:35" ht="12.75" customHeight="1">
      <c r="A650" s="7"/>
      <c r="B650" s="7"/>
      <c r="C650" s="7"/>
      <c r="D650" s="7"/>
      <c r="E650" s="7"/>
      <c r="F650" s="7"/>
      <c r="G650" s="7"/>
      <c r="H650" s="7"/>
      <c r="I650" s="8"/>
      <c r="J650" s="8"/>
      <c r="P650" s="10"/>
      <c r="Q650" s="10"/>
      <c r="R650" s="10"/>
      <c r="S650" s="10"/>
      <c r="T650" s="10"/>
      <c r="U650" s="10"/>
      <c r="V650" s="10"/>
      <c r="W650" s="10"/>
      <c r="X650" s="10"/>
      <c r="Z650" s="10"/>
      <c r="AA650" s="7"/>
      <c r="AB650" s="7"/>
      <c r="AC650" s="7"/>
      <c r="AD650" s="7"/>
      <c r="AE650" s="7"/>
      <c r="AF650" s="7"/>
      <c r="AG650" s="7"/>
      <c r="AH650" s="7"/>
      <c r="AI650" s="7"/>
    </row>
    <row r="651" spans="1:35" ht="12.75" customHeight="1">
      <c r="A651" s="7"/>
      <c r="B651" s="7"/>
      <c r="C651" s="7"/>
      <c r="D651" s="7"/>
      <c r="E651" s="7"/>
      <c r="F651" s="7"/>
      <c r="G651" s="7"/>
      <c r="H651" s="7"/>
      <c r="I651" s="8"/>
      <c r="J651" s="8"/>
      <c r="P651" s="10"/>
      <c r="Q651" s="10"/>
      <c r="R651" s="10"/>
      <c r="S651" s="10"/>
      <c r="T651" s="10"/>
      <c r="U651" s="10"/>
      <c r="V651" s="10"/>
      <c r="W651" s="10"/>
      <c r="X651" s="10"/>
      <c r="Z651" s="10"/>
      <c r="AA651" s="7"/>
      <c r="AB651" s="7"/>
      <c r="AC651" s="7"/>
      <c r="AD651" s="7"/>
      <c r="AE651" s="7"/>
      <c r="AF651" s="7"/>
      <c r="AG651" s="7"/>
      <c r="AH651" s="7"/>
      <c r="AI651" s="7"/>
    </row>
    <row r="652" spans="1:35" ht="12.75" customHeight="1">
      <c r="A652" s="7"/>
      <c r="B652" s="7"/>
      <c r="C652" s="7"/>
      <c r="D652" s="7"/>
      <c r="E652" s="7"/>
      <c r="F652" s="7"/>
      <c r="G652" s="7"/>
      <c r="H652" s="7"/>
      <c r="I652" s="8"/>
      <c r="J652" s="8"/>
      <c r="P652" s="10"/>
      <c r="Q652" s="10"/>
      <c r="R652" s="10"/>
      <c r="S652" s="10"/>
      <c r="T652" s="10"/>
      <c r="U652" s="10"/>
      <c r="V652" s="10"/>
      <c r="W652" s="10"/>
      <c r="X652" s="10"/>
      <c r="Z652" s="10"/>
      <c r="AA652" s="7"/>
      <c r="AB652" s="7"/>
      <c r="AC652" s="7"/>
      <c r="AD652" s="7"/>
      <c r="AE652" s="7"/>
      <c r="AF652" s="7"/>
      <c r="AG652" s="7"/>
      <c r="AH652" s="7"/>
      <c r="AI652" s="7"/>
    </row>
    <row r="653" spans="1:35" ht="12.75" customHeight="1">
      <c r="A653" s="7"/>
      <c r="B653" s="7"/>
      <c r="C653" s="7"/>
      <c r="D653" s="7"/>
      <c r="E653" s="7"/>
      <c r="F653" s="7"/>
      <c r="G653" s="7"/>
      <c r="H653" s="7"/>
      <c r="I653" s="8"/>
      <c r="J653" s="8"/>
      <c r="P653" s="10"/>
      <c r="Q653" s="10"/>
      <c r="R653" s="10"/>
      <c r="S653" s="10"/>
      <c r="T653" s="10"/>
      <c r="U653" s="10"/>
      <c r="V653" s="10"/>
      <c r="W653" s="10"/>
      <c r="X653" s="10"/>
      <c r="Z653" s="10"/>
      <c r="AA653" s="7"/>
      <c r="AB653" s="7"/>
      <c r="AC653" s="7"/>
      <c r="AD653" s="7"/>
      <c r="AE653" s="7"/>
      <c r="AF653" s="7"/>
      <c r="AG653" s="7"/>
      <c r="AH653" s="7"/>
      <c r="AI653" s="7"/>
    </row>
    <row r="654" spans="1:35" ht="12.75" customHeight="1">
      <c r="A654" s="7"/>
      <c r="B654" s="7"/>
      <c r="C654" s="7"/>
      <c r="D654" s="7"/>
      <c r="E654" s="7"/>
      <c r="F654" s="7"/>
      <c r="G654" s="7"/>
      <c r="H654" s="7"/>
      <c r="I654" s="8"/>
      <c r="J654" s="8"/>
      <c r="P654" s="10"/>
      <c r="Q654" s="10"/>
      <c r="R654" s="10"/>
      <c r="S654" s="10"/>
      <c r="T654" s="10"/>
      <c r="U654" s="10"/>
      <c r="V654" s="10"/>
      <c r="W654" s="10"/>
      <c r="X654" s="10"/>
      <c r="Z654" s="10"/>
      <c r="AA654" s="7"/>
      <c r="AB654" s="7"/>
      <c r="AC654" s="7"/>
      <c r="AD654" s="7"/>
      <c r="AE654" s="7"/>
      <c r="AF654" s="7"/>
      <c r="AG654" s="7"/>
      <c r="AH654" s="7"/>
      <c r="AI654" s="7"/>
    </row>
    <row r="655" spans="1:35" ht="12.75" customHeight="1">
      <c r="A655" s="7"/>
      <c r="B655" s="7"/>
      <c r="C655" s="7"/>
      <c r="D655" s="7"/>
      <c r="E655" s="7"/>
      <c r="F655" s="7"/>
      <c r="G655" s="7"/>
      <c r="H655" s="7"/>
      <c r="I655" s="8"/>
      <c r="J655" s="8"/>
      <c r="P655" s="10"/>
      <c r="Q655" s="10"/>
      <c r="R655" s="10"/>
      <c r="S655" s="10"/>
      <c r="T655" s="10"/>
      <c r="U655" s="10"/>
      <c r="V655" s="10"/>
      <c r="W655" s="10"/>
      <c r="X655" s="10"/>
      <c r="Z655" s="10"/>
      <c r="AA655" s="7"/>
      <c r="AB655" s="7"/>
      <c r="AC655" s="7"/>
      <c r="AD655" s="7"/>
      <c r="AE655" s="7"/>
      <c r="AF655" s="7"/>
      <c r="AG655" s="7"/>
      <c r="AH655" s="7"/>
      <c r="AI655" s="7"/>
    </row>
    <row r="656" spans="1:35" ht="12.75" customHeight="1">
      <c r="A656" s="7"/>
      <c r="B656" s="7"/>
      <c r="C656" s="7"/>
      <c r="D656" s="7"/>
      <c r="E656" s="7"/>
      <c r="F656" s="7"/>
      <c r="G656" s="7"/>
      <c r="H656" s="7"/>
      <c r="I656" s="8"/>
      <c r="J656" s="8"/>
      <c r="P656" s="10"/>
      <c r="Q656" s="10"/>
      <c r="R656" s="10"/>
      <c r="S656" s="10"/>
      <c r="T656" s="10"/>
      <c r="U656" s="10"/>
      <c r="V656" s="10"/>
      <c r="W656" s="10"/>
      <c r="X656" s="10"/>
      <c r="Z656" s="10"/>
      <c r="AA656" s="7"/>
      <c r="AB656" s="7"/>
      <c r="AC656" s="7"/>
      <c r="AD656" s="7"/>
      <c r="AE656" s="7"/>
      <c r="AF656" s="7"/>
      <c r="AG656" s="7"/>
      <c r="AH656" s="7"/>
      <c r="AI656" s="7"/>
    </row>
    <row r="657" spans="1:35" ht="12.75" customHeight="1">
      <c r="A657" s="7"/>
      <c r="B657" s="7"/>
      <c r="C657" s="7"/>
      <c r="D657" s="7"/>
      <c r="E657" s="7"/>
      <c r="F657" s="7"/>
      <c r="G657" s="7"/>
      <c r="H657" s="7"/>
      <c r="I657" s="8"/>
      <c r="J657" s="8"/>
      <c r="P657" s="10"/>
      <c r="Q657" s="10"/>
      <c r="R657" s="10"/>
      <c r="S657" s="10"/>
      <c r="T657" s="10"/>
      <c r="U657" s="10"/>
      <c r="V657" s="10"/>
      <c r="W657" s="10"/>
      <c r="X657" s="10"/>
      <c r="Z657" s="10"/>
      <c r="AA657" s="7"/>
      <c r="AB657" s="7"/>
      <c r="AC657" s="7"/>
      <c r="AD657" s="7"/>
      <c r="AE657" s="7"/>
      <c r="AF657" s="7"/>
      <c r="AG657" s="7"/>
      <c r="AH657" s="7"/>
      <c r="AI657" s="7"/>
    </row>
    <row r="658" spans="1:35" ht="12.75" customHeight="1">
      <c r="A658" s="7"/>
      <c r="B658" s="7"/>
      <c r="C658" s="7"/>
      <c r="D658" s="7"/>
      <c r="E658" s="7"/>
      <c r="F658" s="7"/>
      <c r="G658" s="7"/>
      <c r="H658" s="7"/>
      <c r="I658" s="8"/>
      <c r="J658" s="8"/>
      <c r="P658" s="10"/>
      <c r="Q658" s="10"/>
      <c r="R658" s="10"/>
      <c r="S658" s="10"/>
      <c r="T658" s="10"/>
      <c r="U658" s="10"/>
      <c r="V658" s="10"/>
      <c r="W658" s="10"/>
      <c r="X658" s="10"/>
      <c r="Z658" s="10"/>
      <c r="AA658" s="7"/>
      <c r="AB658" s="7"/>
      <c r="AC658" s="7"/>
      <c r="AD658" s="7"/>
      <c r="AE658" s="7"/>
      <c r="AF658" s="7"/>
      <c r="AG658" s="7"/>
      <c r="AH658" s="7"/>
      <c r="AI658" s="7"/>
    </row>
    <row r="659" spans="1:35" ht="12.75" customHeight="1">
      <c r="A659" s="7"/>
      <c r="B659" s="7"/>
      <c r="C659" s="7"/>
      <c r="D659" s="7"/>
      <c r="E659" s="7"/>
      <c r="F659" s="7"/>
      <c r="G659" s="7"/>
      <c r="H659" s="7"/>
      <c r="I659" s="8"/>
      <c r="J659" s="8"/>
      <c r="P659" s="10"/>
      <c r="Q659" s="10"/>
      <c r="R659" s="10"/>
      <c r="S659" s="10"/>
      <c r="T659" s="10"/>
      <c r="U659" s="10"/>
      <c r="V659" s="10"/>
      <c r="W659" s="10"/>
      <c r="X659" s="10"/>
      <c r="Z659" s="10"/>
      <c r="AA659" s="7"/>
      <c r="AB659" s="7"/>
      <c r="AC659" s="7"/>
      <c r="AD659" s="7"/>
      <c r="AE659" s="7"/>
      <c r="AF659" s="7"/>
      <c r="AG659" s="7"/>
      <c r="AH659" s="7"/>
      <c r="AI659" s="7"/>
    </row>
    <row r="660" spans="1:35" ht="12.75" customHeight="1">
      <c r="A660" s="7"/>
      <c r="B660" s="7"/>
      <c r="C660" s="7"/>
      <c r="D660" s="7"/>
      <c r="E660" s="7"/>
      <c r="F660" s="7"/>
      <c r="G660" s="7"/>
      <c r="H660" s="7"/>
      <c r="I660" s="8"/>
      <c r="J660" s="8"/>
      <c r="P660" s="10"/>
      <c r="Q660" s="10"/>
      <c r="R660" s="10"/>
      <c r="S660" s="10"/>
      <c r="T660" s="10"/>
      <c r="U660" s="10"/>
      <c r="V660" s="10"/>
      <c r="W660" s="10"/>
      <c r="X660" s="10"/>
      <c r="Z660" s="10"/>
      <c r="AA660" s="7"/>
      <c r="AB660" s="7"/>
      <c r="AC660" s="7"/>
      <c r="AD660" s="7"/>
      <c r="AE660" s="7"/>
      <c r="AF660" s="7"/>
      <c r="AG660" s="7"/>
      <c r="AH660" s="7"/>
      <c r="AI660" s="7"/>
    </row>
    <row r="661" spans="1:35" ht="12.75" customHeight="1">
      <c r="A661" s="7"/>
      <c r="B661" s="7"/>
      <c r="C661" s="7"/>
      <c r="D661" s="7"/>
      <c r="E661" s="7"/>
      <c r="F661" s="7"/>
      <c r="G661" s="7"/>
      <c r="H661" s="7"/>
      <c r="I661" s="8"/>
      <c r="J661" s="8"/>
      <c r="P661" s="10"/>
      <c r="Q661" s="10"/>
      <c r="R661" s="10"/>
      <c r="S661" s="10"/>
      <c r="T661" s="10"/>
      <c r="U661" s="10"/>
      <c r="V661" s="10"/>
      <c r="W661" s="10"/>
      <c r="X661" s="10"/>
      <c r="Z661" s="10"/>
      <c r="AA661" s="7"/>
      <c r="AB661" s="7"/>
      <c r="AC661" s="7"/>
      <c r="AD661" s="7"/>
      <c r="AE661" s="7"/>
      <c r="AF661" s="7"/>
      <c r="AG661" s="7"/>
      <c r="AH661" s="7"/>
      <c r="AI661" s="7"/>
    </row>
    <row r="662" spans="1:35" ht="12.75" customHeight="1">
      <c r="A662" s="7"/>
      <c r="B662" s="7"/>
      <c r="C662" s="7"/>
      <c r="D662" s="7"/>
      <c r="E662" s="7"/>
      <c r="F662" s="7"/>
      <c r="G662" s="7"/>
      <c r="H662" s="7"/>
      <c r="I662" s="8"/>
      <c r="J662" s="8"/>
      <c r="P662" s="10"/>
      <c r="Q662" s="10"/>
      <c r="R662" s="10"/>
      <c r="S662" s="10"/>
      <c r="T662" s="10"/>
      <c r="U662" s="10"/>
      <c r="V662" s="10"/>
      <c r="W662" s="10"/>
      <c r="X662" s="10"/>
      <c r="Z662" s="10"/>
      <c r="AA662" s="7"/>
      <c r="AB662" s="7"/>
      <c r="AC662" s="7"/>
      <c r="AD662" s="7"/>
      <c r="AE662" s="7"/>
      <c r="AF662" s="7"/>
      <c r="AG662" s="7"/>
      <c r="AH662" s="7"/>
      <c r="AI662" s="7"/>
    </row>
    <row r="663" spans="1:35" ht="12.75" customHeight="1">
      <c r="A663" s="7"/>
      <c r="B663" s="7"/>
      <c r="C663" s="7"/>
      <c r="D663" s="7"/>
      <c r="E663" s="7"/>
      <c r="F663" s="7"/>
      <c r="G663" s="7"/>
      <c r="H663" s="7"/>
      <c r="I663" s="8"/>
      <c r="J663" s="8"/>
      <c r="P663" s="10"/>
      <c r="Q663" s="10"/>
      <c r="R663" s="10"/>
      <c r="S663" s="10"/>
      <c r="T663" s="10"/>
      <c r="U663" s="10"/>
      <c r="V663" s="10"/>
      <c r="W663" s="10"/>
      <c r="X663" s="10"/>
      <c r="Z663" s="10"/>
      <c r="AA663" s="7"/>
      <c r="AB663" s="7"/>
      <c r="AC663" s="7"/>
      <c r="AD663" s="7"/>
      <c r="AE663" s="7"/>
      <c r="AF663" s="7"/>
      <c r="AG663" s="7"/>
      <c r="AH663" s="7"/>
      <c r="AI663" s="7"/>
    </row>
    <row r="664" spans="1:35" ht="12.75" customHeight="1">
      <c r="A664" s="7"/>
      <c r="B664" s="7"/>
      <c r="C664" s="7"/>
      <c r="D664" s="7"/>
      <c r="E664" s="7"/>
      <c r="F664" s="7"/>
      <c r="G664" s="7"/>
      <c r="H664" s="7"/>
      <c r="I664" s="8"/>
      <c r="J664" s="8"/>
      <c r="P664" s="10"/>
      <c r="Q664" s="10"/>
      <c r="R664" s="10"/>
      <c r="S664" s="10"/>
      <c r="T664" s="10"/>
      <c r="U664" s="10"/>
      <c r="V664" s="10"/>
      <c r="W664" s="10"/>
      <c r="X664" s="10"/>
      <c r="Z664" s="10"/>
      <c r="AA664" s="7"/>
      <c r="AB664" s="7"/>
      <c r="AC664" s="7"/>
      <c r="AD664" s="7"/>
      <c r="AE664" s="7"/>
      <c r="AF664" s="7"/>
      <c r="AG664" s="7"/>
      <c r="AH664" s="7"/>
      <c r="AI664" s="7"/>
    </row>
    <row r="665" spans="1:35" ht="12.75" customHeight="1">
      <c r="A665" s="7"/>
      <c r="B665" s="7"/>
      <c r="C665" s="7"/>
      <c r="D665" s="7"/>
      <c r="E665" s="7"/>
      <c r="F665" s="7"/>
      <c r="G665" s="7"/>
      <c r="H665" s="7"/>
      <c r="I665" s="8"/>
      <c r="J665" s="8"/>
      <c r="P665" s="10"/>
      <c r="Q665" s="10"/>
      <c r="R665" s="10"/>
      <c r="S665" s="10"/>
      <c r="T665" s="10"/>
      <c r="U665" s="10"/>
      <c r="V665" s="10"/>
      <c r="W665" s="10"/>
      <c r="X665" s="10"/>
      <c r="Z665" s="10"/>
      <c r="AA665" s="7"/>
      <c r="AB665" s="7"/>
      <c r="AC665" s="7"/>
      <c r="AD665" s="7"/>
      <c r="AE665" s="7"/>
      <c r="AF665" s="7"/>
      <c r="AG665" s="7"/>
      <c r="AH665" s="7"/>
      <c r="AI665" s="7"/>
    </row>
    <row r="666" spans="1:35" ht="12.75" customHeight="1">
      <c r="A666" s="7"/>
      <c r="B666" s="7"/>
      <c r="C666" s="7"/>
      <c r="D666" s="7"/>
      <c r="E666" s="7"/>
      <c r="F666" s="7"/>
      <c r="G666" s="7"/>
      <c r="H666" s="7"/>
      <c r="I666" s="8"/>
      <c r="J666" s="8"/>
      <c r="P666" s="10"/>
      <c r="Q666" s="10"/>
      <c r="R666" s="10"/>
      <c r="S666" s="10"/>
      <c r="T666" s="10"/>
      <c r="U666" s="10"/>
      <c r="V666" s="10"/>
      <c r="W666" s="10"/>
      <c r="X666" s="10"/>
      <c r="Z666" s="10"/>
      <c r="AA666" s="7"/>
      <c r="AB666" s="7"/>
      <c r="AC666" s="7"/>
      <c r="AD666" s="7"/>
      <c r="AE666" s="7"/>
      <c r="AF666" s="7"/>
      <c r="AG666" s="7"/>
      <c r="AH666" s="7"/>
      <c r="AI666" s="7"/>
    </row>
    <row r="667" spans="1:35" ht="12.75" customHeight="1">
      <c r="A667" s="7"/>
      <c r="B667" s="7"/>
      <c r="C667" s="7"/>
      <c r="D667" s="7"/>
      <c r="E667" s="7"/>
      <c r="F667" s="7"/>
      <c r="G667" s="7"/>
      <c r="H667" s="7"/>
      <c r="I667" s="8"/>
      <c r="J667" s="8"/>
      <c r="P667" s="10"/>
      <c r="Q667" s="10"/>
      <c r="R667" s="10"/>
      <c r="S667" s="10"/>
      <c r="T667" s="10"/>
      <c r="U667" s="10"/>
      <c r="V667" s="10"/>
      <c r="W667" s="10"/>
      <c r="X667" s="10"/>
      <c r="Z667" s="10"/>
      <c r="AA667" s="7"/>
      <c r="AB667" s="7"/>
      <c r="AC667" s="7"/>
      <c r="AD667" s="7"/>
      <c r="AE667" s="7"/>
      <c r="AF667" s="7"/>
      <c r="AG667" s="7"/>
      <c r="AH667" s="7"/>
      <c r="AI667" s="7"/>
    </row>
    <row r="668" spans="1:35" ht="12.75" customHeight="1">
      <c r="A668" s="7"/>
      <c r="B668" s="7"/>
      <c r="C668" s="7"/>
      <c r="D668" s="7"/>
      <c r="E668" s="7"/>
      <c r="F668" s="7"/>
      <c r="G668" s="7"/>
      <c r="H668" s="7"/>
      <c r="I668" s="8"/>
      <c r="J668" s="8"/>
      <c r="P668" s="10"/>
      <c r="Q668" s="10"/>
      <c r="R668" s="10"/>
      <c r="S668" s="10"/>
      <c r="T668" s="10"/>
      <c r="U668" s="10"/>
      <c r="V668" s="10"/>
      <c r="W668" s="10"/>
      <c r="X668" s="10"/>
      <c r="Z668" s="10"/>
      <c r="AA668" s="7"/>
      <c r="AB668" s="7"/>
      <c r="AC668" s="7"/>
      <c r="AD668" s="7"/>
      <c r="AE668" s="7"/>
      <c r="AF668" s="7"/>
      <c r="AG668" s="7"/>
      <c r="AH668" s="7"/>
      <c r="AI668" s="7"/>
    </row>
    <row r="669" spans="1:35" ht="12.75" customHeight="1">
      <c r="A669" s="7"/>
      <c r="B669" s="7"/>
      <c r="C669" s="7"/>
      <c r="D669" s="7"/>
      <c r="E669" s="7"/>
      <c r="F669" s="7"/>
      <c r="G669" s="7"/>
      <c r="H669" s="7"/>
      <c r="I669" s="8"/>
      <c r="J669" s="8"/>
      <c r="P669" s="10"/>
      <c r="Q669" s="10"/>
      <c r="R669" s="10"/>
      <c r="S669" s="10"/>
      <c r="T669" s="10"/>
      <c r="U669" s="10"/>
      <c r="V669" s="10"/>
      <c r="W669" s="10"/>
      <c r="X669" s="10"/>
      <c r="Z669" s="10"/>
      <c r="AA669" s="7"/>
      <c r="AB669" s="7"/>
      <c r="AC669" s="7"/>
      <c r="AD669" s="7"/>
      <c r="AE669" s="7"/>
      <c r="AF669" s="7"/>
      <c r="AG669" s="7"/>
      <c r="AH669" s="7"/>
      <c r="AI669" s="7"/>
    </row>
    <row r="670" spans="1:35" ht="12.75" customHeight="1">
      <c r="A670" s="7"/>
      <c r="B670" s="7"/>
      <c r="C670" s="7"/>
      <c r="D670" s="7"/>
      <c r="E670" s="7"/>
      <c r="F670" s="7"/>
      <c r="G670" s="7"/>
      <c r="H670" s="7"/>
      <c r="I670" s="8"/>
      <c r="J670" s="8"/>
      <c r="P670" s="10"/>
      <c r="Q670" s="10"/>
      <c r="R670" s="10"/>
      <c r="S670" s="10"/>
      <c r="T670" s="10"/>
      <c r="U670" s="10"/>
      <c r="V670" s="10"/>
      <c r="W670" s="10"/>
      <c r="X670" s="10"/>
      <c r="Z670" s="10"/>
      <c r="AA670" s="7"/>
      <c r="AB670" s="7"/>
      <c r="AC670" s="7"/>
      <c r="AD670" s="7"/>
      <c r="AE670" s="7"/>
      <c r="AF670" s="7"/>
      <c r="AG670" s="7"/>
      <c r="AH670" s="7"/>
      <c r="AI670" s="7"/>
    </row>
    <row r="671" spans="1:35" ht="12.75" customHeight="1">
      <c r="A671" s="7"/>
      <c r="B671" s="7"/>
      <c r="C671" s="7"/>
      <c r="D671" s="7"/>
      <c r="E671" s="7"/>
      <c r="F671" s="7"/>
      <c r="G671" s="7"/>
      <c r="H671" s="7"/>
      <c r="I671" s="8"/>
      <c r="J671" s="8"/>
      <c r="P671" s="10"/>
      <c r="Q671" s="10"/>
      <c r="R671" s="10"/>
      <c r="S671" s="10"/>
      <c r="T671" s="10"/>
      <c r="U671" s="10"/>
      <c r="V671" s="10"/>
      <c r="W671" s="10"/>
      <c r="X671" s="10"/>
      <c r="Z671" s="10"/>
      <c r="AA671" s="7"/>
      <c r="AB671" s="7"/>
      <c r="AC671" s="7"/>
      <c r="AD671" s="7"/>
      <c r="AE671" s="7"/>
      <c r="AF671" s="7"/>
      <c r="AG671" s="7"/>
      <c r="AH671" s="7"/>
      <c r="AI671" s="7"/>
    </row>
    <row r="672" spans="1:35" ht="12.75" customHeight="1">
      <c r="A672" s="7"/>
      <c r="B672" s="7"/>
      <c r="C672" s="7"/>
      <c r="D672" s="7"/>
      <c r="E672" s="7"/>
      <c r="F672" s="7"/>
      <c r="G672" s="7"/>
      <c r="H672" s="7"/>
      <c r="I672" s="8"/>
      <c r="J672" s="8"/>
      <c r="P672" s="10"/>
      <c r="Q672" s="10"/>
      <c r="R672" s="10"/>
      <c r="S672" s="10"/>
      <c r="T672" s="10"/>
      <c r="U672" s="10"/>
      <c r="V672" s="10"/>
      <c r="W672" s="10"/>
      <c r="X672" s="10"/>
      <c r="Z672" s="10"/>
      <c r="AA672" s="7"/>
      <c r="AB672" s="7"/>
      <c r="AC672" s="7"/>
      <c r="AD672" s="7"/>
      <c r="AE672" s="7"/>
      <c r="AF672" s="7"/>
      <c r="AG672" s="7"/>
      <c r="AH672" s="7"/>
      <c r="AI672" s="7"/>
    </row>
    <row r="673" spans="1:35" ht="12.75" customHeight="1">
      <c r="A673" s="7"/>
      <c r="B673" s="7"/>
      <c r="C673" s="7"/>
      <c r="D673" s="7"/>
      <c r="E673" s="7"/>
      <c r="F673" s="7"/>
      <c r="G673" s="7"/>
      <c r="H673" s="7"/>
      <c r="I673" s="8"/>
      <c r="J673" s="8"/>
      <c r="P673" s="10"/>
      <c r="Q673" s="10"/>
      <c r="R673" s="10"/>
      <c r="S673" s="10"/>
      <c r="T673" s="10"/>
      <c r="U673" s="10"/>
      <c r="V673" s="10"/>
      <c r="W673" s="10"/>
      <c r="X673" s="10"/>
      <c r="Z673" s="10"/>
      <c r="AA673" s="7"/>
      <c r="AB673" s="7"/>
      <c r="AC673" s="7"/>
      <c r="AD673" s="7"/>
      <c r="AE673" s="7"/>
      <c r="AF673" s="7"/>
      <c r="AG673" s="7"/>
      <c r="AH673" s="7"/>
      <c r="AI673" s="7"/>
    </row>
    <row r="674" spans="1:35" ht="12.75" customHeight="1">
      <c r="A674" s="7"/>
      <c r="B674" s="7"/>
      <c r="C674" s="7"/>
      <c r="D674" s="7"/>
      <c r="E674" s="7"/>
      <c r="F674" s="7"/>
      <c r="G674" s="7"/>
      <c r="H674" s="7"/>
      <c r="I674" s="8"/>
      <c r="J674" s="8"/>
      <c r="P674" s="10"/>
      <c r="Q674" s="10"/>
      <c r="R674" s="10"/>
      <c r="S674" s="10"/>
      <c r="T674" s="10"/>
      <c r="U674" s="10"/>
      <c r="V674" s="10"/>
      <c r="W674" s="10"/>
      <c r="X674" s="10"/>
      <c r="Z674" s="10"/>
      <c r="AA674" s="7"/>
      <c r="AB674" s="7"/>
      <c r="AC674" s="7"/>
      <c r="AD674" s="7"/>
      <c r="AE674" s="7"/>
      <c r="AF674" s="7"/>
      <c r="AG674" s="7"/>
      <c r="AH674" s="7"/>
      <c r="AI674" s="7"/>
    </row>
    <row r="675" spans="1:35" ht="12.75" customHeight="1">
      <c r="A675" s="7"/>
      <c r="B675" s="7"/>
      <c r="C675" s="7"/>
      <c r="D675" s="7"/>
      <c r="E675" s="7"/>
      <c r="F675" s="7"/>
      <c r="G675" s="7"/>
      <c r="H675" s="7"/>
      <c r="I675" s="8"/>
      <c r="J675" s="8"/>
      <c r="P675" s="10"/>
      <c r="Q675" s="10"/>
      <c r="R675" s="10"/>
      <c r="S675" s="10"/>
      <c r="T675" s="10"/>
      <c r="U675" s="10"/>
      <c r="V675" s="10"/>
      <c r="W675" s="10"/>
      <c r="X675" s="10"/>
      <c r="Z675" s="10"/>
      <c r="AA675" s="7"/>
      <c r="AB675" s="7"/>
      <c r="AC675" s="7"/>
      <c r="AD675" s="7"/>
      <c r="AE675" s="7"/>
      <c r="AF675" s="7"/>
      <c r="AG675" s="7"/>
      <c r="AH675" s="7"/>
      <c r="AI675" s="7"/>
    </row>
    <row r="676" spans="1:35" ht="12.75" customHeight="1">
      <c r="A676" s="7"/>
      <c r="B676" s="7"/>
      <c r="C676" s="7"/>
      <c r="D676" s="7"/>
      <c r="E676" s="7"/>
      <c r="F676" s="7"/>
      <c r="G676" s="7"/>
      <c r="H676" s="7"/>
      <c r="I676" s="8"/>
      <c r="J676" s="8"/>
      <c r="P676" s="10"/>
      <c r="Q676" s="10"/>
      <c r="R676" s="10"/>
      <c r="S676" s="10"/>
      <c r="T676" s="10"/>
      <c r="U676" s="10"/>
      <c r="V676" s="10"/>
      <c r="W676" s="10"/>
      <c r="X676" s="10"/>
      <c r="Z676" s="10"/>
      <c r="AA676" s="7"/>
      <c r="AB676" s="7"/>
      <c r="AC676" s="7"/>
      <c r="AD676" s="7"/>
      <c r="AE676" s="7"/>
      <c r="AF676" s="7"/>
      <c r="AG676" s="7"/>
      <c r="AH676" s="7"/>
      <c r="AI676" s="7"/>
    </row>
    <row r="677" spans="1:35" ht="12.75" customHeight="1">
      <c r="A677" s="7"/>
      <c r="B677" s="7"/>
      <c r="C677" s="7"/>
      <c r="D677" s="7"/>
      <c r="E677" s="7"/>
      <c r="F677" s="7"/>
      <c r="G677" s="7"/>
      <c r="H677" s="7"/>
      <c r="I677" s="8"/>
      <c r="J677" s="8"/>
      <c r="P677" s="10"/>
      <c r="Q677" s="10"/>
      <c r="R677" s="10"/>
      <c r="S677" s="10"/>
      <c r="T677" s="10"/>
      <c r="U677" s="10"/>
      <c r="V677" s="10"/>
      <c r="W677" s="10"/>
      <c r="X677" s="10"/>
      <c r="Z677" s="10"/>
      <c r="AA677" s="7"/>
      <c r="AB677" s="7"/>
      <c r="AC677" s="7"/>
      <c r="AD677" s="7"/>
      <c r="AE677" s="7"/>
      <c r="AF677" s="7"/>
      <c r="AG677" s="7"/>
      <c r="AH677" s="7"/>
      <c r="AI677" s="7"/>
    </row>
    <row r="678" spans="1:35" ht="12.75" customHeight="1">
      <c r="A678" s="7"/>
      <c r="B678" s="7"/>
      <c r="C678" s="7"/>
      <c r="D678" s="7"/>
      <c r="E678" s="7"/>
      <c r="F678" s="7"/>
      <c r="G678" s="7"/>
      <c r="H678" s="7"/>
      <c r="I678" s="8"/>
      <c r="J678" s="8"/>
      <c r="P678" s="10"/>
      <c r="Q678" s="10"/>
      <c r="R678" s="10"/>
      <c r="S678" s="10"/>
      <c r="T678" s="10"/>
      <c r="U678" s="10"/>
      <c r="V678" s="10"/>
      <c r="W678" s="10"/>
      <c r="X678" s="10"/>
      <c r="Z678" s="10"/>
      <c r="AA678" s="7"/>
      <c r="AB678" s="7"/>
      <c r="AC678" s="7"/>
      <c r="AD678" s="7"/>
      <c r="AE678" s="7"/>
      <c r="AF678" s="7"/>
      <c r="AG678" s="7"/>
      <c r="AH678" s="7"/>
      <c r="AI678" s="7"/>
    </row>
    <row r="679" spans="1:35" ht="12.75" customHeight="1">
      <c r="A679" s="7"/>
      <c r="B679" s="7"/>
      <c r="C679" s="7"/>
      <c r="D679" s="7"/>
      <c r="E679" s="7"/>
      <c r="F679" s="7"/>
      <c r="G679" s="7"/>
      <c r="H679" s="7"/>
      <c r="I679" s="8"/>
      <c r="J679" s="8"/>
      <c r="P679" s="10"/>
      <c r="Q679" s="10"/>
      <c r="R679" s="10"/>
      <c r="S679" s="10"/>
      <c r="T679" s="10"/>
      <c r="U679" s="10"/>
      <c r="V679" s="10"/>
      <c r="W679" s="10"/>
      <c r="X679" s="10"/>
      <c r="Z679" s="10"/>
      <c r="AA679" s="7"/>
      <c r="AB679" s="7"/>
      <c r="AC679" s="7"/>
      <c r="AD679" s="7"/>
      <c r="AE679" s="7"/>
      <c r="AF679" s="7"/>
      <c r="AG679" s="7"/>
      <c r="AH679" s="7"/>
      <c r="AI679" s="7"/>
    </row>
    <row r="680" spans="1:35" ht="12.75" customHeight="1">
      <c r="A680" s="7"/>
      <c r="B680" s="7"/>
      <c r="C680" s="7"/>
      <c r="D680" s="7"/>
      <c r="E680" s="7"/>
      <c r="F680" s="7"/>
      <c r="G680" s="7"/>
      <c r="H680" s="7"/>
      <c r="I680" s="8"/>
      <c r="J680" s="8"/>
      <c r="P680" s="10"/>
      <c r="Q680" s="10"/>
      <c r="R680" s="10"/>
      <c r="S680" s="10"/>
      <c r="T680" s="10"/>
      <c r="U680" s="10"/>
      <c r="V680" s="10"/>
      <c r="W680" s="10"/>
      <c r="X680" s="10"/>
      <c r="Z680" s="10"/>
      <c r="AA680" s="7"/>
      <c r="AB680" s="7"/>
      <c r="AC680" s="7"/>
      <c r="AD680" s="7"/>
      <c r="AE680" s="7"/>
      <c r="AF680" s="7"/>
      <c r="AG680" s="7"/>
      <c r="AH680" s="7"/>
      <c r="AI680" s="7"/>
    </row>
    <row r="681" spans="1:35" ht="12.75" customHeight="1">
      <c r="A681" s="7"/>
      <c r="B681" s="7"/>
      <c r="C681" s="7"/>
      <c r="D681" s="7"/>
      <c r="E681" s="7"/>
      <c r="F681" s="7"/>
      <c r="G681" s="7"/>
      <c r="H681" s="7"/>
      <c r="I681" s="8"/>
      <c r="J681" s="8"/>
      <c r="P681" s="10"/>
      <c r="Q681" s="10"/>
      <c r="R681" s="10"/>
      <c r="S681" s="10"/>
      <c r="T681" s="10"/>
      <c r="U681" s="10"/>
      <c r="V681" s="10"/>
      <c r="W681" s="10"/>
      <c r="X681" s="10"/>
      <c r="Z681" s="10"/>
      <c r="AA681" s="7"/>
      <c r="AB681" s="7"/>
      <c r="AC681" s="7"/>
      <c r="AD681" s="7"/>
      <c r="AE681" s="7"/>
      <c r="AF681" s="7"/>
      <c r="AG681" s="7"/>
      <c r="AH681" s="7"/>
      <c r="AI681" s="7"/>
    </row>
    <row r="682" spans="1:35" ht="12.75" customHeight="1">
      <c r="A682" s="7"/>
      <c r="B682" s="7"/>
      <c r="C682" s="7"/>
      <c r="D682" s="7"/>
      <c r="E682" s="7"/>
      <c r="F682" s="7"/>
      <c r="G682" s="7"/>
      <c r="H682" s="7"/>
      <c r="I682" s="8"/>
      <c r="J682" s="8"/>
      <c r="P682" s="10"/>
      <c r="Q682" s="10"/>
      <c r="R682" s="10"/>
      <c r="S682" s="10"/>
      <c r="T682" s="10"/>
      <c r="U682" s="10"/>
      <c r="V682" s="10"/>
      <c r="W682" s="10"/>
      <c r="X682" s="10"/>
      <c r="Z682" s="10"/>
      <c r="AA682" s="7"/>
      <c r="AB682" s="7"/>
      <c r="AC682" s="7"/>
      <c r="AD682" s="7"/>
      <c r="AE682" s="7"/>
      <c r="AF682" s="7"/>
      <c r="AG682" s="7"/>
      <c r="AH682" s="7"/>
      <c r="AI682" s="7"/>
    </row>
    <row r="683" spans="1:35" ht="12.75" customHeight="1">
      <c r="A683" s="7"/>
      <c r="B683" s="7"/>
      <c r="C683" s="7"/>
      <c r="D683" s="7"/>
      <c r="E683" s="7"/>
      <c r="F683" s="7"/>
      <c r="G683" s="7"/>
      <c r="H683" s="7"/>
      <c r="I683" s="8"/>
      <c r="J683" s="8"/>
      <c r="P683" s="10"/>
      <c r="Q683" s="10"/>
      <c r="R683" s="10"/>
      <c r="S683" s="10"/>
      <c r="T683" s="10"/>
      <c r="U683" s="10"/>
      <c r="V683" s="10"/>
      <c r="W683" s="10"/>
      <c r="X683" s="10"/>
      <c r="Z683" s="10"/>
      <c r="AA683" s="7"/>
      <c r="AB683" s="7"/>
      <c r="AC683" s="7"/>
      <c r="AD683" s="7"/>
      <c r="AE683" s="7"/>
      <c r="AF683" s="7"/>
      <c r="AG683" s="7"/>
      <c r="AH683" s="7"/>
      <c r="AI683" s="7"/>
    </row>
    <row r="684" spans="1:35" ht="12.75" customHeight="1">
      <c r="A684" s="7"/>
      <c r="B684" s="7"/>
      <c r="C684" s="7"/>
      <c r="D684" s="7"/>
      <c r="E684" s="7"/>
      <c r="F684" s="7"/>
      <c r="G684" s="7"/>
      <c r="H684" s="7"/>
      <c r="I684" s="8"/>
      <c r="J684" s="8"/>
      <c r="P684" s="10"/>
      <c r="Q684" s="10"/>
      <c r="R684" s="10"/>
      <c r="S684" s="10"/>
      <c r="T684" s="10"/>
      <c r="U684" s="10"/>
      <c r="V684" s="10"/>
      <c r="W684" s="10"/>
      <c r="X684" s="10"/>
      <c r="Z684" s="10"/>
      <c r="AA684" s="7"/>
      <c r="AB684" s="7"/>
      <c r="AC684" s="7"/>
      <c r="AD684" s="7"/>
      <c r="AE684" s="7"/>
      <c r="AF684" s="7"/>
      <c r="AG684" s="7"/>
      <c r="AH684" s="7"/>
      <c r="AI684" s="7"/>
    </row>
    <row r="685" spans="1:35" ht="12.75" customHeight="1">
      <c r="A685" s="7"/>
      <c r="B685" s="7"/>
      <c r="C685" s="7"/>
      <c r="D685" s="7"/>
      <c r="E685" s="7"/>
      <c r="F685" s="7"/>
      <c r="G685" s="7"/>
      <c r="H685" s="7"/>
      <c r="I685" s="8"/>
      <c r="J685" s="8"/>
      <c r="P685" s="10"/>
      <c r="Q685" s="10"/>
      <c r="R685" s="10"/>
      <c r="S685" s="10"/>
      <c r="T685" s="10"/>
      <c r="U685" s="10"/>
      <c r="V685" s="10"/>
      <c r="W685" s="10"/>
      <c r="X685" s="10"/>
      <c r="Z685" s="10"/>
      <c r="AA685" s="7"/>
      <c r="AB685" s="7"/>
      <c r="AC685" s="7"/>
      <c r="AD685" s="7"/>
      <c r="AE685" s="7"/>
      <c r="AF685" s="7"/>
      <c r="AG685" s="7"/>
      <c r="AH685" s="7"/>
      <c r="AI685" s="7"/>
    </row>
    <row r="686" spans="1:35" ht="12.75" customHeight="1">
      <c r="A686" s="7"/>
      <c r="B686" s="7"/>
      <c r="C686" s="7"/>
      <c r="D686" s="7"/>
      <c r="E686" s="7"/>
      <c r="F686" s="7"/>
      <c r="G686" s="7"/>
      <c r="H686" s="7"/>
      <c r="I686" s="8"/>
      <c r="J686" s="8"/>
      <c r="P686" s="10"/>
      <c r="Q686" s="10"/>
      <c r="R686" s="10"/>
      <c r="S686" s="10"/>
      <c r="T686" s="10"/>
      <c r="U686" s="10"/>
      <c r="V686" s="10"/>
      <c r="W686" s="10"/>
      <c r="X686" s="10"/>
      <c r="Z686" s="10"/>
      <c r="AA686" s="7"/>
      <c r="AB686" s="7"/>
      <c r="AC686" s="7"/>
      <c r="AD686" s="7"/>
      <c r="AE686" s="7"/>
      <c r="AF686" s="7"/>
      <c r="AG686" s="7"/>
      <c r="AH686" s="7"/>
      <c r="AI686" s="7"/>
    </row>
    <row r="687" spans="1:35" ht="12.75" customHeight="1">
      <c r="A687" s="7"/>
      <c r="B687" s="7"/>
      <c r="C687" s="7"/>
      <c r="D687" s="7"/>
      <c r="E687" s="7"/>
      <c r="F687" s="7"/>
      <c r="G687" s="7"/>
      <c r="H687" s="7"/>
      <c r="I687" s="8"/>
      <c r="J687" s="8"/>
      <c r="P687" s="10"/>
      <c r="Q687" s="10"/>
      <c r="R687" s="10"/>
      <c r="S687" s="10"/>
      <c r="T687" s="10"/>
      <c r="U687" s="10"/>
      <c r="V687" s="10"/>
      <c r="W687" s="10"/>
      <c r="X687" s="10"/>
      <c r="Z687" s="10"/>
      <c r="AA687" s="7"/>
      <c r="AB687" s="7"/>
      <c r="AC687" s="7"/>
      <c r="AD687" s="7"/>
      <c r="AE687" s="7"/>
      <c r="AF687" s="7"/>
      <c r="AG687" s="7"/>
      <c r="AH687" s="7"/>
      <c r="AI687" s="7"/>
    </row>
    <row r="688" spans="1:35" ht="12.75" customHeight="1">
      <c r="A688" s="7"/>
      <c r="B688" s="7"/>
      <c r="C688" s="7"/>
      <c r="D688" s="7"/>
      <c r="E688" s="7"/>
      <c r="F688" s="7"/>
      <c r="G688" s="7"/>
      <c r="H688" s="7"/>
      <c r="I688" s="8"/>
      <c r="J688" s="8"/>
      <c r="P688" s="10"/>
      <c r="Q688" s="10"/>
      <c r="R688" s="10"/>
      <c r="S688" s="10"/>
      <c r="T688" s="10"/>
      <c r="U688" s="10"/>
      <c r="V688" s="10"/>
      <c r="W688" s="10"/>
      <c r="X688" s="10"/>
      <c r="Z688" s="10"/>
      <c r="AA688" s="7"/>
      <c r="AB688" s="7"/>
      <c r="AC688" s="7"/>
      <c r="AD688" s="7"/>
      <c r="AE688" s="7"/>
      <c r="AF688" s="7"/>
      <c r="AG688" s="7"/>
      <c r="AH688" s="7"/>
      <c r="AI688" s="7"/>
    </row>
    <row r="689" spans="1:35" ht="12.75" customHeight="1">
      <c r="A689" s="7"/>
      <c r="B689" s="7"/>
      <c r="C689" s="7"/>
      <c r="D689" s="7"/>
      <c r="E689" s="7"/>
      <c r="F689" s="7"/>
      <c r="G689" s="7"/>
      <c r="H689" s="7"/>
      <c r="I689" s="8"/>
      <c r="J689" s="8"/>
      <c r="P689" s="10"/>
      <c r="Q689" s="10"/>
      <c r="R689" s="10"/>
      <c r="S689" s="10"/>
      <c r="T689" s="10"/>
      <c r="U689" s="10"/>
      <c r="V689" s="10"/>
      <c r="W689" s="10"/>
      <c r="X689" s="10"/>
      <c r="Z689" s="10"/>
      <c r="AA689" s="7"/>
      <c r="AB689" s="7"/>
      <c r="AC689" s="7"/>
      <c r="AD689" s="7"/>
      <c r="AE689" s="7"/>
      <c r="AF689" s="7"/>
      <c r="AG689" s="7"/>
      <c r="AH689" s="7"/>
      <c r="AI689" s="7"/>
    </row>
    <row r="690" spans="1:35" ht="12.75" customHeight="1">
      <c r="A690" s="7"/>
      <c r="B690" s="7"/>
      <c r="C690" s="7"/>
      <c r="D690" s="7"/>
      <c r="E690" s="7"/>
      <c r="F690" s="7"/>
      <c r="G690" s="7"/>
      <c r="H690" s="7"/>
      <c r="I690" s="8"/>
      <c r="J690" s="8"/>
      <c r="P690" s="10"/>
      <c r="Q690" s="10"/>
      <c r="R690" s="10"/>
      <c r="S690" s="10"/>
      <c r="T690" s="10"/>
      <c r="U690" s="10"/>
      <c r="V690" s="10"/>
      <c r="W690" s="10"/>
      <c r="X690" s="10"/>
      <c r="Z690" s="10"/>
      <c r="AA690" s="7"/>
      <c r="AB690" s="7"/>
      <c r="AC690" s="7"/>
      <c r="AD690" s="7"/>
      <c r="AE690" s="7"/>
      <c r="AF690" s="7"/>
      <c r="AG690" s="7"/>
      <c r="AH690" s="7"/>
      <c r="AI690" s="7"/>
    </row>
    <row r="691" spans="1:35" ht="12.75" customHeight="1">
      <c r="A691" s="7"/>
      <c r="B691" s="7"/>
      <c r="C691" s="7"/>
      <c r="D691" s="7"/>
      <c r="E691" s="7"/>
      <c r="F691" s="7"/>
      <c r="G691" s="7"/>
      <c r="H691" s="7"/>
      <c r="I691" s="8"/>
      <c r="J691" s="8"/>
      <c r="P691" s="10"/>
      <c r="Q691" s="10"/>
      <c r="R691" s="10"/>
      <c r="S691" s="10"/>
      <c r="T691" s="10"/>
      <c r="U691" s="10"/>
      <c r="V691" s="10"/>
      <c r="W691" s="10"/>
      <c r="X691" s="10"/>
      <c r="Z691" s="10"/>
      <c r="AA691" s="7"/>
      <c r="AB691" s="7"/>
      <c r="AC691" s="7"/>
      <c r="AD691" s="7"/>
      <c r="AE691" s="7"/>
      <c r="AF691" s="7"/>
      <c r="AG691" s="7"/>
      <c r="AH691" s="7"/>
      <c r="AI691" s="7"/>
    </row>
    <row r="692" spans="1:35" ht="12.75" customHeight="1">
      <c r="A692" s="7"/>
      <c r="B692" s="7"/>
      <c r="C692" s="7"/>
      <c r="D692" s="7"/>
      <c r="E692" s="7"/>
      <c r="F692" s="7"/>
      <c r="G692" s="7"/>
      <c r="H692" s="7"/>
      <c r="I692" s="8"/>
      <c r="J692" s="8"/>
      <c r="P692" s="10"/>
      <c r="Q692" s="10"/>
      <c r="R692" s="10"/>
      <c r="S692" s="10"/>
      <c r="T692" s="10"/>
      <c r="U692" s="10"/>
      <c r="V692" s="10"/>
      <c r="W692" s="10"/>
      <c r="X692" s="10"/>
      <c r="Z692" s="10"/>
      <c r="AA692" s="7"/>
      <c r="AB692" s="7"/>
      <c r="AC692" s="7"/>
      <c r="AD692" s="7"/>
      <c r="AE692" s="7"/>
      <c r="AF692" s="7"/>
      <c r="AG692" s="7"/>
      <c r="AH692" s="7"/>
      <c r="AI692" s="7"/>
    </row>
    <row r="693" spans="1:35" ht="12.75" customHeight="1">
      <c r="A693" s="7"/>
      <c r="B693" s="7"/>
      <c r="C693" s="7"/>
      <c r="D693" s="7"/>
      <c r="E693" s="7"/>
      <c r="F693" s="7"/>
      <c r="G693" s="7"/>
      <c r="H693" s="7"/>
      <c r="I693" s="8"/>
      <c r="J693" s="8"/>
      <c r="P693" s="10"/>
      <c r="Q693" s="10"/>
      <c r="R693" s="10"/>
      <c r="S693" s="10"/>
      <c r="T693" s="10"/>
      <c r="U693" s="10"/>
      <c r="V693" s="10"/>
      <c r="W693" s="10"/>
      <c r="X693" s="10"/>
      <c r="Z693" s="10"/>
      <c r="AA693" s="7"/>
      <c r="AB693" s="7"/>
      <c r="AC693" s="7"/>
      <c r="AD693" s="7"/>
      <c r="AE693" s="7"/>
      <c r="AF693" s="7"/>
      <c r="AG693" s="7"/>
      <c r="AH693" s="7"/>
      <c r="AI693" s="7"/>
    </row>
    <row r="694" spans="1:35" ht="12.75" customHeight="1">
      <c r="A694" s="7"/>
      <c r="B694" s="7"/>
      <c r="C694" s="7"/>
      <c r="D694" s="7"/>
      <c r="E694" s="7"/>
      <c r="F694" s="7"/>
      <c r="G694" s="7"/>
      <c r="H694" s="7"/>
      <c r="I694" s="8"/>
      <c r="J694" s="8"/>
      <c r="P694" s="10"/>
      <c r="Q694" s="10"/>
      <c r="R694" s="10"/>
      <c r="S694" s="10"/>
      <c r="T694" s="10"/>
      <c r="U694" s="10"/>
      <c r="V694" s="10"/>
      <c r="W694" s="10"/>
      <c r="X694" s="10"/>
      <c r="Z694" s="10"/>
      <c r="AA694" s="7"/>
      <c r="AB694" s="7"/>
      <c r="AC694" s="7"/>
      <c r="AD694" s="7"/>
      <c r="AE694" s="7"/>
      <c r="AF694" s="7"/>
      <c r="AG694" s="7"/>
      <c r="AH694" s="7"/>
      <c r="AI694" s="7"/>
    </row>
    <row r="695" spans="1:35" ht="12.75" customHeight="1">
      <c r="A695" s="7"/>
      <c r="B695" s="7"/>
      <c r="C695" s="7"/>
      <c r="D695" s="7"/>
      <c r="E695" s="7"/>
      <c r="F695" s="7"/>
      <c r="G695" s="7"/>
      <c r="H695" s="7"/>
      <c r="I695" s="8"/>
      <c r="J695" s="8"/>
      <c r="P695" s="10"/>
      <c r="Q695" s="10"/>
      <c r="R695" s="10"/>
      <c r="S695" s="10"/>
      <c r="T695" s="10"/>
      <c r="U695" s="10"/>
      <c r="V695" s="10"/>
      <c r="W695" s="10"/>
      <c r="X695" s="10"/>
      <c r="Z695" s="10"/>
      <c r="AA695" s="7"/>
      <c r="AB695" s="7"/>
      <c r="AC695" s="7"/>
      <c r="AD695" s="7"/>
      <c r="AE695" s="7"/>
      <c r="AF695" s="7"/>
      <c r="AG695" s="7"/>
      <c r="AH695" s="7"/>
      <c r="AI695" s="7"/>
    </row>
    <row r="696" spans="1:35" ht="12.75" customHeight="1">
      <c r="A696" s="7"/>
      <c r="B696" s="7"/>
      <c r="C696" s="7"/>
      <c r="D696" s="7"/>
      <c r="E696" s="7"/>
      <c r="F696" s="7"/>
      <c r="G696" s="7"/>
      <c r="H696" s="7"/>
      <c r="I696" s="8"/>
      <c r="J696" s="8"/>
      <c r="P696" s="10"/>
      <c r="Q696" s="10"/>
      <c r="R696" s="10"/>
      <c r="S696" s="10"/>
      <c r="T696" s="10"/>
      <c r="U696" s="10"/>
      <c r="V696" s="10"/>
      <c r="W696" s="10"/>
      <c r="X696" s="10"/>
      <c r="Z696" s="10"/>
      <c r="AA696" s="7"/>
      <c r="AB696" s="7"/>
      <c r="AC696" s="7"/>
      <c r="AD696" s="7"/>
      <c r="AE696" s="7"/>
      <c r="AF696" s="7"/>
      <c r="AG696" s="7"/>
      <c r="AH696" s="7"/>
      <c r="AI696" s="7"/>
    </row>
    <row r="697" spans="1:35" ht="12.75" customHeight="1">
      <c r="A697" s="7"/>
      <c r="B697" s="7"/>
      <c r="C697" s="7"/>
      <c r="D697" s="7"/>
      <c r="E697" s="7"/>
      <c r="F697" s="7"/>
      <c r="G697" s="7"/>
      <c r="H697" s="7"/>
      <c r="I697" s="8"/>
      <c r="J697" s="8"/>
      <c r="P697" s="10"/>
      <c r="Q697" s="10"/>
      <c r="R697" s="10"/>
      <c r="S697" s="10"/>
      <c r="T697" s="10"/>
      <c r="U697" s="10"/>
      <c r="V697" s="10"/>
      <c r="W697" s="10"/>
      <c r="X697" s="10"/>
      <c r="Z697" s="10"/>
      <c r="AA697" s="7"/>
      <c r="AB697" s="7"/>
      <c r="AC697" s="7"/>
      <c r="AD697" s="7"/>
      <c r="AE697" s="7"/>
      <c r="AF697" s="7"/>
      <c r="AG697" s="7"/>
      <c r="AH697" s="7"/>
      <c r="AI697" s="7"/>
    </row>
    <row r="698" spans="1:35" ht="12.75" customHeight="1">
      <c r="A698" s="7"/>
      <c r="B698" s="7"/>
      <c r="C698" s="7"/>
      <c r="D698" s="7"/>
      <c r="E698" s="7"/>
      <c r="F698" s="7"/>
      <c r="G698" s="7"/>
      <c r="H698" s="7"/>
      <c r="I698" s="8"/>
      <c r="J698" s="8"/>
      <c r="P698" s="10"/>
      <c r="Q698" s="10"/>
      <c r="R698" s="10"/>
      <c r="S698" s="10"/>
      <c r="T698" s="10"/>
      <c r="U698" s="10"/>
      <c r="V698" s="10"/>
      <c r="W698" s="10"/>
      <c r="X698" s="10"/>
      <c r="Z698" s="10"/>
      <c r="AA698" s="7"/>
      <c r="AB698" s="7"/>
      <c r="AC698" s="7"/>
      <c r="AD698" s="7"/>
      <c r="AE698" s="7"/>
      <c r="AF698" s="7"/>
      <c r="AG698" s="7"/>
      <c r="AH698" s="7"/>
      <c r="AI698" s="7"/>
    </row>
    <row r="699" spans="1:35" ht="12.75" customHeight="1">
      <c r="A699" s="7"/>
      <c r="B699" s="7"/>
      <c r="C699" s="7"/>
      <c r="D699" s="7"/>
      <c r="E699" s="7"/>
      <c r="F699" s="7"/>
      <c r="G699" s="7"/>
      <c r="H699" s="7"/>
      <c r="I699" s="8"/>
      <c r="J699" s="8"/>
      <c r="P699" s="10"/>
      <c r="Q699" s="10"/>
      <c r="R699" s="10"/>
      <c r="S699" s="10"/>
      <c r="T699" s="10"/>
      <c r="U699" s="10"/>
      <c r="V699" s="10"/>
      <c r="W699" s="10"/>
      <c r="X699" s="10"/>
      <c r="Z699" s="10"/>
      <c r="AA699" s="7"/>
      <c r="AB699" s="7"/>
      <c r="AC699" s="7"/>
      <c r="AD699" s="7"/>
      <c r="AE699" s="7"/>
      <c r="AF699" s="7"/>
      <c r="AG699" s="7"/>
      <c r="AH699" s="7"/>
      <c r="AI699" s="7"/>
    </row>
    <row r="700" spans="1:35" ht="12.75" customHeight="1">
      <c r="A700" s="7"/>
      <c r="B700" s="7"/>
      <c r="C700" s="7"/>
      <c r="D700" s="7"/>
      <c r="E700" s="7"/>
      <c r="F700" s="7"/>
      <c r="G700" s="7"/>
      <c r="H700" s="7"/>
      <c r="I700" s="8"/>
      <c r="J700" s="8"/>
      <c r="P700" s="10"/>
      <c r="Q700" s="10"/>
      <c r="R700" s="10"/>
      <c r="S700" s="10"/>
      <c r="T700" s="10"/>
      <c r="U700" s="10"/>
      <c r="V700" s="10"/>
      <c r="W700" s="10"/>
      <c r="X700" s="10"/>
      <c r="Z700" s="10"/>
      <c r="AA700" s="7"/>
      <c r="AB700" s="7"/>
      <c r="AC700" s="7"/>
      <c r="AD700" s="7"/>
      <c r="AE700" s="7"/>
      <c r="AF700" s="7"/>
      <c r="AG700" s="7"/>
      <c r="AH700" s="7"/>
      <c r="AI700" s="7"/>
    </row>
    <row r="701" spans="1:35" ht="12.75" customHeight="1">
      <c r="A701" s="7"/>
      <c r="B701" s="7"/>
      <c r="C701" s="7"/>
      <c r="D701" s="7"/>
      <c r="E701" s="7"/>
      <c r="F701" s="7"/>
      <c r="G701" s="7"/>
      <c r="H701" s="7"/>
      <c r="I701" s="8"/>
      <c r="J701" s="8"/>
      <c r="P701" s="10"/>
      <c r="Q701" s="10"/>
      <c r="R701" s="10"/>
      <c r="S701" s="10"/>
      <c r="T701" s="10"/>
      <c r="U701" s="10"/>
      <c r="V701" s="10"/>
      <c r="W701" s="10"/>
      <c r="X701" s="10"/>
      <c r="Z701" s="10"/>
      <c r="AA701" s="7"/>
      <c r="AB701" s="7"/>
      <c r="AC701" s="7"/>
      <c r="AD701" s="7"/>
      <c r="AE701" s="7"/>
      <c r="AF701" s="7"/>
      <c r="AG701" s="7"/>
      <c r="AH701" s="7"/>
      <c r="AI701" s="7"/>
    </row>
    <row r="702" spans="1:35" ht="12.75" customHeight="1">
      <c r="A702" s="7"/>
      <c r="B702" s="7"/>
      <c r="C702" s="7"/>
      <c r="D702" s="7"/>
      <c r="E702" s="7"/>
      <c r="F702" s="7"/>
      <c r="G702" s="7"/>
      <c r="H702" s="7"/>
      <c r="I702" s="8"/>
      <c r="J702" s="8"/>
      <c r="P702" s="10"/>
      <c r="Q702" s="10"/>
      <c r="R702" s="10"/>
      <c r="S702" s="10"/>
      <c r="T702" s="10"/>
      <c r="U702" s="10"/>
      <c r="V702" s="10"/>
      <c r="W702" s="10"/>
      <c r="X702" s="10"/>
      <c r="Z702" s="10"/>
      <c r="AA702" s="7"/>
      <c r="AB702" s="7"/>
      <c r="AC702" s="7"/>
      <c r="AD702" s="7"/>
      <c r="AE702" s="7"/>
      <c r="AF702" s="7"/>
      <c r="AG702" s="7"/>
      <c r="AH702" s="7"/>
      <c r="AI702" s="7"/>
    </row>
    <row r="703" spans="1:35" ht="12.75" customHeight="1">
      <c r="A703" s="7"/>
      <c r="B703" s="7"/>
      <c r="C703" s="7"/>
      <c r="D703" s="7"/>
      <c r="E703" s="7"/>
      <c r="F703" s="7"/>
      <c r="G703" s="7"/>
      <c r="H703" s="7"/>
      <c r="I703" s="8"/>
      <c r="J703" s="8"/>
      <c r="P703" s="10"/>
      <c r="Q703" s="10"/>
      <c r="R703" s="10"/>
      <c r="S703" s="10"/>
      <c r="T703" s="10"/>
      <c r="U703" s="10"/>
      <c r="V703" s="10"/>
      <c r="W703" s="10"/>
      <c r="X703" s="10"/>
      <c r="Z703" s="10"/>
      <c r="AA703" s="7"/>
      <c r="AB703" s="7"/>
      <c r="AC703" s="7"/>
      <c r="AD703" s="7"/>
      <c r="AE703" s="7"/>
      <c r="AF703" s="7"/>
      <c r="AG703" s="7"/>
      <c r="AH703" s="7"/>
      <c r="AI703" s="7"/>
    </row>
    <row r="704" spans="1:35" ht="12.75" customHeight="1">
      <c r="A704" s="7"/>
      <c r="B704" s="7"/>
      <c r="C704" s="7"/>
      <c r="D704" s="7"/>
      <c r="E704" s="7"/>
      <c r="F704" s="7"/>
      <c r="G704" s="7"/>
      <c r="H704" s="7"/>
      <c r="I704" s="8"/>
      <c r="J704" s="8"/>
      <c r="P704" s="10"/>
      <c r="Q704" s="10"/>
      <c r="R704" s="10"/>
      <c r="S704" s="10"/>
      <c r="T704" s="10"/>
      <c r="U704" s="10"/>
      <c r="V704" s="10"/>
      <c r="W704" s="10"/>
      <c r="X704" s="10"/>
      <c r="Z704" s="10"/>
      <c r="AA704" s="7"/>
      <c r="AB704" s="7"/>
      <c r="AC704" s="7"/>
      <c r="AD704" s="7"/>
      <c r="AE704" s="7"/>
      <c r="AF704" s="7"/>
      <c r="AG704" s="7"/>
      <c r="AH704" s="7"/>
      <c r="AI704" s="7"/>
    </row>
    <row r="705" spans="1:35" ht="12.75" customHeight="1">
      <c r="A705" s="7"/>
      <c r="B705" s="7"/>
      <c r="C705" s="7"/>
      <c r="D705" s="7"/>
      <c r="E705" s="7"/>
      <c r="F705" s="7"/>
      <c r="G705" s="7"/>
      <c r="H705" s="7"/>
      <c r="I705" s="8"/>
      <c r="J705" s="8"/>
      <c r="P705" s="10"/>
      <c r="Q705" s="10"/>
      <c r="R705" s="10"/>
      <c r="S705" s="10"/>
      <c r="T705" s="10"/>
      <c r="U705" s="10"/>
      <c r="V705" s="10"/>
      <c r="W705" s="10"/>
      <c r="X705" s="10"/>
      <c r="Z705" s="10"/>
      <c r="AA705" s="7"/>
      <c r="AB705" s="7"/>
      <c r="AC705" s="7"/>
      <c r="AD705" s="7"/>
      <c r="AE705" s="7"/>
      <c r="AF705" s="7"/>
      <c r="AG705" s="7"/>
      <c r="AH705" s="7"/>
      <c r="AI705" s="7"/>
    </row>
    <row r="706" spans="1:35" ht="12.75" customHeight="1">
      <c r="A706" s="7"/>
      <c r="B706" s="7"/>
      <c r="C706" s="7"/>
      <c r="D706" s="7"/>
      <c r="E706" s="7"/>
      <c r="F706" s="7"/>
      <c r="G706" s="7"/>
      <c r="H706" s="7"/>
      <c r="I706" s="8"/>
      <c r="J706" s="8"/>
      <c r="P706" s="10"/>
      <c r="Q706" s="10"/>
      <c r="R706" s="10"/>
      <c r="S706" s="10"/>
      <c r="T706" s="10"/>
      <c r="U706" s="10"/>
      <c r="V706" s="10"/>
      <c r="W706" s="10"/>
      <c r="X706" s="10"/>
      <c r="Z706" s="10"/>
      <c r="AA706" s="7"/>
      <c r="AB706" s="7"/>
      <c r="AC706" s="7"/>
      <c r="AD706" s="7"/>
      <c r="AE706" s="7"/>
      <c r="AF706" s="7"/>
      <c r="AG706" s="7"/>
      <c r="AH706" s="7"/>
      <c r="AI706" s="7"/>
    </row>
    <row r="707" spans="1:35" ht="12.75" customHeight="1">
      <c r="A707" s="7"/>
      <c r="B707" s="7"/>
      <c r="C707" s="7"/>
      <c r="D707" s="7"/>
      <c r="E707" s="7"/>
      <c r="F707" s="7"/>
      <c r="G707" s="7"/>
      <c r="H707" s="7"/>
      <c r="I707" s="8"/>
      <c r="J707" s="8"/>
      <c r="P707" s="10"/>
      <c r="Q707" s="10"/>
      <c r="R707" s="10"/>
      <c r="S707" s="10"/>
      <c r="T707" s="10"/>
      <c r="U707" s="10"/>
      <c r="V707" s="10"/>
      <c r="W707" s="10"/>
      <c r="X707" s="10"/>
      <c r="Z707" s="10"/>
      <c r="AA707" s="7"/>
      <c r="AB707" s="7"/>
      <c r="AC707" s="7"/>
      <c r="AD707" s="7"/>
      <c r="AE707" s="7"/>
      <c r="AF707" s="7"/>
      <c r="AG707" s="7"/>
      <c r="AH707" s="7"/>
      <c r="AI707" s="7"/>
    </row>
    <row r="708" spans="1:35" ht="12.75" customHeight="1">
      <c r="A708" s="7"/>
      <c r="B708" s="7"/>
      <c r="C708" s="7"/>
      <c r="D708" s="7"/>
      <c r="E708" s="7"/>
      <c r="F708" s="7"/>
      <c r="G708" s="7"/>
      <c r="H708" s="7"/>
      <c r="I708" s="8"/>
      <c r="J708" s="8"/>
      <c r="P708" s="10"/>
      <c r="Q708" s="10"/>
      <c r="R708" s="10"/>
      <c r="S708" s="10"/>
      <c r="T708" s="10"/>
      <c r="U708" s="10"/>
      <c r="V708" s="10"/>
      <c r="W708" s="10"/>
      <c r="X708" s="10"/>
      <c r="Z708" s="10"/>
      <c r="AA708" s="7"/>
      <c r="AB708" s="7"/>
      <c r="AC708" s="7"/>
      <c r="AD708" s="7"/>
      <c r="AE708" s="7"/>
      <c r="AF708" s="7"/>
      <c r="AG708" s="7"/>
      <c r="AH708" s="7"/>
      <c r="AI708" s="7"/>
    </row>
    <row r="709" spans="1:35" ht="12.75" customHeight="1">
      <c r="A709" s="7"/>
      <c r="B709" s="7"/>
      <c r="C709" s="7"/>
      <c r="D709" s="7"/>
      <c r="E709" s="7"/>
      <c r="F709" s="7"/>
      <c r="G709" s="7"/>
      <c r="H709" s="7"/>
      <c r="I709" s="8"/>
      <c r="J709" s="8"/>
      <c r="P709" s="10"/>
      <c r="Q709" s="10"/>
      <c r="R709" s="10"/>
      <c r="S709" s="10"/>
      <c r="T709" s="10"/>
      <c r="U709" s="10"/>
      <c r="V709" s="10"/>
      <c r="W709" s="10"/>
      <c r="X709" s="10"/>
      <c r="Z709" s="10"/>
      <c r="AA709" s="7"/>
      <c r="AB709" s="7"/>
      <c r="AC709" s="7"/>
      <c r="AD709" s="7"/>
      <c r="AE709" s="7"/>
      <c r="AF709" s="7"/>
      <c r="AG709" s="7"/>
      <c r="AH709" s="7"/>
      <c r="AI709" s="7"/>
    </row>
    <row r="710" spans="1:35" ht="12.75" customHeight="1">
      <c r="A710" s="7"/>
      <c r="B710" s="7"/>
      <c r="C710" s="7"/>
      <c r="D710" s="7"/>
      <c r="E710" s="7"/>
      <c r="F710" s="7"/>
      <c r="G710" s="7"/>
      <c r="H710" s="7"/>
      <c r="I710" s="8"/>
      <c r="J710" s="8"/>
      <c r="P710" s="10"/>
      <c r="Q710" s="10"/>
      <c r="R710" s="10"/>
      <c r="S710" s="10"/>
      <c r="T710" s="10"/>
      <c r="U710" s="10"/>
      <c r="V710" s="10"/>
      <c r="W710" s="10"/>
      <c r="X710" s="10"/>
      <c r="Z710" s="10"/>
      <c r="AA710" s="7"/>
      <c r="AB710" s="7"/>
      <c r="AC710" s="7"/>
      <c r="AD710" s="7"/>
      <c r="AE710" s="7"/>
      <c r="AF710" s="7"/>
      <c r="AG710" s="7"/>
      <c r="AH710" s="7"/>
      <c r="AI710" s="7"/>
    </row>
    <row r="711" spans="1:35" ht="12.75" customHeight="1">
      <c r="A711" s="7"/>
      <c r="B711" s="7"/>
      <c r="C711" s="7"/>
      <c r="D711" s="7"/>
      <c r="E711" s="7"/>
      <c r="F711" s="7"/>
      <c r="G711" s="7"/>
      <c r="H711" s="7"/>
      <c r="I711" s="8"/>
      <c r="J711" s="8"/>
      <c r="P711" s="10"/>
      <c r="Q711" s="10"/>
      <c r="R711" s="10"/>
      <c r="S711" s="10"/>
      <c r="T711" s="10"/>
      <c r="U711" s="10"/>
      <c r="V711" s="10"/>
      <c r="W711" s="10"/>
      <c r="X711" s="10"/>
      <c r="Z711" s="10"/>
      <c r="AA711" s="7"/>
      <c r="AB711" s="7"/>
      <c r="AC711" s="7"/>
      <c r="AD711" s="7"/>
      <c r="AE711" s="7"/>
      <c r="AF711" s="7"/>
      <c r="AG711" s="7"/>
      <c r="AH711" s="7"/>
      <c r="AI711" s="7"/>
    </row>
    <row r="712" spans="1:35" ht="12.75" customHeight="1">
      <c r="A712" s="7"/>
      <c r="B712" s="7"/>
      <c r="C712" s="7"/>
      <c r="D712" s="7"/>
      <c r="E712" s="7"/>
      <c r="F712" s="7"/>
      <c r="G712" s="7"/>
      <c r="H712" s="7"/>
      <c r="I712" s="8"/>
      <c r="J712" s="8"/>
      <c r="P712" s="10"/>
      <c r="Q712" s="10"/>
      <c r="R712" s="10"/>
      <c r="S712" s="10"/>
      <c r="T712" s="10"/>
      <c r="U712" s="10"/>
      <c r="V712" s="10"/>
      <c r="W712" s="10"/>
      <c r="X712" s="10"/>
      <c r="Z712" s="10"/>
      <c r="AA712" s="7"/>
      <c r="AB712" s="7"/>
      <c r="AC712" s="7"/>
      <c r="AD712" s="7"/>
      <c r="AE712" s="7"/>
      <c r="AF712" s="7"/>
      <c r="AG712" s="7"/>
      <c r="AH712" s="7"/>
      <c r="AI712" s="7"/>
    </row>
    <row r="713" spans="1:35" ht="12.75" customHeight="1">
      <c r="A713" s="7"/>
      <c r="B713" s="7"/>
      <c r="C713" s="7"/>
      <c r="D713" s="7"/>
      <c r="E713" s="7"/>
      <c r="F713" s="7"/>
      <c r="G713" s="7"/>
      <c r="H713" s="7"/>
      <c r="I713" s="8"/>
      <c r="J713" s="8"/>
      <c r="P713" s="10"/>
      <c r="Q713" s="10"/>
      <c r="R713" s="10"/>
      <c r="S713" s="10"/>
      <c r="T713" s="10"/>
      <c r="U713" s="10"/>
      <c r="V713" s="10"/>
      <c r="W713" s="10"/>
      <c r="X713" s="10"/>
      <c r="Z713" s="10"/>
      <c r="AA713" s="7"/>
      <c r="AB713" s="7"/>
      <c r="AC713" s="7"/>
      <c r="AD713" s="7"/>
      <c r="AE713" s="7"/>
      <c r="AF713" s="7"/>
      <c r="AG713" s="7"/>
      <c r="AH713" s="7"/>
      <c r="AI713" s="7"/>
    </row>
    <row r="714" spans="1:35" ht="12.75" customHeight="1">
      <c r="A714" s="7"/>
      <c r="B714" s="7"/>
      <c r="C714" s="7"/>
      <c r="D714" s="7"/>
      <c r="E714" s="7"/>
      <c r="F714" s="7"/>
      <c r="G714" s="7"/>
      <c r="H714" s="7"/>
      <c r="I714" s="8"/>
      <c r="J714" s="8"/>
      <c r="P714" s="10"/>
      <c r="Q714" s="10"/>
      <c r="R714" s="10"/>
      <c r="S714" s="10"/>
      <c r="T714" s="10"/>
      <c r="U714" s="10"/>
      <c r="V714" s="10"/>
      <c r="W714" s="10"/>
      <c r="X714" s="10"/>
      <c r="Z714" s="10"/>
      <c r="AA714" s="7"/>
      <c r="AB714" s="7"/>
      <c r="AC714" s="7"/>
      <c r="AD714" s="7"/>
      <c r="AE714" s="7"/>
      <c r="AF714" s="7"/>
      <c r="AG714" s="7"/>
      <c r="AH714" s="7"/>
      <c r="AI714" s="7"/>
    </row>
    <row r="715" spans="1:35" ht="12.75" customHeight="1">
      <c r="A715" s="7"/>
      <c r="B715" s="7"/>
      <c r="C715" s="7"/>
      <c r="D715" s="7"/>
      <c r="E715" s="7"/>
      <c r="F715" s="7"/>
      <c r="G715" s="7"/>
      <c r="H715" s="7"/>
      <c r="I715" s="8"/>
      <c r="J715" s="8"/>
      <c r="P715" s="10"/>
      <c r="Q715" s="10"/>
      <c r="R715" s="10"/>
      <c r="S715" s="10"/>
      <c r="T715" s="10"/>
      <c r="U715" s="10"/>
      <c r="V715" s="10"/>
      <c r="W715" s="10"/>
      <c r="X715" s="10"/>
      <c r="Z715" s="10"/>
      <c r="AA715" s="7"/>
      <c r="AB715" s="7"/>
      <c r="AC715" s="7"/>
      <c r="AD715" s="7"/>
      <c r="AE715" s="7"/>
      <c r="AF715" s="7"/>
      <c r="AG715" s="7"/>
      <c r="AH715" s="7"/>
      <c r="AI715" s="7"/>
    </row>
    <row r="716" spans="1:35" ht="12.75" customHeight="1">
      <c r="A716" s="7"/>
      <c r="B716" s="7"/>
      <c r="C716" s="7"/>
      <c r="D716" s="7"/>
      <c r="E716" s="7"/>
      <c r="F716" s="7"/>
      <c r="G716" s="7"/>
      <c r="H716" s="7"/>
      <c r="I716" s="8"/>
      <c r="J716" s="8"/>
      <c r="P716" s="10"/>
      <c r="Q716" s="10"/>
      <c r="R716" s="10"/>
      <c r="S716" s="10"/>
      <c r="T716" s="10"/>
      <c r="U716" s="10"/>
      <c r="V716" s="10"/>
      <c r="W716" s="10"/>
      <c r="X716" s="10"/>
      <c r="Z716" s="10"/>
      <c r="AA716" s="7"/>
      <c r="AB716" s="7"/>
      <c r="AC716" s="7"/>
      <c r="AD716" s="7"/>
      <c r="AE716" s="7"/>
      <c r="AF716" s="7"/>
      <c r="AG716" s="7"/>
      <c r="AH716" s="7"/>
      <c r="AI716" s="7"/>
    </row>
    <row r="717" spans="1:35" ht="12.75" customHeight="1">
      <c r="A717" s="7"/>
      <c r="B717" s="7"/>
      <c r="C717" s="7"/>
      <c r="D717" s="7"/>
      <c r="E717" s="7"/>
      <c r="F717" s="7"/>
      <c r="G717" s="7"/>
      <c r="H717" s="7"/>
      <c r="I717" s="8"/>
      <c r="J717" s="8"/>
      <c r="P717" s="10"/>
      <c r="Q717" s="10"/>
      <c r="R717" s="10"/>
      <c r="S717" s="10"/>
      <c r="T717" s="10"/>
      <c r="U717" s="10"/>
      <c r="V717" s="10"/>
      <c r="W717" s="10"/>
      <c r="X717" s="10"/>
      <c r="Z717" s="10"/>
      <c r="AA717" s="7"/>
      <c r="AB717" s="7"/>
      <c r="AC717" s="7"/>
      <c r="AD717" s="7"/>
      <c r="AE717" s="7"/>
      <c r="AF717" s="7"/>
      <c r="AG717" s="7"/>
      <c r="AH717" s="7"/>
      <c r="AI717" s="7"/>
    </row>
    <row r="718" spans="1:35" ht="12.75" customHeight="1">
      <c r="A718" s="7"/>
      <c r="B718" s="7"/>
      <c r="C718" s="7"/>
      <c r="D718" s="7"/>
      <c r="E718" s="7"/>
      <c r="F718" s="7"/>
      <c r="G718" s="7"/>
      <c r="H718" s="7"/>
      <c r="I718" s="8"/>
      <c r="J718" s="8"/>
      <c r="P718" s="10"/>
      <c r="Q718" s="10"/>
      <c r="R718" s="10"/>
      <c r="S718" s="10"/>
      <c r="T718" s="10"/>
      <c r="U718" s="10"/>
      <c r="V718" s="10"/>
      <c r="W718" s="10"/>
      <c r="X718" s="10"/>
      <c r="Z718" s="10"/>
      <c r="AA718" s="7"/>
      <c r="AB718" s="7"/>
      <c r="AC718" s="7"/>
      <c r="AD718" s="7"/>
      <c r="AE718" s="7"/>
      <c r="AF718" s="7"/>
      <c r="AG718" s="7"/>
      <c r="AH718" s="7"/>
      <c r="AI718" s="7"/>
    </row>
    <row r="719" spans="1:35" ht="12.75" customHeight="1">
      <c r="A719" s="7"/>
      <c r="B719" s="7"/>
      <c r="C719" s="7"/>
      <c r="D719" s="7"/>
      <c r="E719" s="7"/>
      <c r="F719" s="7"/>
      <c r="G719" s="7"/>
      <c r="H719" s="7"/>
      <c r="I719" s="8"/>
      <c r="J719" s="8"/>
      <c r="P719" s="10"/>
      <c r="Q719" s="10"/>
      <c r="R719" s="10"/>
      <c r="S719" s="10"/>
      <c r="T719" s="10"/>
      <c r="U719" s="10"/>
      <c r="V719" s="10"/>
      <c r="W719" s="10"/>
      <c r="X719" s="10"/>
      <c r="Z719" s="10"/>
      <c r="AA719" s="7"/>
      <c r="AB719" s="7"/>
      <c r="AC719" s="7"/>
      <c r="AD719" s="7"/>
      <c r="AE719" s="7"/>
      <c r="AF719" s="7"/>
      <c r="AG719" s="7"/>
      <c r="AH719" s="7"/>
      <c r="AI719" s="7"/>
    </row>
    <row r="720" spans="1:35" ht="12.75" customHeight="1">
      <c r="A720" s="7"/>
      <c r="B720" s="7"/>
      <c r="C720" s="7"/>
      <c r="D720" s="7"/>
      <c r="E720" s="7"/>
      <c r="F720" s="7"/>
      <c r="G720" s="7"/>
      <c r="H720" s="7"/>
      <c r="I720" s="8"/>
      <c r="J720" s="8"/>
      <c r="P720" s="10"/>
      <c r="Q720" s="10"/>
      <c r="R720" s="10"/>
      <c r="S720" s="10"/>
      <c r="T720" s="10"/>
      <c r="U720" s="10"/>
      <c r="V720" s="10"/>
      <c r="W720" s="10"/>
      <c r="X720" s="10"/>
      <c r="Z720" s="10"/>
      <c r="AA720" s="7"/>
      <c r="AB720" s="7"/>
      <c r="AC720" s="7"/>
      <c r="AD720" s="7"/>
      <c r="AE720" s="7"/>
      <c r="AF720" s="7"/>
      <c r="AG720" s="7"/>
      <c r="AH720" s="7"/>
      <c r="AI720" s="7"/>
    </row>
    <row r="721" spans="1:35" ht="12.75" customHeight="1">
      <c r="A721" s="7"/>
      <c r="B721" s="7"/>
      <c r="C721" s="7"/>
      <c r="D721" s="7"/>
      <c r="E721" s="7"/>
      <c r="F721" s="7"/>
      <c r="G721" s="7"/>
      <c r="H721" s="7"/>
      <c r="I721" s="8"/>
      <c r="J721" s="8"/>
      <c r="P721" s="10"/>
      <c r="Q721" s="10"/>
      <c r="R721" s="10"/>
      <c r="S721" s="10"/>
      <c r="T721" s="10"/>
      <c r="U721" s="10"/>
      <c r="V721" s="10"/>
      <c r="W721" s="10"/>
      <c r="X721" s="10"/>
      <c r="Z721" s="10"/>
      <c r="AA721" s="7"/>
      <c r="AB721" s="7"/>
      <c r="AC721" s="7"/>
      <c r="AD721" s="7"/>
      <c r="AE721" s="7"/>
      <c r="AF721" s="7"/>
      <c r="AG721" s="7"/>
      <c r="AH721" s="7"/>
      <c r="AI721" s="7"/>
    </row>
    <row r="722" spans="1:35" ht="12.75" customHeight="1">
      <c r="A722" s="7"/>
      <c r="B722" s="7"/>
      <c r="C722" s="7"/>
      <c r="D722" s="7"/>
      <c r="E722" s="7"/>
      <c r="F722" s="7"/>
      <c r="G722" s="7"/>
      <c r="H722" s="7"/>
      <c r="I722" s="8"/>
      <c r="J722" s="8"/>
      <c r="P722" s="10"/>
      <c r="Q722" s="10"/>
      <c r="R722" s="10"/>
      <c r="S722" s="10"/>
      <c r="T722" s="10"/>
      <c r="U722" s="10"/>
      <c r="V722" s="10"/>
      <c r="W722" s="10"/>
      <c r="X722" s="10"/>
      <c r="Z722" s="10"/>
      <c r="AA722" s="7"/>
      <c r="AB722" s="7"/>
      <c r="AC722" s="7"/>
      <c r="AD722" s="7"/>
      <c r="AE722" s="7"/>
      <c r="AF722" s="7"/>
      <c r="AG722" s="7"/>
      <c r="AH722" s="7"/>
      <c r="AI722" s="7"/>
    </row>
    <row r="723" spans="1:35" ht="12.75" customHeight="1">
      <c r="A723" s="7"/>
      <c r="B723" s="7"/>
      <c r="C723" s="7"/>
      <c r="D723" s="7"/>
      <c r="E723" s="7"/>
      <c r="F723" s="7"/>
      <c r="G723" s="7"/>
      <c r="H723" s="7"/>
      <c r="I723" s="8"/>
      <c r="J723" s="8"/>
      <c r="P723" s="10"/>
      <c r="Q723" s="10"/>
      <c r="R723" s="10"/>
      <c r="S723" s="10"/>
      <c r="T723" s="10"/>
      <c r="U723" s="10"/>
      <c r="V723" s="10"/>
      <c r="W723" s="10"/>
      <c r="X723" s="10"/>
      <c r="Z723" s="10"/>
      <c r="AA723" s="7"/>
      <c r="AB723" s="7"/>
      <c r="AC723" s="7"/>
      <c r="AD723" s="7"/>
      <c r="AE723" s="7"/>
      <c r="AF723" s="7"/>
      <c r="AG723" s="7"/>
      <c r="AH723" s="7"/>
      <c r="AI723" s="7"/>
    </row>
    <row r="724" spans="1:35" ht="12.75" customHeight="1">
      <c r="A724" s="7"/>
      <c r="B724" s="7"/>
      <c r="C724" s="7"/>
      <c r="D724" s="7"/>
      <c r="E724" s="7"/>
      <c r="F724" s="7"/>
      <c r="G724" s="7"/>
      <c r="H724" s="7"/>
      <c r="I724" s="8"/>
      <c r="J724" s="8"/>
      <c r="P724" s="10"/>
      <c r="Q724" s="10"/>
      <c r="R724" s="10"/>
      <c r="S724" s="10"/>
      <c r="T724" s="10"/>
      <c r="U724" s="10"/>
      <c r="V724" s="10"/>
      <c r="W724" s="10"/>
      <c r="X724" s="10"/>
      <c r="Z724" s="10"/>
      <c r="AA724" s="7"/>
      <c r="AB724" s="7"/>
      <c r="AC724" s="7"/>
      <c r="AD724" s="7"/>
      <c r="AE724" s="7"/>
      <c r="AF724" s="7"/>
      <c r="AG724" s="7"/>
      <c r="AH724" s="7"/>
      <c r="AI724" s="7"/>
    </row>
    <row r="725" spans="1:35" ht="12.75" customHeight="1">
      <c r="A725" s="7"/>
      <c r="B725" s="7"/>
      <c r="C725" s="7"/>
      <c r="D725" s="7"/>
      <c r="E725" s="7"/>
      <c r="F725" s="7"/>
      <c r="G725" s="7"/>
      <c r="H725" s="7"/>
      <c r="I725" s="8"/>
      <c r="J725" s="8"/>
      <c r="P725" s="10"/>
      <c r="Q725" s="10"/>
      <c r="R725" s="10"/>
      <c r="S725" s="10"/>
      <c r="T725" s="10"/>
      <c r="U725" s="10"/>
      <c r="V725" s="10"/>
      <c r="W725" s="10"/>
      <c r="X725" s="10"/>
      <c r="Z725" s="10"/>
      <c r="AA725" s="7"/>
      <c r="AB725" s="7"/>
      <c r="AC725" s="7"/>
      <c r="AD725" s="7"/>
      <c r="AE725" s="7"/>
      <c r="AF725" s="7"/>
      <c r="AG725" s="7"/>
      <c r="AH725" s="7"/>
      <c r="AI725" s="7"/>
    </row>
    <row r="726" spans="1:35" ht="12.75" customHeight="1">
      <c r="A726" s="7"/>
      <c r="B726" s="7"/>
      <c r="C726" s="7"/>
      <c r="D726" s="7"/>
      <c r="E726" s="7"/>
      <c r="F726" s="7"/>
      <c r="G726" s="7"/>
      <c r="H726" s="7"/>
      <c r="I726" s="8"/>
      <c r="J726" s="8"/>
      <c r="P726" s="10"/>
      <c r="Q726" s="10"/>
      <c r="R726" s="10"/>
      <c r="S726" s="10"/>
      <c r="T726" s="10"/>
      <c r="U726" s="10"/>
      <c r="V726" s="10"/>
      <c r="W726" s="10"/>
      <c r="X726" s="10"/>
      <c r="Z726" s="10"/>
      <c r="AA726" s="7"/>
      <c r="AB726" s="7"/>
      <c r="AC726" s="7"/>
      <c r="AD726" s="7"/>
      <c r="AE726" s="7"/>
      <c r="AF726" s="7"/>
      <c r="AG726" s="7"/>
      <c r="AH726" s="7"/>
      <c r="AI726" s="7"/>
    </row>
    <row r="727" spans="1:35" ht="12.75" customHeight="1">
      <c r="A727" s="7"/>
      <c r="B727" s="7"/>
      <c r="C727" s="7"/>
      <c r="D727" s="7"/>
      <c r="E727" s="7"/>
      <c r="F727" s="7"/>
      <c r="G727" s="7"/>
      <c r="H727" s="7"/>
      <c r="I727" s="8"/>
      <c r="J727" s="8"/>
      <c r="P727" s="10"/>
      <c r="Q727" s="10"/>
      <c r="R727" s="10"/>
      <c r="S727" s="10"/>
      <c r="T727" s="10"/>
      <c r="U727" s="10"/>
      <c r="V727" s="10"/>
      <c r="W727" s="10"/>
      <c r="X727" s="10"/>
      <c r="Z727" s="10"/>
      <c r="AA727" s="7"/>
      <c r="AB727" s="7"/>
      <c r="AC727" s="7"/>
      <c r="AD727" s="7"/>
      <c r="AE727" s="7"/>
      <c r="AF727" s="7"/>
      <c r="AG727" s="7"/>
      <c r="AH727" s="7"/>
      <c r="AI727" s="7"/>
    </row>
    <row r="728" spans="1:35" ht="12.75" customHeight="1">
      <c r="A728" s="7"/>
      <c r="B728" s="7"/>
      <c r="C728" s="7"/>
      <c r="D728" s="7"/>
      <c r="E728" s="7"/>
      <c r="F728" s="7"/>
      <c r="G728" s="7"/>
      <c r="H728" s="7"/>
      <c r="I728" s="8"/>
      <c r="J728" s="8"/>
      <c r="P728" s="10"/>
      <c r="Q728" s="10"/>
      <c r="R728" s="10"/>
      <c r="S728" s="10"/>
      <c r="T728" s="10"/>
      <c r="U728" s="10"/>
      <c r="V728" s="10"/>
      <c r="W728" s="10"/>
      <c r="X728" s="10"/>
      <c r="Z728" s="10"/>
      <c r="AA728" s="7"/>
      <c r="AB728" s="7"/>
      <c r="AC728" s="7"/>
      <c r="AD728" s="7"/>
      <c r="AE728" s="7"/>
      <c r="AF728" s="7"/>
      <c r="AG728" s="7"/>
      <c r="AH728" s="7"/>
      <c r="AI728" s="7"/>
    </row>
    <row r="729" spans="1:35" ht="12.75" customHeight="1">
      <c r="A729" s="7"/>
      <c r="B729" s="7"/>
      <c r="C729" s="7"/>
      <c r="D729" s="7"/>
      <c r="E729" s="7"/>
      <c r="F729" s="7"/>
      <c r="G729" s="7"/>
      <c r="H729" s="7"/>
      <c r="I729" s="8"/>
      <c r="J729" s="8"/>
      <c r="P729" s="10"/>
      <c r="Q729" s="10"/>
      <c r="R729" s="10"/>
      <c r="S729" s="10"/>
      <c r="T729" s="10"/>
      <c r="U729" s="10"/>
      <c r="V729" s="10"/>
      <c r="W729" s="10"/>
      <c r="X729" s="10"/>
      <c r="Z729" s="10"/>
      <c r="AA729" s="7"/>
      <c r="AB729" s="7"/>
      <c r="AC729" s="7"/>
      <c r="AD729" s="7"/>
      <c r="AE729" s="7"/>
      <c r="AF729" s="7"/>
      <c r="AG729" s="7"/>
      <c r="AH729" s="7"/>
      <c r="AI729" s="7"/>
    </row>
    <row r="730" spans="1:35" ht="12.75" customHeight="1">
      <c r="A730" s="7"/>
      <c r="B730" s="7"/>
      <c r="C730" s="7"/>
      <c r="D730" s="7"/>
      <c r="E730" s="7"/>
      <c r="F730" s="7"/>
      <c r="G730" s="7"/>
      <c r="H730" s="7"/>
      <c r="I730" s="8"/>
      <c r="J730" s="8"/>
      <c r="P730" s="10"/>
      <c r="Q730" s="10"/>
      <c r="R730" s="10"/>
      <c r="S730" s="10"/>
      <c r="T730" s="10"/>
      <c r="U730" s="10"/>
      <c r="V730" s="10"/>
      <c r="W730" s="10"/>
      <c r="X730" s="10"/>
      <c r="Z730" s="10"/>
      <c r="AA730" s="7"/>
      <c r="AB730" s="7"/>
      <c r="AC730" s="7"/>
      <c r="AD730" s="7"/>
      <c r="AE730" s="7"/>
      <c r="AF730" s="7"/>
      <c r="AG730" s="7"/>
      <c r="AH730" s="7"/>
      <c r="AI730" s="7"/>
    </row>
    <row r="731" spans="1:35" ht="12.75" customHeight="1">
      <c r="A731" s="7"/>
      <c r="B731" s="7"/>
      <c r="C731" s="7"/>
      <c r="D731" s="7"/>
      <c r="E731" s="7"/>
      <c r="F731" s="7"/>
      <c r="G731" s="7"/>
      <c r="H731" s="7"/>
      <c r="I731" s="8"/>
      <c r="J731" s="8"/>
      <c r="P731" s="10"/>
      <c r="Q731" s="10"/>
      <c r="R731" s="10"/>
      <c r="S731" s="10"/>
      <c r="T731" s="10"/>
      <c r="U731" s="10"/>
      <c r="V731" s="10"/>
      <c r="W731" s="10"/>
      <c r="X731" s="10"/>
      <c r="Z731" s="10"/>
      <c r="AA731" s="7"/>
      <c r="AB731" s="7"/>
      <c r="AC731" s="7"/>
      <c r="AD731" s="7"/>
      <c r="AE731" s="7"/>
      <c r="AF731" s="7"/>
      <c r="AG731" s="7"/>
      <c r="AH731" s="7"/>
      <c r="AI731" s="7"/>
    </row>
    <row r="732" spans="1:35" ht="12.75" customHeight="1">
      <c r="A732" s="7"/>
      <c r="B732" s="7"/>
      <c r="C732" s="7"/>
      <c r="D732" s="7"/>
      <c r="E732" s="7"/>
      <c r="F732" s="7"/>
      <c r="G732" s="7"/>
      <c r="H732" s="7"/>
      <c r="I732" s="8"/>
      <c r="J732" s="8"/>
      <c r="P732" s="10"/>
      <c r="Q732" s="10"/>
      <c r="R732" s="10"/>
      <c r="S732" s="10"/>
      <c r="T732" s="10"/>
      <c r="U732" s="10"/>
      <c r="V732" s="10"/>
      <c r="W732" s="10"/>
      <c r="X732" s="10"/>
      <c r="Z732" s="10"/>
      <c r="AA732" s="7"/>
      <c r="AB732" s="7"/>
      <c r="AC732" s="7"/>
      <c r="AD732" s="7"/>
      <c r="AE732" s="7"/>
      <c r="AF732" s="7"/>
      <c r="AG732" s="7"/>
      <c r="AH732" s="7"/>
      <c r="AI732" s="7"/>
    </row>
    <row r="733" spans="1:35" ht="12.75" customHeight="1">
      <c r="A733" s="7"/>
      <c r="B733" s="7"/>
      <c r="C733" s="7"/>
      <c r="D733" s="7"/>
      <c r="E733" s="7"/>
      <c r="F733" s="7"/>
      <c r="G733" s="7"/>
      <c r="H733" s="7"/>
      <c r="I733" s="8"/>
      <c r="J733" s="8"/>
      <c r="P733" s="10"/>
      <c r="Q733" s="10"/>
      <c r="R733" s="10"/>
      <c r="S733" s="10"/>
      <c r="T733" s="10"/>
      <c r="U733" s="10"/>
      <c r="V733" s="10"/>
      <c r="W733" s="10"/>
      <c r="X733" s="10"/>
      <c r="Z733" s="10"/>
      <c r="AA733" s="7"/>
      <c r="AB733" s="7"/>
      <c r="AC733" s="7"/>
      <c r="AD733" s="7"/>
      <c r="AE733" s="7"/>
      <c r="AF733" s="7"/>
      <c r="AG733" s="7"/>
      <c r="AH733" s="7"/>
      <c r="AI733" s="7"/>
    </row>
    <row r="734" spans="1:35" ht="12.75" customHeight="1">
      <c r="A734" s="7"/>
      <c r="B734" s="7"/>
      <c r="C734" s="7"/>
      <c r="D734" s="7"/>
      <c r="E734" s="7"/>
      <c r="F734" s="7"/>
      <c r="G734" s="7"/>
      <c r="H734" s="7"/>
      <c r="I734" s="8"/>
      <c r="J734" s="8"/>
      <c r="P734" s="10"/>
      <c r="Q734" s="10"/>
      <c r="R734" s="10"/>
      <c r="S734" s="10"/>
      <c r="T734" s="10"/>
      <c r="U734" s="10"/>
      <c r="V734" s="10"/>
      <c r="W734" s="10"/>
      <c r="X734" s="10"/>
      <c r="Z734" s="10"/>
      <c r="AA734" s="7"/>
      <c r="AB734" s="7"/>
      <c r="AC734" s="7"/>
      <c r="AD734" s="7"/>
      <c r="AE734" s="7"/>
      <c r="AF734" s="7"/>
      <c r="AG734" s="7"/>
      <c r="AH734" s="7"/>
      <c r="AI734" s="7"/>
    </row>
    <row r="735" spans="1:35" ht="12.75" customHeight="1">
      <c r="A735" s="7"/>
      <c r="B735" s="7"/>
      <c r="C735" s="7"/>
      <c r="D735" s="7"/>
      <c r="E735" s="7"/>
      <c r="F735" s="7"/>
      <c r="G735" s="7"/>
      <c r="H735" s="7"/>
      <c r="I735" s="8"/>
      <c r="J735" s="8"/>
      <c r="P735" s="10"/>
      <c r="Q735" s="10"/>
      <c r="R735" s="10"/>
      <c r="S735" s="10"/>
      <c r="T735" s="10"/>
      <c r="U735" s="10"/>
      <c r="V735" s="10"/>
      <c r="W735" s="10"/>
      <c r="X735" s="10"/>
      <c r="Z735" s="10"/>
      <c r="AA735" s="7"/>
      <c r="AB735" s="7"/>
      <c r="AC735" s="7"/>
      <c r="AD735" s="7"/>
      <c r="AE735" s="7"/>
      <c r="AF735" s="7"/>
      <c r="AG735" s="7"/>
      <c r="AH735" s="7"/>
      <c r="AI735" s="7"/>
    </row>
    <row r="736" spans="1:35" ht="12.75" customHeight="1">
      <c r="A736" s="7"/>
      <c r="B736" s="7"/>
      <c r="C736" s="7"/>
      <c r="D736" s="7"/>
      <c r="E736" s="7"/>
      <c r="F736" s="7"/>
      <c r="G736" s="7"/>
      <c r="H736" s="7"/>
      <c r="I736" s="8"/>
      <c r="J736" s="8"/>
      <c r="P736" s="10"/>
      <c r="Q736" s="10"/>
      <c r="R736" s="10"/>
      <c r="S736" s="10"/>
      <c r="T736" s="10"/>
      <c r="U736" s="10"/>
      <c r="V736" s="10"/>
      <c r="W736" s="10"/>
      <c r="X736" s="10"/>
      <c r="Z736" s="10"/>
      <c r="AA736" s="7"/>
      <c r="AB736" s="7"/>
      <c r="AC736" s="7"/>
      <c r="AD736" s="7"/>
      <c r="AE736" s="7"/>
      <c r="AF736" s="7"/>
      <c r="AG736" s="7"/>
      <c r="AH736" s="7"/>
      <c r="AI736" s="7"/>
    </row>
    <row r="737" spans="1:35" ht="12.75" customHeight="1">
      <c r="A737" s="7"/>
      <c r="B737" s="7"/>
      <c r="C737" s="7"/>
      <c r="D737" s="7"/>
      <c r="E737" s="7"/>
      <c r="F737" s="7"/>
      <c r="G737" s="7"/>
      <c r="H737" s="7"/>
      <c r="I737" s="8"/>
      <c r="J737" s="8"/>
      <c r="P737" s="10"/>
      <c r="Q737" s="10"/>
      <c r="R737" s="10"/>
      <c r="S737" s="10"/>
      <c r="T737" s="10"/>
      <c r="U737" s="10"/>
      <c r="V737" s="10"/>
      <c r="W737" s="10"/>
      <c r="X737" s="10"/>
      <c r="Z737" s="10"/>
      <c r="AA737" s="7"/>
      <c r="AB737" s="7"/>
      <c r="AC737" s="7"/>
      <c r="AD737" s="7"/>
      <c r="AE737" s="7"/>
      <c r="AF737" s="7"/>
      <c r="AG737" s="7"/>
      <c r="AH737" s="7"/>
      <c r="AI737" s="7"/>
    </row>
    <row r="738" spans="1:35" ht="12.75" customHeight="1">
      <c r="A738" s="7"/>
      <c r="B738" s="7"/>
      <c r="C738" s="7"/>
      <c r="D738" s="7"/>
      <c r="E738" s="7"/>
      <c r="F738" s="7"/>
      <c r="G738" s="7"/>
      <c r="H738" s="7"/>
      <c r="I738" s="8"/>
      <c r="J738" s="8"/>
      <c r="P738" s="10"/>
      <c r="Q738" s="10"/>
      <c r="R738" s="10"/>
      <c r="S738" s="10"/>
      <c r="T738" s="10"/>
      <c r="U738" s="10"/>
      <c r="V738" s="10"/>
      <c r="W738" s="10"/>
      <c r="X738" s="10"/>
      <c r="Z738" s="10"/>
      <c r="AA738" s="7"/>
      <c r="AB738" s="7"/>
      <c r="AC738" s="7"/>
      <c r="AD738" s="7"/>
      <c r="AE738" s="7"/>
      <c r="AF738" s="7"/>
      <c r="AG738" s="7"/>
      <c r="AH738" s="7"/>
      <c r="AI738" s="7"/>
    </row>
    <row r="739" spans="1:35" ht="12.75" customHeight="1">
      <c r="A739" s="7"/>
      <c r="B739" s="7"/>
      <c r="C739" s="7"/>
      <c r="D739" s="7"/>
      <c r="E739" s="7"/>
      <c r="F739" s="7"/>
      <c r="G739" s="7"/>
      <c r="H739" s="7"/>
      <c r="I739" s="8"/>
      <c r="J739" s="8"/>
      <c r="P739" s="10"/>
      <c r="Q739" s="10"/>
      <c r="R739" s="10"/>
      <c r="S739" s="10"/>
      <c r="T739" s="10"/>
      <c r="U739" s="10"/>
      <c r="V739" s="10"/>
      <c r="W739" s="10"/>
      <c r="X739" s="10"/>
      <c r="Z739" s="10"/>
      <c r="AA739" s="7"/>
      <c r="AB739" s="7"/>
      <c r="AC739" s="7"/>
      <c r="AD739" s="7"/>
      <c r="AE739" s="7"/>
      <c r="AF739" s="7"/>
      <c r="AG739" s="7"/>
      <c r="AH739" s="7"/>
      <c r="AI739" s="7"/>
    </row>
    <row r="740" spans="1:35" ht="12.75" customHeight="1">
      <c r="A740" s="7"/>
      <c r="B740" s="7"/>
      <c r="C740" s="7"/>
      <c r="D740" s="7"/>
      <c r="E740" s="7"/>
      <c r="F740" s="7"/>
      <c r="G740" s="7"/>
      <c r="H740" s="7"/>
      <c r="I740" s="8"/>
      <c r="J740" s="8"/>
      <c r="P740" s="10"/>
      <c r="Q740" s="10"/>
      <c r="R740" s="10"/>
      <c r="S740" s="10"/>
      <c r="T740" s="10"/>
      <c r="U740" s="10"/>
      <c r="V740" s="10"/>
      <c r="W740" s="10"/>
      <c r="X740" s="10"/>
      <c r="Z740" s="10"/>
      <c r="AA740" s="7"/>
      <c r="AB740" s="7"/>
      <c r="AC740" s="7"/>
      <c r="AD740" s="7"/>
      <c r="AE740" s="7"/>
      <c r="AF740" s="7"/>
      <c r="AG740" s="7"/>
      <c r="AH740" s="7"/>
      <c r="AI740" s="7"/>
    </row>
    <row r="741" spans="1:35" ht="12.75" customHeight="1">
      <c r="A741" s="7"/>
      <c r="B741" s="7"/>
      <c r="C741" s="7"/>
      <c r="D741" s="7"/>
      <c r="E741" s="7"/>
      <c r="F741" s="7"/>
      <c r="G741" s="7"/>
      <c r="H741" s="7"/>
      <c r="I741" s="8"/>
      <c r="J741" s="8"/>
      <c r="P741" s="10"/>
      <c r="Q741" s="10"/>
      <c r="R741" s="10"/>
      <c r="S741" s="10"/>
      <c r="T741" s="10"/>
      <c r="U741" s="10"/>
      <c r="V741" s="10"/>
      <c r="W741" s="10"/>
      <c r="X741" s="10"/>
      <c r="Z741" s="10"/>
      <c r="AA741" s="7"/>
      <c r="AB741" s="7"/>
      <c r="AC741" s="7"/>
      <c r="AD741" s="7"/>
      <c r="AE741" s="7"/>
      <c r="AF741" s="7"/>
      <c r="AG741" s="7"/>
      <c r="AH741" s="7"/>
      <c r="AI741" s="7"/>
    </row>
    <row r="742" spans="1:35" ht="12.75" customHeight="1">
      <c r="A742" s="7"/>
      <c r="B742" s="7"/>
      <c r="C742" s="7"/>
      <c r="D742" s="7"/>
      <c r="E742" s="7"/>
      <c r="F742" s="7"/>
      <c r="G742" s="7"/>
      <c r="H742" s="7"/>
      <c r="I742" s="8"/>
      <c r="J742" s="8"/>
      <c r="P742" s="10"/>
      <c r="Q742" s="10"/>
      <c r="R742" s="10"/>
      <c r="S742" s="10"/>
      <c r="T742" s="10"/>
      <c r="U742" s="10"/>
      <c r="V742" s="10"/>
      <c r="W742" s="10"/>
      <c r="X742" s="10"/>
      <c r="Z742" s="10"/>
      <c r="AA742" s="7"/>
      <c r="AB742" s="7"/>
      <c r="AC742" s="7"/>
      <c r="AD742" s="7"/>
      <c r="AE742" s="7"/>
      <c r="AF742" s="7"/>
      <c r="AG742" s="7"/>
      <c r="AH742" s="7"/>
      <c r="AI742" s="7"/>
    </row>
    <row r="743" spans="1:35" ht="12.75" customHeight="1">
      <c r="A743" s="7"/>
      <c r="B743" s="7"/>
      <c r="C743" s="7"/>
      <c r="D743" s="7"/>
      <c r="E743" s="7"/>
      <c r="F743" s="7"/>
      <c r="G743" s="7"/>
      <c r="H743" s="7"/>
      <c r="I743" s="8"/>
      <c r="J743" s="8"/>
      <c r="P743" s="10"/>
      <c r="Q743" s="10"/>
      <c r="R743" s="10"/>
      <c r="S743" s="10"/>
      <c r="T743" s="10"/>
      <c r="U743" s="10"/>
      <c r="V743" s="10"/>
      <c r="W743" s="10"/>
      <c r="X743" s="10"/>
      <c r="Z743" s="10"/>
      <c r="AA743" s="7"/>
      <c r="AB743" s="7"/>
      <c r="AC743" s="7"/>
      <c r="AD743" s="7"/>
      <c r="AE743" s="7"/>
      <c r="AF743" s="7"/>
      <c r="AG743" s="7"/>
      <c r="AH743" s="7"/>
      <c r="AI743" s="7"/>
    </row>
    <row r="744" spans="1:35" ht="12.75" customHeight="1">
      <c r="A744" s="7"/>
      <c r="B744" s="7"/>
      <c r="C744" s="7"/>
      <c r="D744" s="7"/>
      <c r="E744" s="7"/>
      <c r="F744" s="7"/>
      <c r="G744" s="7"/>
      <c r="H744" s="7"/>
      <c r="I744" s="8"/>
      <c r="J744" s="8"/>
      <c r="P744" s="10"/>
      <c r="Q744" s="10"/>
      <c r="R744" s="10"/>
      <c r="S744" s="10"/>
      <c r="T744" s="10"/>
      <c r="U744" s="10"/>
      <c r="V744" s="10"/>
      <c r="W744" s="10"/>
      <c r="X744" s="10"/>
      <c r="Z744" s="10"/>
      <c r="AA744" s="7"/>
      <c r="AB744" s="7"/>
      <c r="AC744" s="7"/>
      <c r="AD744" s="7"/>
      <c r="AE744" s="7"/>
      <c r="AF744" s="7"/>
      <c r="AG744" s="7"/>
      <c r="AH744" s="7"/>
      <c r="AI744" s="7"/>
    </row>
    <row r="745" spans="1:35" ht="12.75" customHeight="1">
      <c r="A745" s="7"/>
      <c r="B745" s="7"/>
      <c r="C745" s="7"/>
      <c r="D745" s="7"/>
      <c r="E745" s="7"/>
      <c r="F745" s="7"/>
      <c r="G745" s="7"/>
      <c r="H745" s="7"/>
      <c r="I745" s="8"/>
      <c r="J745" s="8"/>
      <c r="P745" s="10"/>
      <c r="Q745" s="10"/>
      <c r="R745" s="10"/>
      <c r="S745" s="10"/>
      <c r="T745" s="10"/>
      <c r="U745" s="10"/>
      <c r="V745" s="10"/>
      <c r="W745" s="10"/>
      <c r="X745" s="10"/>
      <c r="Z745" s="10"/>
      <c r="AA745" s="7"/>
      <c r="AB745" s="7"/>
      <c r="AC745" s="7"/>
      <c r="AD745" s="7"/>
      <c r="AE745" s="7"/>
      <c r="AF745" s="7"/>
      <c r="AG745" s="7"/>
      <c r="AH745" s="7"/>
      <c r="AI745" s="7"/>
    </row>
    <row r="746" spans="1:35" ht="12.75" customHeight="1">
      <c r="A746" s="7"/>
      <c r="B746" s="7"/>
      <c r="C746" s="7"/>
      <c r="D746" s="7"/>
      <c r="E746" s="7"/>
      <c r="F746" s="7"/>
      <c r="G746" s="7"/>
      <c r="H746" s="7"/>
      <c r="I746" s="8"/>
      <c r="J746" s="8"/>
      <c r="P746" s="10"/>
      <c r="Q746" s="10"/>
      <c r="R746" s="10"/>
      <c r="S746" s="10"/>
      <c r="T746" s="10"/>
      <c r="U746" s="10"/>
      <c r="V746" s="10"/>
      <c r="W746" s="10"/>
      <c r="X746" s="10"/>
      <c r="Z746" s="10"/>
      <c r="AA746" s="7"/>
      <c r="AB746" s="7"/>
      <c r="AC746" s="7"/>
      <c r="AD746" s="7"/>
      <c r="AE746" s="7"/>
      <c r="AF746" s="7"/>
      <c r="AG746" s="7"/>
      <c r="AH746" s="7"/>
      <c r="AI746" s="7"/>
    </row>
    <row r="747" spans="1:35" ht="12.75" customHeight="1">
      <c r="A747" s="7"/>
      <c r="B747" s="7"/>
      <c r="C747" s="7"/>
      <c r="D747" s="7"/>
      <c r="E747" s="7"/>
      <c r="F747" s="7"/>
      <c r="G747" s="7"/>
      <c r="H747" s="7"/>
      <c r="I747" s="8"/>
      <c r="J747" s="8"/>
      <c r="P747" s="10"/>
      <c r="Q747" s="10"/>
      <c r="R747" s="10"/>
      <c r="S747" s="10"/>
      <c r="T747" s="10"/>
      <c r="U747" s="10"/>
      <c r="V747" s="10"/>
      <c r="W747" s="10"/>
      <c r="X747" s="10"/>
      <c r="Z747" s="10"/>
      <c r="AA747" s="7"/>
      <c r="AB747" s="7"/>
      <c r="AC747" s="7"/>
      <c r="AD747" s="7"/>
      <c r="AE747" s="7"/>
      <c r="AF747" s="7"/>
      <c r="AG747" s="7"/>
      <c r="AH747" s="7"/>
      <c r="AI747" s="7"/>
    </row>
    <row r="748" spans="1:35" ht="12.75" customHeight="1">
      <c r="A748" s="7"/>
      <c r="B748" s="7"/>
      <c r="C748" s="7"/>
      <c r="D748" s="7"/>
      <c r="E748" s="7"/>
      <c r="F748" s="7"/>
      <c r="G748" s="7"/>
      <c r="H748" s="7"/>
      <c r="I748" s="8"/>
      <c r="J748" s="8"/>
      <c r="P748" s="10"/>
      <c r="Q748" s="10"/>
      <c r="R748" s="10"/>
      <c r="S748" s="10"/>
      <c r="T748" s="10"/>
      <c r="U748" s="10"/>
      <c r="V748" s="10"/>
      <c r="W748" s="10"/>
      <c r="X748" s="10"/>
      <c r="Z748" s="10"/>
      <c r="AA748" s="7"/>
      <c r="AB748" s="7"/>
      <c r="AC748" s="7"/>
      <c r="AD748" s="7"/>
      <c r="AE748" s="7"/>
      <c r="AF748" s="7"/>
      <c r="AG748" s="7"/>
      <c r="AH748" s="7"/>
      <c r="AI748" s="7"/>
    </row>
    <row r="749" spans="1:35" ht="12.75" customHeight="1">
      <c r="A749" s="7"/>
      <c r="B749" s="7"/>
      <c r="C749" s="7"/>
      <c r="D749" s="7"/>
      <c r="E749" s="7"/>
      <c r="F749" s="7"/>
      <c r="G749" s="7"/>
      <c r="H749" s="7"/>
      <c r="I749" s="8"/>
      <c r="J749" s="8"/>
      <c r="P749" s="10"/>
      <c r="Q749" s="10"/>
      <c r="R749" s="10"/>
      <c r="S749" s="10"/>
      <c r="T749" s="10"/>
      <c r="U749" s="10"/>
      <c r="V749" s="10"/>
      <c r="W749" s="10"/>
      <c r="X749" s="10"/>
      <c r="Z749" s="10"/>
      <c r="AA749" s="7"/>
      <c r="AB749" s="7"/>
      <c r="AC749" s="7"/>
      <c r="AD749" s="7"/>
      <c r="AE749" s="7"/>
      <c r="AF749" s="7"/>
      <c r="AG749" s="7"/>
      <c r="AH749" s="7"/>
      <c r="AI749" s="7"/>
    </row>
    <row r="750" spans="1:35" ht="12.75" customHeight="1">
      <c r="A750" s="7"/>
      <c r="B750" s="7"/>
      <c r="C750" s="7"/>
      <c r="D750" s="7"/>
      <c r="E750" s="7"/>
      <c r="F750" s="7"/>
      <c r="G750" s="7"/>
      <c r="H750" s="7"/>
      <c r="I750" s="8"/>
      <c r="J750" s="8"/>
      <c r="P750" s="10"/>
      <c r="Q750" s="10"/>
      <c r="R750" s="10"/>
      <c r="S750" s="10"/>
      <c r="T750" s="10"/>
      <c r="U750" s="10"/>
      <c r="V750" s="10"/>
      <c r="W750" s="10"/>
      <c r="X750" s="10"/>
      <c r="Z750" s="10"/>
      <c r="AA750" s="7"/>
      <c r="AB750" s="7"/>
      <c r="AC750" s="7"/>
      <c r="AD750" s="7"/>
      <c r="AE750" s="7"/>
      <c r="AF750" s="7"/>
      <c r="AG750" s="7"/>
      <c r="AH750" s="7"/>
      <c r="AI750" s="7"/>
    </row>
    <row r="751" spans="1:35" ht="12.75" customHeight="1">
      <c r="A751" s="7"/>
      <c r="B751" s="7"/>
      <c r="C751" s="7"/>
      <c r="D751" s="7"/>
      <c r="E751" s="7"/>
      <c r="F751" s="7"/>
      <c r="G751" s="7"/>
      <c r="H751" s="7"/>
      <c r="I751" s="8"/>
      <c r="J751" s="8"/>
      <c r="P751" s="10"/>
      <c r="Q751" s="10"/>
      <c r="R751" s="10"/>
      <c r="S751" s="10"/>
      <c r="T751" s="10"/>
      <c r="U751" s="10"/>
      <c r="V751" s="10"/>
      <c r="W751" s="10"/>
      <c r="X751" s="10"/>
      <c r="Z751" s="10"/>
      <c r="AA751" s="7"/>
      <c r="AB751" s="7"/>
      <c r="AC751" s="7"/>
      <c r="AD751" s="7"/>
      <c r="AE751" s="7"/>
      <c r="AF751" s="7"/>
      <c r="AG751" s="7"/>
      <c r="AH751" s="7"/>
      <c r="AI751" s="7"/>
    </row>
    <row r="752" spans="1:35" ht="12.75" customHeight="1">
      <c r="A752" s="7"/>
      <c r="B752" s="7"/>
      <c r="C752" s="7"/>
      <c r="D752" s="7"/>
      <c r="E752" s="7"/>
      <c r="F752" s="7"/>
      <c r="G752" s="7"/>
      <c r="H752" s="7"/>
      <c r="I752" s="8"/>
      <c r="J752" s="8"/>
      <c r="P752" s="10"/>
      <c r="Q752" s="10"/>
      <c r="R752" s="10"/>
      <c r="S752" s="10"/>
      <c r="T752" s="10"/>
      <c r="U752" s="10"/>
      <c r="V752" s="10"/>
      <c r="W752" s="10"/>
      <c r="X752" s="10"/>
      <c r="Z752" s="10"/>
      <c r="AA752" s="7"/>
      <c r="AB752" s="7"/>
      <c r="AC752" s="7"/>
      <c r="AD752" s="7"/>
      <c r="AE752" s="7"/>
      <c r="AF752" s="7"/>
      <c r="AG752" s="7"/>
      <c r="AH752" s="7"/>
      <c r="AI752" s="7"/>
    </row>
    <row r="753" spans="1:35" ht="12.75" customHeight="1">
      <c r="A753" s="7"/>
      <c r="B753" s="7"/>
      <c r="C753" s="7"/>
      <c r="D753" s="7"/>
      <c r="E753" s="7"/>
      <c r="F753" s="7"/>
      <c r="G753" s="7"/>
      <c r="H753" s="7"/>
      <c r="I753" s="8"/>
      <c r="J753" s="8"/>
      <c r="P753" s="10"/>
      <c r="Q753" s="10"/>
      <c r="R753" s="10"/>
      <c r="S753" s="10"/>
      <c r="T753" s="10"/>
      <c r="U753" s="10"/>
      <c r="V753" s="10"/>
      <c r="W753" s="10"/>
      <c r="X753" s="10"/>
      <c r="Z753" s="10"/>
      <c r="AA753" s="7"/>
      <c r="AB753" s="7"/>
      <c r="AC753" s="7"/>
      <c r="AD753" s="7"/>
      <c r="AE753" s="7"/>
      <c r="AF753" s="7"/>
      <c r="AG753" s="7"/>
      <c r="AH753" s="7"/>
      <c r="AI753" s="7"/>
    </row>
    <row r="754" spans="1:35" ht="12.75" customHeight="1">
      <c r="A754" s="7"/>
      <c r="B754" s="7"/>
      <c r="C754" s="7"/>
      <c r="D754" s="7"/>
      <c r="E754" s="7"/>
      <c r="F754" s="7"/>
      <c r="G754" s="7"/>
      <c r="H754" s="7"/>
      <c r="I754" s="8"/>
      <c r="J754" s="8"/>
      <c r="P754" s="10"/>
      <c r="Q754" s="10"/>
      <c r="R754" s="10"/>
      <c r="S754" s="10"/>
      <c r="T754" s="10"/>
      <c r="U754" s="10"/>
      <c r="V754" s="10"/>
      <c r="W754" s="10"/>
      <c r="X754" s="10"/>
      <c r="Z754" s="10"/>
      <c r="AA754" s="7"/>
      <c r="AB754" s="7"/>
      <c r="AC754" s="7"/>
      <c r="AD754" s="7"/>
      <c r="AE754" s="7"/>
      <c r="AF754" s="7"/>
      <c r="AG754" s="7"/>
      <c r="AH754" s="7"/>
      <c r="AI754" s="7"/>
    </row>
    <row r="755" spans="1:35" ht="12.75" customHeight="1">
      <c r="A755" s="7"/>
      <c r="B755" s="7"/>
      <c r="C755" s="7"/>
      <c r="D755" s="7"/>
      <c r="E755" s="7"/>
      <c r="F755" s="7"/>
      <c r="G755" s="7"/>
      <c r="H755" s="7"/>
      <c r="I755" s="8"/>
      <c r="J755" s="8"/>
      <c r="P755" s="10"/>
      <c r="Q755" s="10"/>
      <c r="R755" s="10"/>
      <c r="S755" s="10"/>
      <c r="T755" s="10"/>
      <c r="U755" s="10"/>
      <c r="V755" s="10"/>
      <c r="W755" s="10"/>
      <c r="X755" s="10"/>
      <c r="Z755" s="10"/>
      <c r="AA755" s="7"/>
      <c r="AB755" s="7"/>
      <c r="AC755" s="7"/>
      <c r="AD755" s="7"/>
      <c r="AE755" s="7"/>
      <c r="AF755" s="7"/>
      <c r="AG755" s="7"/>
      <c r="AH755" s="7"/>
      <c r="AI755" s="7"/>
    </row>
    <row r="756" spans="1:35" ht="12.75" customHeight="1">
      <c r="A756" s="7"/>
      <c r="B756" s="7"/>
      <c r="C756" s="7"/>
      <c r="D756" s="7"/>
      <c r="E756" s="7"/>
      <c r="F756" s="7"/>
      <c r="G756" s="7"/>
      <c r="H756" s="7"/>
      <c r="I756" s="8"/>
      <c r="J756" s="8"/>
      <c r="P756" s="10"/>
      <c r="Q756" s="10"/>
      <c r="R756" s="10"/>
      <c r="S756" s="10"/>
      <c r="T756" s="10"/>
      <c r="U756" s="10"/>
      <c r="V756" s="10"/>
      <c r="W756" s="10"/>
      <c r="X756" s="10"/>
      <c r="Z756" s="10"/>
      <c r="AA756" s="7"/>
      <c r="AB756" s="7"/>
      <c r="AC756" s="7"/>
      <c r="AD756" s="7"/>
      <c r="AE756" s="7"/>
      <c r="AF756" s="7"/>
      <c r="AG756" s="7"/>
      <c r="AH756" s="7"/>
      <c r="AI756" s="7"/>
    </row>
    <row r="757" spans="1:35" ht="12.75" customHeight="1">
      <c r="A757" s="7"/>
      <c r="B757" s="7"/>
      <c r="C757" s="7"/>
      <c r="D757" s="7"/>
      <c r="E757" s="7"/>
      <c r="F757" s="7"/>
      <c r="G757" s="7"/>
      <c r="H757" s="7"/>
      <c r="I757" s="8"/>
      <c r="J757" s="8"/>
      <c r="P757" s="10"/>
      <c r="Q757" s="10"/>
      <c r="R757" s="10"/>
      <c r="S757" s="10"/>
      <c r="T757" s="10"/>
      <c r="U757" s="10"/>
      <c r="V757" s="10"/>
      <c r="W757" s="10"/>
      <c r="X757" s="10"/>
      <c r="Z757" s="10"/>
      <c r="AA757" s="7"/>
      <c r="AB757" s="7"/>
      <c r="AC757" s="7"/>
      <c r="AD757" s="7"/>
      <c r="AE757" s="7"/>
      <c r="AF757" s="7"/>
      <c r="AG757" s="7"/>
      <c r="AH757" s="7"/>
      <c r="AI757" s="7"/>
    </row>
    <row r="758" spans="1:35" ht="12.75" customHeight="1">
      <c r="A758" s="7"/>
      <c r="B758" s="7"/>
      <c r="C758" s="7"/>
      <c r="D758" s="7"/>
      <c r="E758" s="7"/>
      <c r="F758" s="7"/>
      <c r="G758" s="7"/>
      <c r="H758" s="7"/>
      <c r="I758" s="8"/>
      <c r="J758" s="8"/>
      <c r="P758" s="10"/>
      <c r="Q758" s="10"/>
      <c r="R758" s="10"/>
      <c r="S758" s="10"/>
      <c r="T758" s="10"/>
      <c r="U758" s="10"/>
      <c r="V758" s="10"/>
      <c r="W758" s="10"/>
      <c r="X758" s="10"/>
      <c r="Z758" s="10"/>
      <c r="AA758" s="7"/>
      <c r="AB758" s="7"/>
      <c r="AC758" s="7"/>
      <c r="AD758" s="7"/>
      <c r="AE758" s="7"/>
      <c r="AF758" s="7"/>
      <c r="AG758" s="7"/>
      <c r="AH758" s="7"/>
      <c r="AI758" s="7"/>
    </row>
    <row r="759" spans="1:35" ht="12.75" customHeight="1">
      <c r="A759" s="7"/>
      <c r="B759" s="7"/>
      <c r="C759" s="7"/>
      <c r="D759" s="7"/>
      <c r="E759" s="7"/>
      <c r="F759" s="7"/>
      <c r="G759" s="7"/>
      <c r="H759" s="7"/>
      <c r="I759" s="8"/>
      <c r="J759" s="8"/>
      <c r="P759" s="10"/>
      <c r="Q759" s="10"/>
      <c r="R759" s="10"/>
      <c r="S759" s="10"/>
      <c r="T759" s="10"/>
      <c r="U759" s="10"/>
      <c r="V759" s="10"/>
      <c r="W759" s="10"/>
      <c r="X759" s="10"/>
      <c r="Z759" s="10"/>
      <c r="AA759" s="7"/>
      <c r="AB759" s="7"/>
      <c r="AC759" s="7"/>
      <c r="AD759" s="7"/>
      <c r="AE759" s="7"/>
      <c r="AF759" s="7"/>
      <c r="AG759" s="7"/>
      <c r="AH759" s="7"/>
      <c r="AI759" s="7"/>
    </row>
    <row r="760" spans="1:35" ht="12.75" customHeight="1">
      <c r="A760" s="7"/>
      <c r="B760" s="7"/>
      <c r="C760" s="7"/>
      <c r="D760" s="7"/>
      <c r="E760" s="7"/>
      <c r="F760" s="7"/>
      <c r="G760" s="7"/>
      <c r="H760" s="7"/>
      <c r="I760" s="8"/>
      <c r="J760" s="8"/>
      <c r="P760" s="10"/>
      <c r="Q760" s="10"/>
      <c r="R760" s="10"/>
      <c r="S760" s="10"/>
      <c r="T760" s="10"/>
      <c r="U760" s="10"/>
      <c r="V760" s="10"/>
      <c r="W760" s="10"/>
      <c r="X760" s="10"/>
      <c r="Z760" s="10"/>
      <c r="AA760" s="7"/>
      <c r="AB760" s="7"/>
      <c r="AC760" s="7"/>
      <c r="AD760" s="7"/>
      <c r="AE760" s="7"/>
      <c r="AF760" s="7"/>
      <c r="AG760" s="7"/>
      <c r="AH760" s="7"/>
      <c r="AI760" s="7"/>
    </row>
    <row r="761" spans="1:35" ht="12.75" customHeight="1">
      <c r="A761" s="7"/>
      <c r="B761" s="7"/>
      <c r="C761" s="7"/>
      <c r="D761" s="7"/>
      <c r="E761" s="7"/>
      <c r="F761" s="7"/>
      <c r="G761" s="7"/>
      <c r="H761" s="7"/>
      <c r="I761" s="8"/>
      <c r="J761" s="8"/>
      <c r="P761" s="10"/>
      <c r="Q761" s="10"/>
      <c r="R761" s="10"/>
      <c r="S761" s="10"/>
      <c r="T761" s="10"/>
      <c r="U761" s="10"/>
      <c r="V761" s="10"/>
      <c r="W761" s="10"/>
      <c r="X761" s="10"/>
      <c r="Z761" s="10"/>
      <c r="AA761" s="7"/>
      <c r="AB761" s="7"/>
      <c r="AC761" s="7"/>
      <c r="AD761" s="7"/>
      <c r="AE761" s="7"/>
      <c r="AF761" s="7"/>
      <c r="AG761" s="7"/>
      <c r="AH761" s="7"/>
      <c r="AI761" s="7"/>
    </row>
    <row r="762" spans="1:35" ht="12.75" customHeight="1">
      <c r="A762" s="7"/>
      <c r="B762" s="7"/>
      <c r="C762" s="7"/>
      <c r="D762" s="7"/>
      <c r="E762" s="7"/>
      <c r="F762" s="7"/>
      <c r="G762" s="7"/>
      <c r="H762" s="7"/>
      <c r="I762" s="8"/>
      <c r="J762" s="8"/>
      <c r="P762" s="10"/>
      <c r="Q762" s="10"/>
      <c r="R762" s="10"/>
      <c r="S762" s="10"/>
      <c r="T762" s="10"/>
      <c r="U762" s="10"/>
      <c r="V762" s="10"/>
      <c r="W762" s="10"/>
      <c r="X762" s="10"/>
      <c r="Z762" s="10"/>
      <c r="AA762" s="7"/>
      <c r="AB762" s="7"/>
      <c r="AC762" s="7"/>
      <c r="AD762" s="7"/>
      <c r="AE762" s="7"/>
      <c r="AF762" s="7"/>
      <c r="AG762" s="7"/>
      <c r="AH762" s="7"/>
      <c r="AI762" s="7"/>
    </row>
    <row r="763" spans="1:35" ht="12.75" customHeight="1">
      <c r="A763" s="7"/>
      <c r="B763" s="7"/>
      <c r="C763" s="7"/>
      <c r="D763" s="7"/>
      <c r="E763" s="7"/>
      <c r="F763" s="7"/>
      <c r="G763" s="7"/>
      <c r="H763" s="7"/>
      <c r="I763" s="8"/>
      <c r="J763" s="8"/>
      <c r="P763" s="10"/>
      <c r="Q763" s="10"/>
      <c r="R763" s="10"/>
      <c r="S763" s="10"/>
      <c r="T763" s="10"/>
      <c r="U763" s="10"/>
      <c r="V763" s="10"/>
      <c r="W763" s="10"/>
      <c r="X763" s="10"/>
      <c r="Z763" s="10"/>
      <c r="AA763" s="7"/>
      <c r="AB763" s="7"/>
      <c r="AC763" s="7"/>
      <c r="AD763" s="7"/>
      <c r="AE763" s="7"/>
      <c r="AF763" s="7"/>
      <c r="AG763" s="7"/>
      <c r="AH763" s="7"/>
      <c r="AI763" s="7"/>
    </row>
    <row r="764" spans="1:35" ht="12.75" customHeight="1">
      <c r="A764" s="7"/>
      <c r="B764" s="7"/>
      <c r="C764" s="7"/>
      <c r="D764" s="7"/>
      <c r="E764" s="7"/>
      <c r="F764" s="7"/>
      <c r="G764" s="7"/>
      <c r="H764" s="7"/>
      <c r="I764" s="8"/>
      <c r="J764" s="8"/>
      <c r="P764" s="10"/>
      <c r="Q764" s="10"/>
      <c r="R764" s="10"/>
      <c r="S764" s="10"/>
      <c r="T764" s="10"/>
      <c r="U764" s="10"/>
      <c r="V764" s="10"/>
      <c r="W764" s="10"/>
      <c r="X764" s="10"/>
      <c r="Z764" s="10"/>
      <c r="AA764" s="7"/>
      <c r="AB764" s="7"/>
      <c r="AC764" s="7"/>
      <c r="AD764" s="7"/>
      <c r="AE764" s="7"/>
      <c r="AF764" s="7"/>
      <c r="AG764" s="7"/>
      <c r="AH764" s="7"/>
      <c r="AI764" s="7"/>
    </row>
    <row r="765" spans="1:35" ht="12.75" customHeight="1">
      <c r="A765" s="7"/>
      <c r="B765" s="7"/>
      <c r="C765" s="7"/>
      <c r="D765" s="7"/>
      <c r="E765" s="7"/>
      <c r="F765" s="7"/>
      <c r="G765" s="7"/>
      <c r="H765" s="7"/>
      <c r="I765" s="8"/>
      <c r="J765" s="8"/>
      <c r="P765" s="10"/>
      <c r="Q765" s="10"/>
      <c r="R765" s="10"/>
      <c r="S765" s="10"/>
      <c r="T765" s="10"/>
      <c r="U765" s="10"/>
      <c r="V765" s="10"/>
      <c r="W765" s="10"/>
      <c r="X765" s="10"/>
      <c r="Z765" s="10"/>
      <c r="AA765" s="7"/>
      <c r="AB765" s="7"/>
      <c r="AC765" s="7"/>
      <c r="AD765" s="7"/>
      <c r="AE765" s="7"/>
      <c r="AF765" s="7"/>
      <c r="AG765" s="7"/>
      <c r="AH765" s="7"/>
      <c r="AI765" s="7"/>
    </row>
    <row r="766" spans="1:35" ht="12.75" customHeight="1">
      <c r="A766" s="7"/>
      <c r="B766" s="7"/>
      <c r="C766" s="7"/>
      <c r="D766" s="7"/>
      <c r="E766" s="7"/>
      <c r="F766" s="7"/>
      <c r="G766" s="7"/>
      <c r="H766" s="7"/>
      <c r="I766" s="8"/>
      <c r="J766" s="8"/>
      <c r="P766" s="10"/>
      <c r="Q766" s="10"/>
      <c r="R766" s="10"/>
      <c r="S766" s="10"/>
      <c r="T766" s="10"/>
      <c r="U766" s="10"/>
      <c r="V766" s="10"/>
      <c r="W766" s="10"/>
      <c r="X766" s="10"/>
      <c r="Z766" s="10"/>
      <c r="AA766" s="7"/>
      <c r="AB766" s="7"/>
      <c r="AC766" s="7"/>
      <c r="AD766" s="7"/>
      <c r="AE766" s="7"/>
      <c r="AF766" s="7"/>
      <c r="AG766" s="7"/>
      <c r="AH766" s="7"/>
      <c r="AI766" s="7"/>
    </row>
    <row r="767" spans="1:35" ht="12.75" customHeight="1">
      <c r="A767" s="7"/>
      <c r="B767" s="7"/>
      <c r="C767" s="7"/>
      <c r="D767" s="7"/>
      <c r="E767" s="7"/>
      <c r="F767" s="7"/>
      <c r="G767" s="7"/>
      <c r="H767" s="7"/>
      <c r="I767" s="8"/>
      <c r="J767" s="8"/>
      <c r="P767" s="10"/>
      <c r="Q767" s="10"/>
      <c r="R767" s="10"/>
      <c r="S767" s="10"/>
      <c r="T767" s="10"/>
      <c r="U767" s="10"/>
      <c r="V767" s="10"/>
      <c r="W767" s="10"/>
      <c r="X767" s="10"/>
      <c r="Z767" s="10"/>
      <c r="AA767" s="7"/>
      <c r="AB767" s="7"/>
      <c r="AC767" s="7"/>
      <c r="AD767" s="7"/>
      <c r="AE767" s="7"/>
      <c r="AF767" s="7"/>
      <c r="AG767" s="7"/>
      <c r="AH767" s="7"/>
      <c r="AI767" s="7"/>
    </row>
    <row r="768" spans="1:35" ht="12.75" customHeight="1">
      <c r="A768" s="7"/>
      <c r="B768" s="7"/>
      <c r="C768" s="7"/>
      <c r="D768" s="7"/>
      <c r="E768" s="7"/>
      <c r="F768" s="7"/>
      <c r="G768" s="7"/>
      <c r="H768" s="7"/>
      <c r="I768" s="8"/>
      <c r="J768" s="8"/>
      <c r="P768" s="10"/>
      <c r="Q768" s="10"/>
      <c r="R768" s="10"/>
      <c r="S768" s="10"/>
      <c r="T768" s="10"/>
      <c r="U768" s="10"/>
      <c r="V768" s="10"/>
      <c r="W768" s="10"/>
      <c r="X768" s="10"/>
      <c r="Z768" s="10"/>
      <c r="AA768" s="7"/>
      <c r="AB768" s="7"/>
      <c r="AC768" s="7"/>
      <c r="AD768" s="7"/>
      <c r="AE768" s="7"/>
      <c r="AF768" s="7"/>
      <c r="AG768" s="7"/>
      <c r="AH768" s="7"/>
      <c r="AI768" s="7"/>
    </row>
    <row r="769" spans="1:35" ht="12.75" customHeight="1">
      <c r="A769" s="7"/>
      <c r="B769" s="7"/>
      <c r="C769" s="7"/>
      <c r="D769" s="7"/>
      <c r="E769" s="7"/>
      <c r="F769" s="7"/>
      <c r="G769" s="7"/>
      <c r="H769" s="7"/>
      <c r="I769" s="8"/>
      <c r="J769" s="8"/>
      <c r="P769" s="10"/>
      <c r="Q769" s="10"/>
      <c r="R769" s="10"/>
      <c r="S769" s="10"/>
      <c r="T769" s="10"/>
      <c r="U769" s="10"/>
      <c r="V769" s="10"/>
      <c r="W769" s="10"/>
      <c r="X769" s="10"/>
      <c r="Z769" s="10"/>
      <c r="AA769" s="7"/>
      <c r="AB769" s="7"/>
      <c r="AC769" s="7"/>
      <c r="AD769" s="7"/>
      <c r="AE769" s="7"/>
      <c r="AF769" s="7"/>
      <c r="AG769" s="7"/>
      <c r="AH769" s="7"/>
      <c r="AI769" s="7"/>
    </row>
    <row r="770" spans="1:35" ht="12.75" customHeight="1">
      <c r="A770" s="7"/>
      <c r="B770" s="7"/>
      <c r="C770" s="7"/>
      <c r="D770" s="7"/>
      <c r="E770" s="7"/>
      <c r="F770" s="7"/>
      <c r="G770" s="7"/>
      <c r="H770" s="7"/>
      <c r="I770" s="8"/>
      <c r="J770" s="8"/>
      <c r="P770" s="10"/>
      <c r="Q770" s="10"/>
      <c r="R770" s="10"/>
      <c r="S770" s="10"/>
      <c r="T770" s="10"/>
      <c r="U770" s="10"/>
      <c r="V770" s="10"/>
      <c r="W770" s="10"/>
      <c r="X770" s="10"/>
      <c r="Z770" s="10"/>
      <c r="AA770" s="7"/>
      <c r="AB770" s="7"/>
      <c r="AC770" s="7"/>
      <c r="AD770" s="7"/>
      <c r="AE770" s="7"/>
      <c r="AF770" s="7"/>
      <c r="AG770" s="7"/>
      <c r="AH770" s="7"/>
      <c r="AI770" s="7"/>
    </row>
    <row r="771" spans="1:35" ht="12.75" customHeight="1">
      <c r="A771" s="7"/>
      <c r="B771" s="7"/>
      <c r="C771" s="7"/>
      <c r="D771" s="7"/>
      <c r="E771" s="7"/>
      <c r="F771" s="7"/>
      <c r="G771" s="7"/>
      <c r="H771" s="7"/>
      <c r="I771" s="8"/>
      <c r="J771" s="8"/>
      <c r="P771" s="10"/>
      <c r="Q771" s="10"/>
      <c r="R771" s="10"/>
      <c r="S771" s="10"/>
      <c r="T771" s="10"/>
      <c r="U771" s="10"/>
      <c r="V771" s="10"/>
      <c r="W771" s="10"/>
      <c r="X771" s="10"/>
      <c r="Z771" s="10"/>
      <c r="AA771" s="7"/>
      <c r="AB771" s="7"/>
      <c r="AC771" s="7"/>
      <c r="AD771" s="7"/>
      <c r="AE771" s="7"/>
      <c r="AF771" s="7"/>
      <c r="AG771" s="7"/>
      <c r="AH771" s="7"/>
      <c r="AI771" s="7"/>
    </row>
    <row r="772" spans="1:35" ht="12.75" customHeight="1">
      <c r="A772" s="7"/>
      <c r="B772" s="7"/>
      <c r="C772" s="7"/>
      <c r="D772" s="7"/>
      <c r="E772" s="7"/>
      <c r="F772" s="7"/>
      <c r="G772" s="7"/>
      <c r="H772" s="7"/>
      <c r="I772" s="8"/>
      <c r="J772" s="8"/>
      <c r="P772" s="10"/>
      <c r="Q772" s="10"/>
      <c r="R772" s="10"/>
      <c r="S772" s="10"/>
      <c r="T772" s="10"/>
      <c r="U772" s="10"/>
      <c r="V772" s="10"/>
      <c r="W772" s="10"/>
      <c r="X772" s="10"/>
      <c r="Z772" s="10"/>
      <c r="AA772" s="7"/>
      <c r="AB772" s="7"/>
      <c r="AC772" s="7"/>
      <c r="AD772" s="7"/>
      <c r="AE772" s="7"/>
      <c r="AF772" s="7"/>
      <c r="AG772" s="7"/>
      <c r="AH772" s="7"/>
      <c r="AI772" s="7"/>
    </row>
    <row r="773" spans="1:35" ht="12.75" customHeight="1">
      <c r="A773" s="7"/>
      <c r="B773" s="7"/>
      <c r="C773" s="7"/>
      <c r="D773" s="7"/>
      <c r="E773" s="7"/>
      <c r="F773" s="7"/>
      <c r="G773" s="7"/>
      <c r="H773" s="7"/>
      <c r="I773" s="8"/>
      <c r="J773" s="8"/>
      <c r="P773" s="10"/>
      <c r="Q773" s="10"/>
      <c r="R773" s="10"/>
      <c r="S773" s="10"/>
      <c r="T773" s="10"/>
      <c r="U773" s="10"/>
      <c r="V773" s="10"/>
      <c r="W773" s="10"/>
      <c r="X773" s="10"/>
      <c r="Z773" s="10"/>
      <c r="AA773" s="7"/>
      <c r="AB773" s="7"/>
      <c r="AC773" s="7"/>
      <c r="AD773" s="7"/>
      <c r="AE773" s="7"/>
      <c r="AF773" s="7"/>
      <c r="AG773" s="7"/>
      <c r="AH773" s="7"/>
      <c r="AI773" s="7"/>
    </row>
    <row r="774" spans="1:35" ht="12.75" customHeight="1">
      <c r="A774" s="7"/>
      <c r="B774" s="7"/>
      <c r="C774" s="7"/>
      <c r="D774" s="7"/>
      <c r="E774" s="7"/>
      <c r="F774" s="7"/>
      <c r="G774" s="7"/>
      <c r="H774" s="7"/>
      <c r="I774" s="8"/>
      <c r="J774" s="8"/>
      <c r="P774" s="10"/>
      <c r="Q774" s="10"/>
      <c r="R774" s="10"/>
      <c r="S774" s="10"/>
      <c r="T774" s="10"/>
      <c r="U774" s="10"/>
      <c r="V774" s="10"/>
      <c r="W774" s="10"/>
      <c r="X774" s="10"/>
      <c r="Z774" s="10"/>
      <c r="AA774" s="7"/>
      <c r="AB774" s="7"/>
      <c r="AC774" s="7"/>
      <c r="AD774" s="7"/>
      <c r="AE774" s="7"/>
      <c r="AF774" s="7"/>
      <c r="AG774" s="7"/>
      <c r="AH774" s="7"/>
      <c r="AI774" s="7"/>
    </row>
    <row r="775" spans="1:35" ht="12.75" customHeight="1">
      <c r="A775" s="7"/>
      <c r="B775" s="7"/>
      <c r="C775" s="7"/>
      <c r="D775" s="7"/>
      <c r="E775" s="7"/>
      <c r="F775" s="7"/>
      <c r="G775" s="7"/>
      <c r="H775" s="7"/>
      <c r="I775" s="8"/>
      <c r="J775" s="8"/>
      <c r="P775" s="10"/>
      <c r="Q775" s="10"/>
      <c r="R775" s="10"/>
      <c r="S775" s="10"/>
      <c r="T775" s="10"/>
      <c r="U775" s="10"/>
      <c r="V775" s="10"/>
      <c r="W775" s="10"/>
      <c r="X775" s="10"/>
      <c r="Z775" s="10"/>
      <c r="AA775" s="7"/>
      <c r="AB775" s="7"/>
      <c r="AC775" s="7"/>
      <c r="AD775" s="7"/>
      <c r="AE775" s="7"/>
      <c r="AF775" s="7"/>
      <c r="AG775" s="7"/>
      <c r="AH775" s="7"/>
      <c r="AI775" s="7"/>
    </row>
    <row r="776" spans="1:35" ht="12.75" customHeight="1">
      <c r="A776" s="7"/>
      <c r="B776" s="7"/>
      <c r="C776" s="7"/>
      <c r="D776" s="7"/>
      <c r="E776" s="7"/>
      <c r="F776" s="7"/>
      <c r="G776" s="7"/>
      <c r="H776" s="7"/>
      <c r="I776" s="8"/>
      <c r="J776" s="8"/>
      <c r="P776" s="10"/>
      <c r="Q776" s="10"/>
      <c r="R776" s="10"/>
      <c r="S776" s="10"/>
      <c r="T776" s="10"/>
      <c r="U776" s="10"/>
      <c r="V776" s="10"/>
      <c r="W776" s="10"/>
      <c r="X776" s="10"/>
      <c r="Z776" s="10"/>
      <c r="AA776" s="7"/>
      <c r="AB776" s="7"/>
      <c r="AC776" s="7"/>
      <c r="AD776" s="7"/>
      <c r="AE776" s="7"/>
      <c r="AF776" s="7"/>
      <c r="AG776" s="7"/>
      <c r="AH776" s="7"/>
      <c r="AI776" s="7"/>
    </row>
    <row r="777" spans="1:35" ht="12.75" customHeight="1">
      <c r="A777" s="7"/>
      <c r="B777" s="7"/>
      <c r="C777" s="7"/>
      <c r="D777" s="7"/>
      <c r="E777" s="7"/>
      <c r="F777" s="7"/>
      <c r="G777" s="7"/>
      <c r="H777" s="7"/>
      <c r="I777" s="8"/>
      <c r="J777" s="8"/>
      <c r="P777" s="10"/>
      <c r="Q777" s="10"/>
      <c r="R777" s="10"/>
      <c r="S777" s="10"/>
      <c r="T777" s="10"/>
      <c r="U777" s="10"/>
      <c r="V777" s="10"/>
      <c r="W777" s="10"/>
      <c r="X777" s="10"/>
      <c r="Z777" s="10"/>
      <c r="AA777" s="7"/>
      <c r="AB777" s="7"/>
      <c r="AC777" s="7"/>
      <c r="AD777" s="7"/>
      <c r="AE777" s="7"/>
      <c r="AF777" s="7"/>
      <c r="AG777" s="7"/>
      <c r="AH777" s="7"/>
      <c r="AI777" s="7"/>
    </row>
    <row r="778" spans="1:35" ht="12.75" customHeight="1">
      <c r="A778" s="7"/>
      <c r="B778" s="7"/>
      <c r="C778" s="7"/>
      <c r="D778" s="7"/>
      <c r="E778" s="7"/>
      <c r="F778" s="7"/>
      <c r="G778" s="7"/>
      <c r="H778" s="7"/>
      <c r="I778" s="8"/>
      <c r="J778" s="8"/>
      <c r="P778" s="10"/>
      <c r="Q778" s="10"/>
      <c r="R778" s="10"/>
      <c r="S778" s="10"/>
      <c r="T778" s="10"/>
      <c r="U778" s="10"/>
      <c r="V778" s="10"/>
      <c r="W778" s="10"/>
      <c r="X778" s="10"/>
      <c r="Z778" s="10"/>
      <c r="AA778" s="7"/>
      <c r="AB778" s="7"/>
      <c r="AC778" s="7"/>
      <c r="AD778" s="7"/>
      <c r="AE778" s="7"/>
      <c r="AF778" s="7"/>
      <c r="AG778" s="7"/>
      <c r="AH778" s="7"/>
      <c r="AI778" s="7"/>
    </row>
    <row r="779" spans="1:35" ht="12.75" customHeight="1">
      <c r="A779" s="7"/>
      <c r="B779" s="7"/>
      <c r="C779" s="7"/>
      <c r="D779" s="7"/>
      <c r="E779" s="7"/>
      <c r="F779" s="7"/>
      <c r="G779" s="7"/>
      <c r="H779" s="7"/>
      <c r="I779" s="8"/>
      <c r="J779" s="8"/>
      <c r="P779" s="10"/>
      <c r="Q779" s="10"/>
      <c r="R779" s="10"/>
      <c r="S779" s="10"/>
      <c r="T779" s="10"/>
      <c r="U779" s="10"/>
      <c r="V779" s="10"/>
      <c r="W779" s="10"/>
      <c r="X779" s="10"/>
      <c r="Z779" s="10"/>
      <c r="AA779" s="7"/>
      <c r="AB779" s="7"/>
      <c r="AC779" s="7"/>
      <c r="AD779" s="7"/>
      <c r="AE779" s="7"/>
      <c r="AF779" s="7"/>
      <c r="AG779" s="7"/>
      <c r="AH779" s="7"/>
      <c r="AI779" s="7"/>
    </row>
    <row r="780" spans="1:35" ht="12.75" customHeight="1">
      <c r="A780" s="7"/>
      <c r="B780" s="7"/>
      <c r="C780" s="7"/>
      <c r="D780" s="7"/>
      <c r="E780" s="7"/>
      <c r="F780" s="7"/>
      <c r="G780" s="7"/>
      <c r="H780" s="7"/>
      <c r="I780" s="8"/>
      <c r="J780" s="8"/>
      <c r="P780" s="10"/>
      <c r="Q780" s="10"/>
      <c r="R780" s="10"/>
      <c r="S780" s="10"/>
      <c r="T780" s="10"/>
      <c r="U780" s="10"/>
      <c r="V780" s="10"/>
      <c r="W780" s="10"/>
      <c r="X780" s="10"/>
      <c r="Z780" s="10"/>
      <c r="AA780" s="7"/>
      <c r="AB780" s="7"/>
      <c r="AC780" s="7"/>
      <c r="AD780" s="7"/>
      <c r="AE780" s="7"/>
      <c r="AF780" s="7"/>
      <c r="AG780" s="7"/>
      <c r="AH780" s="7"/>
      <c r="AI780" s="7"/>
    </row>
    <row r="781" spans="1:35" ht="12.75" customHeight="1">
      <c r="A781" s="7"/>
      <c r="B781" s="7"/>
      <c r="C781" s="7"/>
      <c r="D781" s="7"/>
      <c r="E781" s="7"/>
      <c r="F781" s="7"/>
      <c r="G781" s="7"/>
      <c r="H781" s="7"/>
      <c r="I781" s="8"/>
      <c r="J781" s="8"/>
      <c r="P781" s="10"/>
      <c r="Q781" s="10"/>
      <c r="R781" s="10"/>
      <c r="S781" s="10"/>
      <c r="T781" s="10"/>
      <c r="U781" s="10"/>
      <c r="V781" s="10"/>
      <c r="W781" s="10"/>
      <c r="X781" s="10"/>
      <c r="Z781" s="10"/>
      <c r="AA781" s="7"/>
      <c r="AB781" s="7"/>
      <c r="AC781" s="7"/>
      <c r="AD781" s="7"/>
      <c r="AE781" s="7"/>
      <c r="AF781" s="7"/>
      <c r="AG781" s="7"/>
      <c r="AH781" s="7"/>
      <c r="AI781" s="7"/>
    </row>
    <row r="782" spans="1:35" ht="12.75" customHeight="1">
      <c r="A782" s="7"/>
      <c r="B782" s="7"/>
      <c r="C782" s="7"/>
      <c r="D782" s="7"/>
      <c r="E782" s="7"/>
      <c r="F782" s="7"/>
      <c r="G782" s="7"/>
      <c r="H782" s="7"/>
      <c r="I782" s="8"/>
      <c r="J782" s="8"/>
      <c r="P782" s="10"/>
      <c r="Q782" s="10"/>
      <c r="R782" s="10"/>
      <c r="S782" s="10"/>
      <c r="T782" s="10"/>
      <c r="U782" s="10"/>
      <c r="V782" s="10"/>
      <c r="W782" s="10"/>
      <c r="X782" s="10"/>
      <c r="Z782" s="10"/>
      <c r="AA782" s="7"/>
      <c r="AB782" s="7"/>
      <c r="AC782" s="7"/>
      <c r="AD782" s="7"/>
      <c r="AE782" s="7"/>
      <c r="AF782" s="7"/>
      <c r="AG782" s="7"/>
      <c r="AH782" s="7"/>
      <c r="AI782" s="7"/>
    </row>
    <row r="783" spans="1:35" ht="12.75" customHeight="1">
      <c r="A783" s="7"/>
      <c r="B783" s="7"/>
      <c r="C783" s="7"/>
      <c r="D783" s="7"/>
      <c r="E783" s="7"/>
      <c r="F783" s="7"/>
      <c r="G783" s="7"/>
      <c r="H783" s="7"/>
      <c r="I783" s="8"/>
      <c r="J783" s="8"/>
      <c r="P783" s="10"/>
      <c r="Q783" s="10"/>
      <c r="R783" s="10"/>
      <c r="S783" s="10"/>
      <c r="T783" s="10"/>
      <c r="U783" s="10"/>
      <c r="V783" s="10"/>
      <c r="W783" s="10"/>
      <c r="X783" s="10"/>
      <c r="Z783" s="10"/>
      <c r="AA783" s="7"/>
      <c r="AB783" s="7"/>
      <c r="AC783" s="7"/>
      <c r="AD783" s="7"/>
      <c r="AE783" s="7"/>
      <c r="AF783" s="7"/>
      <c r="AG783" s="7"/>
      <c r="AH783" s="7"/>
      <c r="AI783" s="7"/>
    </row>
    <row r="784" spans="1:35" ht="12.75" customHeight="1">
      <c r="A784" s="7"/>
      <c r="B784" s="7"/>
      <c r="C784" s="7"/>
      <c r="D784" s="7"/>
      <c r="E784" s="7"/>
      <c r="F784" s="7"/>
      <c r="G784" s="7"/>
      <c r="H784" s="7"/>
      <c r="I784" s="8"/>
      <c r="J784" s="8"/>
      <c r="P784" s="10"/>
      <c r="Q784" s="10"/>
      <c r="R784" s="10"/>
      <c r="S784" s="10"/>
      <c r="T784" s="10"/>
      <c r="U784" s="10"/>
      <c r="V784" s="10"/>
      <c r="W784" s="10"/>
      <c r="X784" s="10"/>
      <c r="Z784" s="10"/>
      <c r="AA784" s="7"/>
      <c r="AB784" s="7"/>
      <c r="AC784" s="7"/>
      <c r="AD784" s="7"/>
      <c r="AE784" s="7"/>
      <c r="AF784" s="7"/>
      <c r="AG784" s="7"/>
      <c r="AH784" s="7"/>
      <c r="AI784" s="7"/>
    </row>
    <row r="785" spans="1:35" ht="12.75" customHeight="1">
      <c r="A785" s="7"/>
      <c r="B785" s="7"/>
      <c r="C785" s="7"/>
      <c r="D785" s="7"/>
      <c r="E785" s="7"/>
      <c r="F785" s="7"/>
      <c r="G785" s="7"/>
      <c r="H785" s="7"/>
      <c r="I785" s="8"/>
      <c r="J785" s="8"/>
      <c r="P785" s="10"/>
      <c r="Q785" s="10"/>
      <c r="R785" s="10"/>
      <c r="S785" s="10"/>
      <c r="T785" s="10"/>
      <c r="U785" s="10"/>
      <c r="V785" s="10"/>
      <c r="W785" s="10"/>
      <c r="X785" s="10"/>
      <c r="Z785" s="10"/>
      <c r="AA785" s="7"/>
      <c r="AB785" s="7"/>
      <c r="AC785" s="7"/>
      <c r="AD785" s="7"/>
      <c r="AE785" s="7"/>
      <c r="AF785" s="7"/>
      <c r="AG785" s="7"/>
      <c r="AH785" s="7"/>
      <c r="AI785" s="7"/>
    </row>
    <row r="786" spans="1:35" ht="12.75" customHeight="1">
      <c r="A786" s="7"/>
      <c r="B786" s="7"/>
      <c r="C786" s="7"/>
      <c r="D786" s="7"/>
      <c r="E786" s="7"/>
      <c r="F786" s="7"/>
      <c r="G786" s="7"/>
      <c r="H786" s="7"/>
      <c r="I786" s="8"/>
      <c r="J786" s="8"/>
      <c r="P786" s="10"/>
      <c r="Q786" s="10"/>
      <c r="R786" s="10"/>
      <c r="S786" s="10"/>
      <c r="T786" s="10"/>
      <c r="U786" s="10"/>
      <c r="V786" s="10"/>
      <c r="W786" s="10"/>
      <c r="X786" s="10"/>
      <c r="Z786" s="10"/>
      <c r="AA786" s="7"/>
      <c r="AB786" s="7"/>
      <c r="AC786" s="7"/>
      <c r="AD786" s="7"/>
      <c r="AE786" s="7"/>
      <c r="AF786" s="7"/>
      <c r="AG786" s="7"/>
      <c r="AH786" s="7"/>
      <c r="AI786" s="7"/>
    </row>
    <row r="787" spans="1:35" ht="12.75" customHeight="1">
      <c r="A787" s="7"/>
      <c r="B787" s="7"/>
      <c r="C787" s="7"/>
      <c r="D787" s="7"/>
      <c r="E787" s="7"/>
      <c r="F787" s="7"/>
      <c r="G787" s="7"/>
      <c r="H787" s="7"/>
      <c r="I787" s="8"/>
      <c r="J787" s="8"/>
      <c r="P787" s="10"/>
      <c r="Q787" s="10"/>
      <c r="R787" s="10"/>
      <c r="S787" s="10"/>
      <c r="T787" s="10"/>
      <c r="U787" s="10"/>
      <c r="V787" s="10"/>
      <c r="W787" s="10"/>
      <c r="X787" s="10"/>
      <c r="Z787" s="10"/>
      <c r="AA787" s="7"/>
      <c r="AB787" s="7"/>
      <c r="AC787" s="7"/>
      <c r="AD787" s="7"/>
      <c r="AE787" s="7"/>
      <c r="AF787" s="7"/>
      <c r="AG787" s="7"/>
      <c r="AH787" s="7"/>
      <c r="AI787" s="7"/>
    </row>
    <row r="788" spans="1:35" ht="12.75" customHeight="1">
      <c r="A788" s="7"/>
      <c r="B788" s="7"/>
      <c r="C788" s="7"/>
      <c r="D788" s="7"/>
      <c r="E788" s="7"/>
      <c r="F788" s="7"/>
      <c r="G788" s="7"/>
      <c r="H788" s="7"/>
      <c r="I788" s="8"/>
      <c r="J788" s="8"/>
      <c r="P788" s="10"/>
      <c r="Q788" s="10"/>
      <c r="R788" s="10"/>
      <c r="S788" s="10"/>
      <c r="T788" s="10"/>
      <c r="U788" s="10"/>
      <c r="V788" s="10"/>
      <c r="W788" s="10"/>
      <c r="X788" s="10"/>
      <c r="Z788" s="10"/>
      <c r="AA788" s="7"/>
      <c r="AB788" s="7"/>
      <c r="AC788" s="7"/>
      <c r="AD788" s="7"/>
      <c r="AE788" s="7"/>
      <c r="AF788" s="7"/>
      <c r="AG788" s="7"/>
      <c r="AH788" s="7"/>
      <c r="AI788" s="7"/>
    </row>
    <row r="789" spans="1:35" ht="12.75" customHeight="1">
      <c r="A789" s="7"/>
      <c r="B789" s="7"/>
      <c r="C789" s="7"/>
      <c r="D789" s="7"/>
      <c r="E789" s="7"/>
      <c r="F789" s="7"/>
      <c r="G789" s="7"/>
      <c r="H789" s="7"/>
      <c r="I789" s="8"/>
      <c r="J789" s="8"/>
      <c r="P789" s="10"/>
      <c r="Q789" s="10"/>
      <c r="R789" s="10"/>
      <c r="S789" s="10"/>
      <c r="T789" s="10"/>
      <c r="U789" s="10"/>
      <c r="V789" s="10"/>
      <c r="W789" s="10"/>
      <c r="X789" s="10"/>
      <c r="Z789" s="10"/>
      <c r="AA789" s="7"/>
      <c r="AB789" s="7"/>
      <c r="AC789" s="7"/>
      <c r="AD789" s="7"/>
      <c r="AE789" s="7"/>
      <c r="AF789" s="7"/>
      <c r="AG789" s="7"/>
      <c r="AH789" s="7"/>
      <c r="AI789" s="7"/>
    </row>
    <row r="790" spans="1:35" ht="12.75" customHeight="1">
      <c r="A790" s="7"/>
      <c r="B790" s="7"/>
      <c r="C790" s="7"/>
      <c r="D790" s="7"/>
      <c r="E790" s="7"/>
      <c r="F790" s="7"/>
      <c r="G790" s="7"/>
      <c r="H790" s="7"/>
      <c r="I790" s="8"/>
      <c r="J790" s="8"/>
      <c r="P790" s="10"/>
      <c r="Q790" s="10"/>
      <c r="R790" s="10"/>
      <c r="S790" s="10"/>
      <c r="T790" s="10"/>
      <c r="U790" s="10"/>
      <c r="V790" s="10"/>
      <c r="W790" s="10"/>
      <c r="X790" s="10"/>
      <c r="Z790" s="10"/>
      <c r="AA790" s="7"/>
      <c r="AB790" s="7"/>
      <c r="AC790" s="7"/>
      <c r="AD790" s="7"/>
      <c r="AE790" s="7"/>
      <c r="AF790" s="7"/>
      <c r="AG790" s="7"/>
      <c r="AH790" s="7"/>
      <c r="AI790" s="7"/>
    </row>
    <row r="791" spans="1:35" ht="12.75" customHeight="1">
      <c r="A791" s="7"/>
      <c r="B791" s="7"/>
      <c r="C791" s="7"/>
      <c r="D791" s="7"/>
      <c r="E791" s="7"/>
      <c r="F791" s="7"/>
      <c r="G791" s="7"/>
      <c r="H791" s="7"/>
      <c r="I791" s="8"/>
      <c r="J791" s="8"/>
      <c r="P791" s="10"/>
      <c r="Q791" s="10"/>
      <c r="R791" s="10"/>
      <c r="S791" s="10"/>
      <c r="T791" s="10"/>
      <c r="U791" s="10"/>
      <c r="V791" s="10"/>
      <c r="W791" s="10"/>
      <c r="X791" s="10"/>
      <c r="Z791" s="10"/>
      <c r="AA791" s="7"/>
      <c r="AB791" s="7"/>
      <c r="AC791" s="7"/>
      <c r="AD791" s="7"/>
      <c r="AE791" s="7"/>
      <c r="AF791" s="7"/>
      <c r="AG791" s="7"/>
      <c r="AH791" s="7"/>
      <c r="AI791" s="7"/>
    </row>
    <row r="792" spans="1:35" ht="12.75" customHeight="1">
      <c r="A792" s="7"/>
      <c r="B792" s="7"/>
      <c r="C792" s="7"/>
      <c r="D792" s="7"/>
      <c r="E792" s="7"/>
      <c r="F792" s="7"/>
      <c r="G792" s="7"/>
      <c r="H792" s="7"/>
      <c r="I792" s="8"/>
      <c r="J792" s="8"/>
      <c r="P792" s="10"/>
      <c r="Q792" s="10"/>
      <c r="R792" s="10"/>
      <c r="S792" s="10"/>
      <c r="T792" s="10"/>
      <c r="U792" s="10"/>
      <c r="V792" s="10"/>
      <c r="W792" s="10"/>
      <c r="X792" s="10"/>
      <c r="Z792" s="10"/>
      <c r="AA792" s="7"/>
      <c r="AB792" s="7"/>
      <c r="AC792" s="7"/>
      <c r="AD792" s="7"/>
      <c r="AE792" s="7"/>
      <c r="AF792" s="7"/>
      <c r="AG792" s="7"/>
      <c r="AH792" s="7"/>
      <c r="AI792" s="7"/>
    </row>
    <row r="793" spans="1:35" ht="12.75" customHeight="1">
      <c r="A793" s="7"/>
      <c r="B793" s="7"/>
      <c r="C793" s="7"/>
      <c r="D793" s="7"/>
      <c r="E793" s="7"/>
      <c r="F793" s="7"/>
      <c r="G793" s="7"/>
      <c r="H793" s="7"/>
      <c r="I793" s="8"/>
      <c r="J793" s="8"/>
      <c r="P793" s="10"/>
      <c r="Q793" s="10"/>
      <c r="R793" s="10"/>
      <c r="S793" s="10"/>
      <c r="T793" s="10"/>
      <c r="U793" s="10"/>
      <c r="V793" s="10"/>
      <c r="W793" s="10"/>
      <c r="X793" s="10"/>
      <c r="Z793" s="10"/>
      <c r="AA793" s="7"/>
      <c r="AB793" s="7"/>
      <c r="AC793" s="7"/>
      <c r="AD793" s="7"/>
      <c r="AE793" s="7"/>
      <c r="AF793" s="7"/>
      <c r="AG793" s="7"/>
      <c r="AH793" s="7"/>
      <c r="AI793" s="7"/>
    </row>
    <row r="794" spans="1:35" ht="12.75" customHeight="1">
      <c r="A794" s="7"/>
      <c r="B794" s="7"/>
      <c r="C794" s="7"/>
      <c r="D794" s="7"/>
      <c r="E794" s="7"/>
      <c r="F794" s="7"/>
      <c r="G794" s="7"/>
      <c r="H794" s="7"/>
      <c r="I794" s="8"/>
      <c r="J794" s="8"/>
      <c r="P794" s="10"/>
      <c r="Q794" s="10"/>
      <c r="R794" s="10"/>
      <c r="S794" s="10"/>
      <c r="T794" s="10"/>
      <c r="U794" s="10"/>
      <c r="V794" s="10"/>
      <c r="W794" s="10"/>
      <c r="X794" s="10"/>
      <c r="Z794" s="10"/>
      <c r="AA794" s="7"/>
      <c r="AB794" s="7"/>
      <c r="AC794" s="7"/>
      <c r="AD794" s="7"/>
      <c r="AE794" s="7"/>
      <c r="AF794" s="7"/>
      <c r="AG794" s="7"/>
      <c r="AH794" s="7"/>
      <c r="AI794" s="7"/>
    </row>
    <row r="795" spans="1:35" ht="12.75" customHeight="1">
      <c r="A795" s="7"/>
      <c r="B795" s="7"/>
      <c r="C795" s="7"/>
      <c r="D795" s="7"/>
      <c r="E795" s="7"/>
      <c r="F795" s="7"/>
      <c r="G795" s="7"/>
      <c r="H795" s="7"/>
      <c r="I795" s="8"/>
      <c r="J795" s="8"/>
      <c r="P795" s="10"/>
      <c r="Q795" s="10"/>
      <c r="R795" s="10"/>
      <c r="S795" s="10"/>
      <c r="T795" s="10"/>
      <c r="U795" s="10"/>
      <c r="V795" s="10"/>
      <c r="W795" s="10"/>
      <c r="X795" s="10"/>
      <c r="Z795" s="10"/>
      <c r="AA795" s="7"/>
      <c r="AB795" s="7"/>
      <c r="AC795" s="7"/>
      <c r="AD795" s="7"/>
      <c r="AE795" s="7"/>
      <c r="AF795" s="7"/>
      <c r="AG795" s="7"/>
      <c r="AH795" s="7"/>
      <c r="AI795" s="7"/>
    </row>
    <row r="796" spans="1:35" ht="12.75" customHeight="1">
      <c r="A796" s="7"/>
      <c r="B796" s="7"/>
      <c r="C796" s="7"/>
      <c r="D796" s="7"/>
      <c r="E796" s="7"/>
      <c r="F796" s="7"/>
      <c r="G796" s="7"/>
      <c r="H796" s="7"/>
      <c r="I796" s="8"/>
      <c r="J796" s="8"/>
      <c r="P796" s="10"/>
      <c r="Q796" s="10"/>
      <c r="R796" s="10"/>
      <c r="S796" s="10"/>
      <c r="T796" s="10"/>
      <c r="U796" s="10"/>
      <c r="V796" s="10"/>
      <c r="W796" s="10"/>
      <c r="X796" s="10"/>
      <c r="Z796" s="10"/>
      <c r="AA796" s="7"/>
      <c r="AB796" s="7"/>
      <c r="AC796" s="7"/>
      <c r="AD796" s="7"/>
      <c r="AE796" s="7"/>
      <c r="AF796" s="7"/>
      <c r="AG796" s="7"/>
      <c r="AH796" s="7"/>
      <c r="AI796" s="7"/>
    </row>
    <row r="797" spans="1:35" ht="12.75" customHeight="1">
      <c r="A797" s="7"/>
      <c r="B797" s="7"/>
      <c r="C797" s="7"/>
      <c r="D797" s="7"/>
      <c r="E797" s="7"/>
      <c r="F797" s="7"/>
      <c r="G797" s="7"/>
      <c r="H797" s="7"/>
      <c r="I797" s="8"/>
      <c r="J797" s="8"/>
      <c r="P797" s="10"/>
      <c r="Q797" s="10"/>
      <c r="R797" s="10"/>
      <c r="S797" s="10"/>
      <c r="T797" s="10"/>
      <c r="U797" s="10"/>
      <c r="V797" s="10"/>
      <c r="W797" s="10"/>
      <c r="X797" s="10"/>
      <c r="Z797" s="10"/>
      <c r="AA797" s="7"/>
      <c r="AB797" s="7"/>
      <c r="AC797" s="7"/>
      <c r="AD797" s="7"/>
      <c r="AE797" s="7"/>
      <c r="AF797" s="7"/>
      <c r="AG797" s="7"/>
      <c r="AH797" s="7"/>
      <c r="AI797" s="7"/>
    </row>
    <row r="798" spans="1:35" ht="12.75" customHeight="1">
      <c r="A798" s="7"/>
      <c r="B798" s="7"/>
      <c r="C798" s="7"/>
      <c r="D798" s="7"/>
      <c r="E798" s="7"/>
      <c r="F798" s="7"/>
      <c r="G798" s="7"/>
      <c r="H798" s="7"/>
      <c r="I798" s="8"/>
      <c r="J798" s="8"/>
      <c r="P798" s="10"/>
      <c r="Q798" s="10"/>
      <c r="R798" s="10"/>
      <c r="S798" s="10"/>
      <c r="T798" s="10"/>
      <c r="U798" s="10"/>
      <c r="V798" s="10"/>
      <c r="W798" s="10"/>
      <c r="X798" s="10"/>
      <c r="Z798" s="10"/>
      <c r="AA798" s="7"/>
      <c r="AB798" s="7"/>
      <c r="AC798" s="7"/>
      <c r="AD798" s="7"/>
      <c r="AE798" s="7"/>
      <c r="AF798" s="7"/>
      <c r="AG798" s="7"/>
      <c r="AH798" s="7"/>
      <c r="AI798" s="7"/>
    </row>
    <row r="799" spans="1:35" ht="12.75" customHeight="1">
      <c r="A799" s="7"/>
      <c r="B799" s="7"/>
      <c r="C799" s="7"/>
      <c r="D799" s="7"/>
      <c r="E799" s="7"/>
      <c r="F799" s="7"/>
      <c r="G799" s="7"/>
      <c r="H799" s="7"/>
      <c r="I799" s="8"/>
      <c r="J799" s="8"/>
      <c r="P799" s="10"/>
      <c r="Q799" s="10"/>
      <c r="R799" s="10"/>
      <c r="S799" s="10"/>
      <c r="T799" s="10"/>
      <c r="U799" s="10"/>
      <c r="V799" s="10"/>
      <c r="W799" s="10"/>
      <c r="X799" s="10"/>
      <c r="Z799" s="10"/>
      <c r="AA799" s="7"/>
      <c r="AB799" s="7"/>
      <c r="AC799" s="7"/>
      <c r="AD799" s="7"/>
      <c r="AE799" s="7"/>
      <c r="AF799" s="7"/>
      <c r="AG799" s="7"/>
      <c r="AH799" s="7"/>
      <c r="AI799" s="7"/>
    </row>
    <row r="800" spans="1:35" ht="12.75" customHeight="1">
      <c r="A800" s="7"/>
      <c r="B800" s="7"/>
      <c r="C800" s="7"/>
      <c r="D800" s="7"/>
      <c r="E800" s="7"/>
      <c r="F800" s="7"/>
      <c r="G800" s="7"/>
      <c r="H800" s="7"/>
      <c r="I800" s="8"/>
      <c r="J800" s="8"/>
      <c r="P800" s="10"/>
      <c r="Q800" s="10"/>
      <c r="R800" s="10"/>
      <c r="S800" s="10"/>
      <c r="T800" s="10"/>
      <c r="U800" s="10"/>
      <c r="V800" s="10"/>
      <c r="W800" s="10"/>
      <c r="X800" s="10"/>
      <c r="Z800" s="10"/>
      <c r="AA800" s="7"/>
      <c r="AB800" s="7"/>
      <c r="AC800" s="7"/>
      <c r="AD800" s="7"/>
      <c r="AE800" s="7"/>
      <c r="AF800" s="7"/>
      <c r="AG800" s="7"/>
      <c r="AH800" s="7"/>
      <c r="AI800" s="7"/>
    </row>
    <row r="801" spans="1:35" ht="12.75" customHeight="1">
      <c r="A801" s="7"/>
      <c r="B801" s="7"/>
      <c r="C801" s="7"/>
      <c r="D801" s="7"/>
      <c r="E801" s="7"/>
      <c r="F801" s="7"/>
      <c r="G801" s="7"/>
      <c r="H801" s="7"/>
      <c r="I801" s="8"/>
      <c r="J801" s="8"/>
      <c r="P801" s="10"/>
      <c r="Q801" s="10"/>
      <c r="R801" s="10"/>
      <c r="S801" s="10"/>
      <c r="T801" s="10"/>
      <c r="U801" s="10"/>
      <c r="V801" s="10"/>
      <c r="W801" s="10"/>
      <c r="X801" s="10"/>
      <c r="Z801" s="10"/>
      <c r="AA801" s="7"/>
      <c r="AB801" s="7"/>
      <c r="AC801" s="7"/>
      <c r="AD801" s="7"/>
      <c r="AE801" s="7"/>
      <c r="AF801" s="7"/>
      <c r="AG801" s="7"/>
      <c r="AH801" s="7"/>
      <c r="AI801" s="7"/>
    </row>
    <row r="802" spans="1:35" ht="12.75" customHeight="1">
      <c r="A802" s="7"/>
      <c r="B802" s="7"/>
      <c r="C802" s="7"/>
      <c r="D802" s="7"/>
      <c r="E802" s="7"/>
      <c r="F802" s="7"/>
      <c r="G802" s="7"/>
      <c r="H802" s="7"/>
      <c r="I802" s="8"/>
      <c r="J802" s="8"/>
      <c r="P802" s="10"/>
      <c r="Q802" s="10"/>
      <c r="R802" s="10"/>
      <c r="S802" s="10"/>
      <c r="T802" s="10"/>
      <c r="U802" s="10"/>
      <c r="V802" s="10"/>
      <c r="W802" s="10"/>
      <c r="X802" s="10"/>
      <c r="Z802" s="10"/>
      <c r="AA802" s="7"/>
      <c r="AB802" s="7"/>
      <c r="AC802" s="7"/>
      <c r="AD802" s="7"/>
      <c r="AE802" s="7"/>
      <c r="AF802" s="7"/>
      <c r="AG802" s="7"/>
      <c r="AH802" s="7"/>
      <c r="AI802" s="7"/>
    </row>
    <row r="803" spans="1:35" ht="12.75" customHeight="1">
      <c r="A803" s="7"/>
      <c r="B803" s="7"/>
      <c r="C803" s="7"/>
      <c r="D803" s="7"/>
      <c r="E803" s="7"/>
      <c r="F803" s="7"/>
      <c r="G803" s="7"/>
      <c r="H803" s="7"/>
      <c r="I803" s="8"/>
      <c r="J803" s="8"/>
      <c r="P803" s="10"/>
      <c r="Q803" s="10"/>
      <c r="R803" s="10"/>
      <c r="S803" s="10"/>
      <c r="T803" s="10"/>
      <c r="U803" s="10"/>
      <c r="V803" s="10"/>
      <c r="W803" s="10"/>
      <c r="X803" s="10"/>
      <c r="Z803" s="10"/>
      <c r="AA803" s="7"/>
      <c r="AB803" s="7"/>
      <c r="AC803" s="7"/>
      <c r="AD803" s="7"/>
      <c r="AE803" s="7"/>
      <c r="AF803" s="7"/>
      <c r="AG803" s="7"/>
      <c r="AH803" s="7"/>
      <c r="AI803" s="7"/>
    </row>
    <row r="804" spans="1:35" ht="12.75" customHeight="1">
      <c r="A804" s="7"/>
      <c r="B804" s="7"/>
      <c r="C804" s="7"/>
      <c r="D804" s="7"/>
      <c r="E804" s="7"/>
      <c r="F804" s="7"/>
      <c r="G804" s="7"/>
      <c r="H804" s="7"/>
      <c r="I804" s="8"/>
      <c r="J804" s="8"/>
      <c r="P804" s="10"/>
      <c r="Q804" s="10"/>
      <c r="R804" s="10"/>
      <c r="S804" s="10"/>
      <c r="T804" s="10"/>
      <c r="U804" s="10"/>
      <c r="V804" s="10"/>
      <c r="W804" s="10"/>
      <c r="X804" s="10"/>
      <c r="Z804" s="10"/>
      <c r="AA804" s="7"/>
      <c r="AB804" s="7"/>
      <c r="AC804" s="7"/>
      <c r="AD804" s="7"/>
      <c r="AE804" s="7"/>
      <c r="AF804" s="7"/>
      <c r="AG804" s="7"/>
      <c r="AH804" s="7"/>
      <c r="AI804" s="7"/>
    </row>
    <row r="805" spans="1:35" ht="12.75" customHeight="1">
      <c r="A805" s="7"/>
      <c r="B805" s="7"/>
      <c r="C805" s="7"/>
      <c r="D805" s="7"/>
      <c r="E805" s="7"/>
      <c r="F805" s="7"/>
      <c r="G805" s="7"/>
      <c r="H805" s="7"/>
      <c r="I805" s="8"/>
      <c r="J805" s="8"/>
      <c r="P805" s="10"/>
      <c r="Q805" s="10"/>
      <c r="R805" s="10"/>
      <c r="S805" s="10"/>
      <c r="T805" s="10"/>
      <c r="U805" s="10"/>
      <c r="V805" s="10"/>
      <c r="W805" s="10"/>
      <c r="X805" s="10"/>
      <c r="Z805" s="10"/>
      <c r="AA805" s="7"/>
      <c r="AB805" s="7"/>
      <c r="AC805" s="7"/>
      <c r="AD805" s="7"/>
      <c r="AE805" s="7"/>
      <c r="AF805" s="7"/>
      <c r="AG805" s="7"/>
      <c r="AH805" s="7"/>
      <c r="AI805" s="7"/>
    </row>
    <row r="806" spans="1:35" ht="12.75" customHeight="1">
      <c r="A806" s="7"/>
      <c r="B806" s="7"/>
      <c r="C806" s="7"/>
      <c r="D806" s="7"/>
      <c r="E806" s="7"/>
      <c r="F806" s="7"/>
      <c r="G806" s="7"/>
      <c r="H806" s="7"/>
      <c r="I806" s="8"/>
      <c r="J806" s="8"/>
      <c r="P806" s="10"/>
      <c r="Q806" s="10"/>
      <c r="R806" s="10"/>
      <c r="S806" s="10"/>
      <c r="T806" s="10"/>
      <c r="U806" s="10"/>
      <c r="V806" s="10"/>
      <c r="W806" s="10"/>
      <c r="X806" s="10"/>
      <c r="Z806" s="10"/>
      <c r="AA806" s="7"/>
      <c r="AB806" s="7"/>
      <c r="AC806" s="7"/>
      <c r="AD806" s="7"/>
      <c r="AE806" s="7"/>
      <c r="AF806" s="7"/>
      <c r="AG806" s="7"/>
      <c r="AH806" s="7"/>
      <c r="AI806" s="7"/>
    </row>
    <row r="807" spans="1:35" ht="12.75" customHeight="1">
      <c r="A807" s="7"/>
      <c r="B807" s="7"/>
      <c r="C807" s="7"/>
      <c r="D807" s="7"/>
      <c r="E807" s="7"/>
      <c r="F807" s="7"/>
      <c r="G807" s="7"/>
      <c r="H807" s="7"/>
      <c r="I807" s="8"/>
      <c r="J807" s="8"/>
      <c r="P807" s="10"/>
      <c r="Q807" s="10"/>
      <c r="R807" s="10"/>
      <c r="S807" s="10"/>
      <c r="T807" s="10"/>
      <c r="U807" s="10"/>
      <c r="V807" s="10"/>
      <c r="W807" s="10"/>
      <c r="X807" s="10"/>
      <c r="Z807" s="10"/>
      <c r="AA807" s="7"/>
      <c r="AB807" s="7"/>
      <c r="AC807" s="7"/>
      <c r="AD807" s="7"/>
      <c r="AE807" s="7"/>
      <c r="AF807" s="7"/>
      <c r="AG807" s="7"/>
      <c r="AH807" s="7"/>
      <c r="AI807" s="7"/>
    </row>
    <row r="808" spans="1:35" ht="12.75" customHeight="1">
      <c r="A808" s="7"/>
      <c r="B808" s="7"/>
      <c r="C808" s="7"/>
      <c r="D808" s="7"/>
      <c r="E808" s="7"/>
      <c r="F808" s="7"/>
      <c r="G808" s="7"/>
      <c r="H808" s="7"/>
      <c r="I808" s="8"/>
      <c r="J808" s="8"/>
      <c r="P808" s="10"/>
      <c r="Q808" s="10"/>
      <c r="R808" s="10"/>
      <c r="S808" s="10"/>
      <c r="T808" s="10"/>
      <c r="U808" s="10"/>
      <c r="V808" s="10"/>
      <c r="W808" s="10"/>
      <c r="X808" s="10"/>
      <c r="Z808" s="10"/>
      <c r="AA808" s="7"/>
      <c r="AB808" s="7"/>
      <c r="AC808" s="7"/>
      <c r="AD808" s="7"/>
      <c r="AE808" s="7"/>
      <c r="AF808" s="7"/>
      <c r="AG808" s="7"/>
      <c r="AH808" s="7"/>
      <c r="AI808" s="7"/>
    </row>
    <row r="809" spans="1:35" ht="12.75" customHeight="1">
      <c r="A809" s="7"/>
      <c r="B809" s="7"/>
      <c r="C809" s="7"/>
      <c r="D809" s="7"/>
      <c r="E809" s="7"/>
      <c r="F809" s="7"/>
      <c r="G809" s="7"/>
      <c r="H809" s="7"/>
      <c r="I809" s="8"/>
      <c r="J809" s="8"/>
      <c r="P809" s="10"/>
      <c r="Q809" s="10"/>
      <c r="R809" s="10"/>
      <c r="S809" s="10"/>
      <c r="T809" s="10"/>
      <c r="U809" s="10"/>
      <c r="V809" s="10"/>
      <c r="W809" s="10"/>
      <c r="X809" s="10"/>
      <c r="Z809" s="10"/>
      <c r="AA809" s="7"/>
      <c r="AB809" s="7"/>
      <c r="AC809" s="7"/>
      <c r="AD809" s="7"/>
      <c r="AE809" s="7"/>
      <c r="AF809" s="7"/>
      <c r="AG809" s="7"/>
      <c r="AH809" s="7"/>
      <c r="AI809" s="7"/>
    </row>
    <row r="810" spans="1:35" ht="12.75" customHeight="1">
      <c r="A810" s="7"/>
      <c r="B810" s="7"/>
      <c r="C810" s="7"/>
      <c r="D810" s="7"/>
      <c r="E810" s="7"/>
      <c r="F810" s="7"/>
      <c r="G810" s="7"/>
      <c r="H810" s="7"/>
      <c r="I810" s="8"/>
      <c r="J810" s="8"/>
      <c r="P810" s="10"/>
      <c r="Q810" s="10"/>
      <c r="R810" s="10"/>
      <c r="S810" s="10"/>
      <c r="T810" s="10"/>
      <c r="U810" s="10"/>
      <c r="V810" s="10"/>
      <c r="W810" s="10"/>
      <c r="X810" s="10"/>
      <c r="Z810" s="10"/>
      <c r="AA810" s="7"/>
      <c r="AB810" s="7"/>
      <c r="AC810" s="7"/>
      <c r="AD810" s="7"/>
      <c r="AE810" s="7"/>
      <c r="AF810" s="7"/>
      <c r="AG810" s="7"/>
      <c r="AH810" s="7"/>
      <c r="AI810" s="7"/>
    </row>
    <row r="811" spans="1:35" ht="12.75" customHeight="1">
      <c r="A811" s="7"/>
      <c r="B811" s="7"/>
      <c r="C811" s="7"/>
      <c r="D811" s="7"/>
      <c r="E811" s="7"/>
      <c r="F811" s="7"/>
      <c r="G811" s="7"/>
      <c r="H811" s="7"/>
      <c r="I811" s="8"/>
      <c r="J811" s="8"/>
      <c r="P811" s="10"/>
      <c r="Q811" s="10"/>
      <c r="R811" s="10"/>
      <c r="S811" s="10"/>
      <c r="T811" s="10"/>
      <c r="U811" s="10"/>
      <c r="V811" s="10"/>
      <c r="W811" s="10"/>
      <c r="X811" s="10"/>
      <c r="Z811" s="10"/>
      <c r="AA811" s="7"/>
      <c r="AB811" s="7"/>
      <c r="AC811" s="7"/>
      <c r="AD811" s="7"/>
      <c r="AE811" s="7"/>
      <c r="AF811" s="7"/>
      <c r="AG811" s="7"/>
      <c r="AH811" s="7"/>
      <c r="AI811" s="7"/>
    </row>
    <row r="812" spans="1:35" ht="12.75" customHeight="1">
      <c r="A812" s="7"/>
      <c r="B812" s="7"/>
      <c r="C812" s="7"/>
      <c r="D812" s="7"/>
      <c r="E812" s="7"/>
      <c r="F812" s="7"/>
      <c r="G812" s="7"/>
      <c r="H812" s="7"/>
      <c r="I812" s="8"/>
      <c r="J812" s="8"/>
      <c r="P812" s="10"/>
      <c r="Q812" s="10"/>
      <c r="R812" s="10"/>
      <c r="S812" s="10"/>
      <c r="T812" s="10"/>
      <c r="U812" s="10"/>
      <c r="V812" s="10"/>
      <c r="W812" s="10"/>
      <c r="X812" s="10"/>
      <c r="Z812" s="10"/>
      <c r="AA812" s="7"/>
      <c r="AB812" s="7"/>
      <c r="AC812" s="7"/>
      <c r="AD812" s="7"/>
      <c r="AE812" s="7"/>
      <c r="AF812" s="7"/>
      <c r="AG812" s="7"/>
      <c r="AH812" s="7"/>
      <c r="AI812" s="7"/>
    </row>
    <row r="813" spans="1:35" ht="12.75" customHeight="1">
      <c r="A813" s="7"/>
      <c r="B813" s="7"/>
      <c r="C813" s="7"/>
      <c r="D813" s="7"/>
      <c r="E813" s="7"/>
      <c r="F813" s="7"/>
      <c r="G813" s="7"/>
      <c r="H813" s="7"/>
      <c r="I813" s="8"/>
      <c r="J813" s="8"/>
      <c r="P813" s="10"/>
      <c r="Q813" s="10"/>
      <c r="R813" s="10"/>
      <c r="S813" s="10"/>
      <c r="T813" s="10"/>
      <c r="U813" s="10"/>
      <c r="V813" s="10"/>
      <c r="W813" s="10"/>
      <c r="X813" s="10"/>
      <c r="Z813" s="10"/>
      <c r="AA813" s="7"/>
      <c r="AB813" s="7"/>
      <c r="AC813" s="7"/>
      <c r="AD813" s="7"/>
      <c r="AE813" s="7"/>
      <c r="AF813" s="7"/>
      <c r="AG813" s="7"/>
      <c r="AH813" s="7"/>
      <c r="AI813" s="7"/>
    </row>
    <row r="814" spans="1:35" ht="12.75" customHeight="1">
      <c r="A814" s="7"/>
      <c r="B814" s="7"/>
      <c r="C814" s="7"/>
      <c r="D814" s="7"/>
      <c r="E814" s="7"/>
      <c r="F814" s="7"/>
      <c r="G814" s="7"/>
      <c r="H814" s="7"/>
      <c r="I814" s="8"/>
      <c r="J814" s="8"/>
      <c r="P814" s="10"/>
      <c r="Q814" s="10"/>
      <c r="R814" s="10"/>
      <c r="S814" s="10"/>
      <c r="T814" s="10"/>
      <c r="U814" s="10"/>
      <c r="V814" s="10"/>
      <c r="W814" s="10"/>
      <c r="X814" s="10"/>
      <c r="Z814" s="10"/>
      <c r="AA814" s="7"/>
      <c r="AB814" s="7"/>
      <c r="AC814" s="7"/>
      <c r="AD814" s="7"/>
      <c r="AE814" s="7"/>
      <c r="AF814" s="7"/>
      <c r="AG814" s="7"/>
      <c r="AH814" s="7"/>
      <c r="AI814" s="7"/>
    </row>
    <row r="815" spans="1:35" ht="12.75" customHeight="1">
      <c r="A815" s="7"/>
      <c r="B815" s="7"/>
      <c r="C815" s="7"/>
      <c r="D815" s="7"/>
      <c r="E815" s="7"/>
      <c r="F815" s="7"/>
      <c r="G815" s="7"/>
      <c r="H815" s="7"/>
      <c r="I815" s="8"/>
      <c r="J815" s="8"/>
      <c r="P815" s="10"/>
      <c r="Q815" s="10"/>
      <c r="R815" s="10"/>
      <c r="S815" s="10"/>
      <c r="T815" s="10"/>
      <c r="U815" s="10"/>
      <c r="V815" s="10"/>
      <c r="W815" s="10"/>
      <c r="X815" s="10"/>
      <c r="Z815" s="10"/>
      <c r="AA815" s="7"/>
      <c r="AB815" s="7"/>
      <c r="AC815" s="7"/>
      <c r="AD815" s="7"/>
      <c r="AE815" s="7"/>
      <c r="AF815" s="7"/>
      <c r="AG815" s="7"/>
      <c r="AH815" s="7"/>
      <c r="AI815" s="7"/>
    </row>
    <row r="816" spans="1:35" ht="12.75" customHeight="1">
      <c r="A816" s="7"/>
      <c r="B816" s="7"/>
      <c r="C816" s="7"/>
      <c r="D816" s="7"/>
      <c r="E816" s="7"/>
      <c r="F816" s="7"/>
      <c r="G816" s="7"/>
      <c r="H816" s="7"/>
      <c r="I816" s="8"/>
      <c r="J816" s="8"/>
      <c r="P816" s="10"/>
      <c r="Q816" s="10"/>
      <c r="R816" s="10"/>
      <c r="S816" s="10"/>
      <c r="T816" s="10"/>
      <c r="U816" s="10"/>
      <c r="V816" s="10"/>
      <c r="W816" s="10"/>
      <c r="X816" s="10"/>
      <c r="Z816" s="10"/>
      <c r="AA816" s="7"/>
      <c r="AB816" s="7"/>
      <c r="AC816" s="7"/>
      <c r="AD816" s="7"/>
      <c r="AE816" s="7"/>
      <c r="AF816" s="7"/>
      <c r="AG816" s="7"/>
      <c r="AH816" s="7"/>
      <c r="AI816" s="7"/>
    </row>
    <row r="817" spans="1:35" ht="12.75" customHeight="1">
      <c r="A817" s="7"/>
      <c r="B817" s="7"/>
      <c r="C817" s="7"/>
      <c r="D817" s="7"/>
      <c r="E817" s="7"/>
      <c r="F817" s="7"/>
      <c r="G817" s="7"/>
      <c r="H817" s="7"/>
      <c r="I817" s="8"/>
      <c r="J817" s="8"/>
      <c r="P817" s="10"/>
      <c r="Q817" s="10"/>
      <c r="R817" s="10"/>
      <c r="S817" s="10"/>
      <c r="T817" s="10"/>
      <c r="U817" s="10"/>
      <c r="V817" s="10"/>
      <c r="W817" s="10"/>
      <c r="X817" s="10"/>
      <c r="Z817" s="10"/>
      <c r="AA817" s="7"/>
      <c r="AB817" s="7"/>
      <c r="AC817" s="7"/>
      <c r="AD817" s="7"/>
      <c r="AE817" s="7"/>
      <c r="AF817" s="7"/>
      <c r="AG817" s="7"/>
      <c r="AH817" s="7"/>
      <c r="AI817" s="7"/>
    </row>
    <row r="818" spans="1:35" ht="12.75" customHeight="1">
      <c r="A818" s="7"/>
      <c r="B818" s="7"/>
      <c r="C818" s="7"/>
      <c r="D818" s="7"/>
      <c r="E818" s="7"/>
      <c r="F818" s="7"/>
      <c r="G818" s="7"/>
      <c r="H818" s="7"/>
      <c r="I818" s="8"/>
      <c r="J818" s="8"/>
      <c r="P818" s="10"/>
      <c r="Q818" s="10"/>
      <c r="R818" s="10"/>
      <c r="S818" s="10"/>
      <c r="T818" s="10"/>
      <c r="U818" s="10"/>
      <c r="V818" s="10"/>
      <c r="W818" s="10"/>
      <c r="X818" s="10"/>
      <c r="Z818" s="10"/>
      <c r="AA818" s="7"/>
      <c r="AB818" s="7"/>
      <c r="AC818" s="7"/>
      <c r="AD818" s="7"/>
      <c r="AE818" s="7"/>
      <c r="AF818" s="7"/>
      <c r="AG818" s="7"/>
      <c r="AH818" s="7"/>
      <c r="AI818" s="7"/>
    </row>
    <row r="819" spans="1:35" ht="12.75" customHeight="1">
      <c r="A819" s="7"/>
      <c r="B819" s="7"/>
      <c r="C819" s="7"/>
      <c r="D819" s="7"/>
      <c r="E819" s="7"/>
      <c r="F819" s="7"/>
      <c r="G819" s="7"/>
      <c r="H819" s="7"/>
      <c r="I819" s="8"/>
      <c r="J819" s="8"/>
      <c r="P819" s="10"/>
      <c r="Q819" s="10"/>
      <c r="R819" s="10"/>
      <c r="S819" s="10"/>
      <c r="T819" s="10"/>
      <c r="U819" s="10"/>
      <c r="V819" s="10"/>
      <c r="W819" s="10"/>
      <c r="X819" s="10"/>
      <c r="Z819" s="10"/>
      <c r="AA819" s="7"/>
      <c r="AB819" s="7"/>
      <c r="AC819" s="7"/>
      <c r="AD819" s="7"/>
      <c r="AE819" s="7"/>
      <c r="AF819" s="7"/>
      <c r="AG819" s="7"/>
      <c r="AH819" s="7"/>
      <c r="AI819" s="7"/>
    </row>
    <row r="820" spans="1:35" ht="12.75" customHeight="1">
      <c r="A820" s="7"/>
      <c r="B820" s="7"/>
      <c r="C820" s="7"/>
      <c r="D820" s="7"/>
      <c r="E820" s="7"/>
      <c r="F820" s="7"/>
      <c r="G820" s="7"/>
      <c r="H820" s="7"/>
      <c r="I820" s="8"/>
      <c r="J820" s="8"/>
      <c r="P820" s="10"/>
      <c r="Q820" s="10"/>
      <c r="R820" s="10"/>
      <c r="S820" s="10"/>
      <c r="T820" s="10"/>
      <c r="U820" s="10"/>
      <c r="V820" s="10"/>
      <c r="W820" s="10"/>
      <c r="X820" s="10"/>
      <c r="Z820" s="10"/>
      <c r="AA820" s="7"/>
      <c r="AB820" s="7"/>
      <c r="AC820" s="7"/>
      <c r="AD820" s="7"/>
      <c r="AE820" s="7"/>
      <c r="AF820" s="7"/>
      <c r="AG820" s="7"/>
      <c r="AH820" s="7"/>
      <c r="AI820" s="7"/>
    </row>
    <row r="821" spans="1:35" ht="12.75" customHeight="1">
      <c r="A821" s="7"/>
      <c r="B821" s="7"/>
      <c r="C821" s="7"/>
      <c r="D821" s="7"/>
      <c r="E821" s="7"/>
      <c r="F821" s="7"/>
      <c r="G821" s="7"/>
      <c r="H821" s="7"/>
      <c r="I821" s="8"/>
      <c r="J821" s="8"/>
      <c r="P821" s="10"/>
      <c r="Q821" s="10"/>
      <c r="R821" s="10"/>
      <c r="S821" s="10"/>
      <c r="T821" s="10"/>
      <c r="U821" s="10"/>
      <c r="V821" s="10"/>
      <c r="W821" s="10"/>
      <c r="X821" s="10"/>
      <c r="Z821" s="10"/>
      <c r="AA821" s="7"/>
      <c r="AB821" s="7"/>
      <c r="AC821" s="7"/>
      <c r="AD821" s="7"/>
      <c r="AE821" s="7"/>
      <c r="AF821" s="7"/>
      <c r="AG821" s="7"/>
      <c r="AH821" s="7"/>
      <c r="AI821" s="7"/>
    </row>
    <row r="822" spans="1:35" ht="12.75" customHeight="1">
      <c r="A822" s="7"/>
      <c r="B822" s="7"/>
      <c r="C822" s="7"/>
      <c r="D822" s="7"/>
      <c r="E822" s="7"/>
      <c r="F822" s="7"/>
      <c r="G822" s="7"/>
      <c r="H822" s="7"/>
      <c r="I822" s="8"/>
      <c r="J822" s="8"/>
      <c r="P822" s="10"/>
      <c r="Q822" s="10"/>
      <c r="R822" s="10"/>
      <c r="S822" s="10"/>
      <c r="T822" s="10"/>
      <c r="U822" s="10"/>
      <c r="V822" s="10"/>
      <c r="W822" s="10"/>
      <c r="X822" s="10"/>
      <c r="Z822" s="10"/>
      <c r="AA822" s="7"/>
      <c r="AB822" s="7"/>
      <c r="AC822" s="7"/>
      <c r="AD822" s="7"/>
      <c r="AE822" s="7"/>
      <c r="AF822" s="7"/>
      <c r="AG822" s="7"/>
      <c r="AH822" s="7"/>
      <c r="AI822" s="7"/>
    </row>
    <row r="823" spans="1:35" ht="12.75" customHeight="1">
      <c r="A823" s="7"/>
      <c r="B823" s="7"/>
      <c r="C823" s="7"/>
      <c r="D823" s="7"/>
      <c r="E823" s="7"/>
      <c r="F823" s="7"/>
      <c r="G823" s="7"/>
      <c r="H823" s="7"/>
      <c r="I823" s="8"/>
      <c r="J823" s="8"/>
      <c r="P823" s="10"/>
      <c r="Q823" s="10"/>
      <c r="R823" s="10"/>
      <c r="S823" s="10"/>
      <c r="T823" s="10"/>
      <c r="U823" s="10"/>
      <c r="V823" s="10"/>
      <c r="W823" s="10"/>
      <c r="X823" s="10"/>
      <c r="Z823" s="10"/>
      <c r="AA823" s="7"/>
      <c r="AB823" s="7"/>
      <c r="AC823" s="7"/>
      <c r="AD823" s="7"/>
      <c r="AE823" s="7"/>
      <c r="AF823" s="7"/>
      <c r="AG823" s="7"/>
      <c r="AH823" s="7"/>
      <c r="AI823" s="7"/>
    </row>
    <row r="824" spans="1:35" ht="12.75" customHeight="1">
      <c r="A824" s="7"/>
      <c r="B824" s="7"/>
      <c r="C824" s="7"/>
      <c r="D824" s="7"/>
      <c r="E824" s="7"/>
      <c r="F824" s="7"/>
      <c r="G824" s="7"/>
      <c r="H824" s="7"/>
      <c r="I824" s="8"/>
      <c r="J824" s="8"/>
      <c r="P824" s="10"/>
      <c r="Q824" s="10"/>
      <c r="R824" s="10"/>
      <c r="S824" s="10"/>
      <c r="T824" s="10"/>
      <c r="U824" s="10"/>
      <c r="V824" s="10"/>
      <c r="W824" s="10"/>
      <c r="X824" s="10"/>
      <c r="Z824" s="10"/>
      <c r="AA824" s="7"/>
      <c r="AB824" s="7"/>
      <c r="AC824" s="7"/>
      <c r="AD824" s="7"/>
      <c r="AE824" s="7"/>
      <c r="AF824" s="7"/>
      <c r="AG824" s="7"/>
      <c r="AH824" s="7"/>
      <c r="AI824" s="7"/>
    </row>
    <row r="825" spans="1:35" ht="12.75" customHeight="1">
      <c r="A825" s="7"/>
      <c r="B825" s="7"/>
      <c r="C825" s="7"/>
      <c r="D825" s="7"/>
      <c r="E825" s="7"/>
      <c r="F825" s="7"/>
      <c r="G825" s="7"/>
      <c r="H825" s="7"/>
      <c r="I825" s="8"/>
      <c r="J825" s="8"/>
      <c r="P825" s="10"/>
      <c r="Q825" s="10"/>
      <c r="R825" s="10"/>
      <c r="S825" s="10"/>
      <c r="T825" s="10"/>
      <c r="U825" s="10"/>
      <c r="V825" s="10"/>
      <c r="W825" s="10"/>
      <c r="X825" s="10"/>
      <c r="Z825" s="10"/>
      <c r="AA825" s="7"/>
      <c r="AB825" s="7"/>
      <c r="AC825" s="7"/>
      <c r="AD825" s="7"/>
      <c r="AE825" s="7"/>
      <c r="AF825" s="7"/>
      <c r="AG825" s="7"/>
      <c r="AH825" s="7"/>
      <c r="AI825" s="7"/>
    </row>
    <row r="826" spans="1:35" ht="12.75" customHeight="1">
      <c r="A826" s="7"/>
      <c r="B826" s="7"/>
      <c r="C826" s="7"/>
      <c r="D826" s="7"/>
      <c r="E826" s="7"/>
      <c r="F826" s="7"/>
      <c r="G826" s="7"/>
      <c r="H826" s="7"/>
      <c r="I826" s="8"/>
      <c r="J826" s="8"/>
      <c r="P826" s="10"/>
      <c r="Q826" s="10"/>
      <c r="R826" s="10"/>
      <c r="S826" s="10"/>
      <c r="T826" s="10"/>
      <c r="U826" s="10"/>
      <c r="V826" s="10"/>
      <c r="W826" s="10"/>
      <c r="X826" s="10"/>
      <c r="Z826" s="10"/>
      <c r="AA826" s="7"/>
      <c r="AB826" s="7"/>
      <c r="AC826" s="7"/>
      <c r="AD826" s="7"/>
      <c r="AE826" s="7"/>
      <c r="AF826" s="7"/>
      <c r="AG826" s="7"/>
      <c r="AH826" s="7"/>
      <c r="AI826" s="7"/>
    </row>
    <row r="827" spans="1:35" ht="12.75" customHeight="1">
      <c r="A827" s="7"/>
      <c r="B827" s="7"/>
      <c r="C827" s="7"/>
      <c r="D827" s="7"/>
      <c r="E827" s="7"/>
      <c r="F827" s="7"/>
      <c r="G827" s="7"/>
      <c r="H827" s="7"/>
      <c r="I827" s="8"/>
      <c r="J827" s="8"/>
      <c r="P827" s="10"/>
      <c r="Q827" s="10"/>
      <c r="R827" s="10"/>
      <c r="S827" s="10"/>
      <c r="T827" s="10"/>
      <c r="U827" s="10"/>
      <c r="V827" s="10"/>
      <c r="W827" s="10"/>
      <c r="X827" s="10"/>
      <c r="Z827" s="10"/>
      <c r="AA827" s="7"/>
      <c r="AB827" s="7"/>
      <c r="AC827" s="7"/>
      <c r="AD827" s="7"/>
      <c r="AE827" s="7"/>
      <c r="AF827" s="7"/>
      <c r="AG827" s="7"/>
      <c r="AH827" s="7"/>
      <c r="AI827" s="7"/>
    </row>
    <row r="828" spans="1:35" ht="12.75" customHeight="1">
      <c r="A828" s="7"/>
      <c r="B828" s="7"/>
      <c r="C828" s="7"/>
      <c r="D828" s="7"/>
      <c r="E828" s="7"/>
      <c r="F828" s="7"/>
      <c r="G828" s="7"/>
      <c r="H828" s="7"/>
      <c r="I828" s="8"/>
      <c r="J828" s="8"/>
      <c r="P828" s="10"/>
      <c r="Q828" s="10"/>
      <c r="R828" s="10"/>
      <c r="S828" s="10"/>
      <c r="T828" s="10"/>
      <c r="U828" s="10"/>
      <c r="V828" s="10"/>
      <c r="W828" s="10"/>
      <c r="X828" s="10"/>
      <c r="Z828" s="10"/>
      <c r="AA828" s="7"/>
      <c r="AB828" s="7"/>
      <c r="AC828" s="7"/>
      <c r="AD828" s="7"/>
      <c r="AE828" s="7"/>
      <c r="AF828" s="7"/>
      <c r="AG828" s="7"/>
      <c r="AH828" s="7"/>
      <c r="AI828" s="7"/>
    </row>
    <row r="829" spans="1:35" ht="12.75" customHeight="1">
      <c r="A829" s="7"/>
      <c r="B829" s="7"/>
      <c r="C829" s="7"/>
      <c r="D829" s="7"/>
      <c r="E829" s="7"/>
      <c r="F829" s="7"/>
      <c r="G829" s="7"/>
      <c r="H829" s="7"/>
      <c r="I829" s="8"/>
      <c r="J829" s="8"/>
      <c r="P829" s="10"/>
      <c r="Q829" s="10"/>
      <c r="R829" s="10"/>
      <c r="S829" s="10"/>
      <c r="T829" s="10"/>
      <c r="U829" s="10"/>
      <c r="V829" s="10"/>
      <c r="W829" s="10"/>
      <c r="X829" s="10"/>
      <c r="Z829" s="10"/>
      <c r="AA829" s="7"/>
      <c r="AB829" s="7"/>
      <c r="AC829" s="7"/>
      <c r="AD829" s="7"/>
      <c r="AE829" s="7"/>
      <c r="AF829" s="7"/>
      <c r="AG829" s="7"/>
      <c r="AH829" s="7"/>
      <c r="AI829" s="7"/>
    </row>
    <row r="830" spans="1:35" ht="12.75" customHeight="1">
      <c r="A830" s="7"/>
      <c r="B830" s="7"/>
      <c r="C830" s="7"/>
      <c r="D830" s="7"/>
      <c r="E830" s="7"/>
      <c r="F830" s="7"/>
      <c r="G830" s="7"/>
      <c r="H830" s="7"/>
      <c r="I830" s="8"/>
      <c r="J830" s="8"/>
      <c r="P830" s="10"/>
      <c r="Q830" s="10"/>
      <c r="R830" s="10"/>
      <c r="S830" s="10"/>
      <c r="T830" s="10"/>
      <c r="U830" s="10"/>
      <c r="V830" s="10"/>
      <c r="W830" s="10"/>
      <c r="X830" s="10"/>
      <c r="Z830" s="10"/>
      <c r="AA830" s="7"/>
      <c r="AB830" s="7"/>
      <c r="AC830" s="7"/>
      <c r="AD830" s="7"/>
      <c r="AE830" s="7"/>
      <c r="AF830" s="7"/>
      <c r="AG830" s="7"/>
      <c r="AH830" s="7"/>
      <c r="AI830" s="7"/>
    </row>
    <row r="831" spans="1:35" ht="12.75" customHeight="1">
      <c r="A831" s="7"/>
      <c r="B831" s="7"/>
      <c r="C831" s="7"/>
      <c r="D831" s="7"/>
      <c r="E831" s="7"/>
      <c r="F831" s="7"/>
      <c r="G831" s="7"/>
      <c r="H831" s="7"/>
      <c r="I831" s="8"/>
      <c r="J831" s="8"/>
      <c r="P831" s="10"/>
      <c r="Q831" s="10"/>
      <c r="R831" s="10"/>
      <c r="S831" s="10"/>
      <c r="T831" s="10"/>
      <c r="U831" s="10"/>
      <c r="V831" s="10"/>
      <c r="W831" s="10"/>
      <c r="X831" s="10"/>
      <c r="Z831" s="10"/>
      <c r="AA831" s="7"/>
      <c r="AB831" s="7"/>
      <c r="AC831" s="7"/>
      <c r="AD831" s="7"/>
      <c r="AE831" s="7"/>
      <c r="AF831" s="7"/>
      <c r="AG831" s="7"/>
      <c r="AH831" s="7"/>
      <c r="AI831" s="7"/>
    </row>
    <row r="832" spans="1:35" ht="12.75" customHeight="1">
      <c r="A832" s="7"/>
      <c r="B832" s="7"/>
      <c r="C832" s="7"/>
      <c r="D832" s="7"/>
      <c r="E832" s="7"/>
      <c r="F832" s="7"/>
      <c r="G832" s="7"/>
      <c r="H832" s="7"/>
      <c r="I832" s="8"/>
      <c r="J832" s="8"/>
      <c r="P832" s="10"/>
      <c r="Q832" s="10"/>
      <c r="R832" s="10"/>
      <c r="S832" s="10"/>
      <c r="T832" s="10"/>
      <c r="U832" s="10"/>
      <c r="V832" s="10"/>
      <c r="W832" s="10"/>
      <c r="X832" s="10"/>
      <c r="Z832" s="10"/>
      <c r="AA832" s="7"/>
      <c r="AB832" s="7"/>
      <c r="AC832" s="7"/>
      <c r="AD832" s="7"/>
      <c r="AE832" s="7"/>
      <c r="AF832" s="7"/>
      <c r="AG832" s="7"/>
      <c r="AH832" s="7"/>
      <c r="AI832" s="7"/>
    </row>
    <row r="833" spans="1:35" ht="12.75" customHeight="1">
      <c r="A833" s="7"/>
      <c r="B833" s="7"/>
      <c r="C833" s="7"/>
      <c r="D833" s="7"/>
      <c r="E833" s="7"/>
      <c r="F833" s="7"/>
      <c r="G833" s="7"/>
      <c r="H833" s="7"/>
      <c r="I833" s="8"/>
      <c r="J833" s="8"/>
      <c r="P833" s="10"/>
      <c r="Q833" s="10"/>
      <c r="R833" s="10"/>
      <c r="S833" s="10"/>
      <c r="T833" s="10"/>
      <c r="U833" s="10"/>
      <c r="V833" s="10"/>
      <c r="W833" s="10"/>
      <c r="X833" s="10"/>
      <c r="Z833" s="10"/>
      <c r="AA833" s="7"/>
      <c r="AB833" s="7"/>
      <c r="AC833" s="7"/>
      <c r="AD833" s="7"/>
      <c r="AE833" s="7"/>
      <c r="AF833" s="7"/>
      <c r="AG833" s="7"/>
      <c r="AH833" s="7"/>
      <c r="AI833" s="7"/>
    </row>
    <row r="834" spans="1:35" ht="12.75" customHeight="1">
      <c r="A834" s="7"/>
      <c r="B834" s="7"/>
      <c r="C834" s="7"/>
      <c r="D834" s="7"/>
      <c r="E834" s="7"/>
      <c r="F834" s="7"/>
      <c r="G834" s="7"/>
      <c r="H834" s="7"/>
      <c r="I834" s="8"/>
      <c r="J834" s="8"/>
      <c r="P834" s="10"/>
      <c r="Q834" s="10"/>
      <c r="R834" s="10"/>
      <c r="S834" s="10"/>
      <c r="T834" s="10"/>
      <c r="U834" s="10"/>
      <c r="V834" s="10"/>
      <c r="W834" s="10"/>
      <c r="X834" s="10"/>
      <c r="Z834" s="10"/>
      <c r="AA834" s="7"/>
      <c r="AB834" s="7"/>
      <c r="AC834" s="7"/>
      <c r="AD834" s="7"/>
      <c r="AE834" s="7"/>
      <c r="AF834" s="7"/>
      <c r="AG834" s="7"/>
      <c r="AH834" s="7"/>
      <c r="AI834" s="7"/>
    </row>
    <row r="835" spans="1:35" ht="12.75" customHeight="1">
      <c r="A835" s="7"/>
      <c r="B835" s="7"/>
      <c r="C835" s="7"/>
      <c r="D835" s="7"/>
      <c r="E835" s="7"/>
      <c r="F835" s="7"/>
      <c r="G835" s="7"/>
      <c r="H835" s="7"/>
      <c r="I835" s="8"/>
      <c r="J835" s="8"/>
      <c r="P835" s="10"/>
      <c r="Q835" s="10"/>
      <c r="R835" s="10"/>
      <c r="S835" s="10"/>
      <c r="T835" s="10"/>
      <c r="U835" s="10"/>
      <c r="V835" s="10"/>
      <c r="W835" s="10"/>
      <c r="X835" s="10"/>
      <c r="Z835" s="10"/>
      <c r="AA835" s="7"/>
      <c r="AB835" s="7"/>
      <c r="AC835" s="7"/>
      <c r="AD835" s="7"/>
      <c r="AE835" s="7"/>
      <c r="AF835" s="7"/>
      <c r="AG835" s="7"/>
      <c r="AH835" s="7"/>
      <c r="AI835" s="7"/>
    </row>
    <row r="836" spans="1:35" ht="12.75" customHeight="1">
      <c r="A836" s="7"/>
      <c r="B836" s="7"/>
      <c r="C836" s="7"/>
      <c r="D836" s="7"/>
      <c r="E836" s="7"/>
      <c r="F836" s="7"/>
      <c r="G836" s="7"/>
      <c r="H836" s="7"/>
      <c r="I836" s="8"/>
      <c r="J836" s="8"/>
      <c r="P836" s="10"/>
      <c r="Q836" s="10"/>
      <c r="R836" s="10"/>
      <c r="S836" s="10"/>
      <c r="T836" s="10"/>
      <c r="U836" s="10"/>
      <c r="V836" s="10"/>
      <c r="W836" s="10"/>
      <c r="X836" s="10"/>
      <c r="Z836" s="10"/>
      <c r="AA836" s="7"/>
      <c r="AB836" s="7"/>
      <c r="AC836" s="7"/>
      <c r="AD836" s="7"/>
      <c r="AE836" s="7"/>
      <c r="AF836" s="7"/>
      <c r="AG836" s="7"/>
      <c r="AH836" s="7"/>
      <c r="AI836" s="7"/>
    </row>
    <row r="837" spans="1:35" ht="12.75" customHeight="1">
      <c r="A837" s="7"/>
      <c r="B837" s="7"/>
      <c r="C837" s="7"/>
      <c r="D837" s="7"/>
      <c r="E837" s="7"/>
      <c r="F837" s="7"/>
      <c r="G837" s="7"/>
      <c r="H837" s="7"/>
      <c r="I837" s="8"/>
      <c r="J837" s="8"/>
      <c r="P837" s="10"/>
      <c r="Q837" s="10"/>
      <c r="R837" s="10"/>
      <c r="S837" s="10"/>
      <c r="T837" s="10"/>
      <c r="U837" s="10"/>
      <c r="V837" s="10"/>
      <c r="W837" s="10"/>
      <c r="X837" s="10"/>
      <c r="Z837" s="10"/>
      <c r="AA837" s="7"/>
      <c r="AB837" s="7"/>
      <c r="AC837" s="7"/>
      <c r="AD837" s="7"/>
      <c r="AE837" s="7"/>
      <c r="AF837" s="7"/>
      <c r="AG837" s="7"/>
      <c r="AH837" s="7"/>
      <c r="AI837" s="7"/>
    </row>
    <row r="838" spans="1:35" ht="12.75" customHeight="1">
      <c r="A838" s="7"/>
      <c r="B838" s="7"/>
      <c r="C838" s="7"/>
      <c r="D838" s="7"/>
      <c r="E838" s="7"/>
      <c r="F838" s="7"/>
      <c r="G838" s="7"/>
      <c r="H838" s="7"/>
      <c r="I838" s="8"/>
      <c r="J838" s="8"/>
      <c r="P838" s="10"/>
      <c r="Q838" s="10"/>
      <c r="R838" s="10"/>
      <c r="S838" s="10"/>
      <c r="T838" s="10"/>
      <c r="U838" s="10"/>
      <c r="V838" s="10"/>
      <c r="W838" s="10"/>
      <c r="X838" s="10"/>
      <c r="Z838" s="10"/>
      <c r="AA838" s="7"/>
      <c r="AB838" s="7"/>
      <c r="AC838" s="7"/>
      <c r="AD838" s="7"/>
      <c r="AE838" s="7"/>
      <c r="AF838" s="7"/>
      <c r="AG838" s="7"/>
      <c r="AH838" s="7"/>
      <c r="AI838" s="7"/>
    </row>
    <row r="839" spans="1:35" ht="12.75" customHeight="1">
      <c r="A839" s="7"/>
      <c r="B839" s="7"/>
      <c r="C839" s="7"/>
      <c r="D839" s="7"/>
      <c r="E839" s="7"/>
      <c r="F839" s="7"/>
      <c r="G839" s="7"/>
      <c r="H839" s="7"/>
      <c r="I839" s="8"/>
      <c r="J839" s="8"/>
      <c r="P839" s="10"/>
      <c r="Q839" s="10"/>
      <c r="R839" s="10"/>
      <c r="S839" s="10"/>
      <c r="T839" s="10"/>
      <c r="U839" s="10"/>
      <c r="V839" s="10"/>
      <c r="W839" s="10"/>
      <c r="X839" s="10"/>
      <c r="Z839" s="10"/>
      <c r="AA839" s="7"/>
      <c r="AB839" s="7"/>
      <c r="AC839" s="7"/>
      <c r="AD839" s="7"/>
      <c r="AE839" s="7"/>
      <c r="AF839" s="7"/>
      <c r="AG839" s="7"/>
      <c r="AH839" s="7"/>
      <c r="AI839" s="7"/>
    </row>
    <row r="840" spans="1:35" ht="12.75" customHeight="1">
      <c r="A840" s="7"/>
      <c r="B840" s="7"/>
      <c r="C840" s="7"/>
      <c r="D840" s="7"/>
      <c r="E840" s="7"/>
      <c r="F840" s="7"/>
      <c r="G840" s="7"/>
      <c r="H840" s="7"/>
      <c r="I840" s="8"/>
      <c r="J840" s="8"/>
      <c r="P840" s="10"/>
      <c r="Q840" s="10"/>
      <c r="R840" s="10"/>
      <c r="S840" s="10"/>
      <c r="T840" s="10"/>
      <c r="U840" s="10"/>
      <c r="V840" s="10"/>
      <c r="W840" s="10"/>
      <c r="X840" s="10"/>
      <c r="Z840" s="10"/>
      <c r="AA840" s="7"/>
      <c r="AB840" s="7"/>
      <c r="AC840" s="7"/>
      <c r="AD840" s="7"/>
      <c r="AE840" s="7"/>
      <c r="AF840" s="7"/>
      <c r="AG840" s="7"/>
      <c r="AH840" s="7"/>
      <c r="AI840" s="7"/>
    </row>
    <row r="841" spans="1:35" ht="12.75" customHeight="1">
      <c r="A841" s="7"/>
      <c r="B841" s="7"/>
      <c r="C841" s="7"/>
      <c r="D841" s="7"/>
      <c r="E841" s="7"/>
      <c r="F841" s="7"/>
      <c r="G841" s="7"/>
      <c r="H841" s="7"/>
      <c r="I841" s="8"/>
      <c r="J841" s="8"/>
      <c r="P841" s="10"/>
      <c r="Q841" s="10"/>
      <c r="R841" s="10"/>
      <c r="S841" s="10"/>
      <c r="T841" s="10"/>
      <c r="U841" s="10"/>
      <c r="V841" s="10"/>
      <c r="W841" s="10"/>
      <c r="X841" s="10"/>
      <c r="Z841" s="10"/>
      <c r="AA841" s="7"/>
      <c r="AB841" s="7"/>
      <c r="AC841" s="7"/>
      <c r="AD841" s="7"/>
      <c r="AE841" s="7"/>
      <c r="AF841" s="7"/>
      <c r="AG841" s="7"/>
      <c r="AH841" s="7"/>
      <c r="AI841" s="7"/>
    </row>
    <row r="842" spans="1:35" ht="12.75" customHeight="1">
      <c r="A842" s="7"/>
      <c r="B842" s="7"/>
      <c r="C842" s="7"/>
      <c r="D842" s="7"/>
      <c r="E842" s="7"/>
      <c r="F842" s="7"/>
      <c r="G842" s="7"/>
      <c r="H842" s="7"/>
      <c r="I842" s="8"/>
      <c r="J842" s="8"/>
      <c r="P842" s="10"/>
      <c r="Q842" s="10"/>
      <c r="R842" s="10"/>
      <c r="S842" s="10"/>
      <c r="T842" s="10"/>
      <c r="U842" s="10"/>
      <c r="V842" s="10"/>
      <c r="W842" s="10"/>
      <c r="X842" s="10"/>
      <c r="Z842" s="10"/>
      <c r="AA842" s="7"/>
      <c r="AB842" s="7"/>
      <c r="AC842" s="7"/>
      <c r="AD842" s="7"/>
      <c r="AE842" s="7"/>
      <c r="AF842" s="7"/>
      <c r="AG842" s="7"/>
      <c r="AH842" s="7"/>
      <c r="AI842" s="7"/>
    </row>
    <row r="843" spans="1:35" ht="12.75" customHeight="1">
      <c r="A843" s="7"/>
      <c r="B843" s="7"/>
      <c r="C843" s="7"/>
      <c r="D843" s="7"/>
      <c r="E843" s="7"/>
      <c r="F843" s="7"/>
      <c r="G843" s="7"/>
      <c r="H843" s="7"/>
      <c r="I843" s="8"/>
      <c r="J843" s="8"/>
      <c r="P843" s="10"/>
      <c r="Q843" s="10"/>
      <c r="R843" s="10"/>
      <c r="S843" s="10"/>
      <c r="T843" s="10"/>
      <c r="U843" s="10"/>
      <c r="V843" s="10"/>
      <c r="W843" s="10"/>
      <c r="X843" s="10"/>
      <c r="Z843" s="10"/>
      <c r="AA843" s="7"/>
      <c r="AB843" s="7"/>
      <c r="AC843" s="7"/>
      <c r="AD843" s="7"/>
      <c r="AE843" s="7"/>
      <c r="AF843" s="7"/>
      <c r="AG843" s="7"/>
      <c r="AH843" s="7"/>
      <c r="AI843" s="7"/>
    </row>
    <row r="844" spans="1:35" ht="12.75" customHeight="1">
      <c r="A844" s="7"/>
      <c r="B844" s="7"/>
      <c r="C844" s="7"/>
      <c r="D844" s="7"/>
      <c r="E844" s="7"/>
      <c r="F844" s="7"/>
      <c r="G844" s="7"/>
      <c r="H844" s="7"/>
      <c r="I844" s="8"/>
      <c r="J844" s="8"/>
      <c r="P844" s="10"/>
      <c r="Q844" s="10"/>
      <c r="R844" s="10"/>
      <c r="S844" s="10"/>
      <c r="T844" s="10"/>
      <c r="U844" s="10"/>
      <c r="V844" s="10"/>
      <c r="W844" s="10"/>
      <c r="X844" s="10"/>
      <c r="Z844" s="10"/>
      <c r="AA844" s="7"/>
      <c r="AB844" s="7"/>
      <c r="AC844" s="7"/>
      <c r="AD844" s="7"/>
      <c r="AE844" s="7"/>
      <c r="AF844" s="7"/>
      <c r="AG844" s="7"/>
      <c r="AH844" s="7"/>
      <c r="AI844" s="7"/>
    </row>
    <row r="845" spans="1:35" ht="12.75" customHeight="1">
      <c r="A845" s="7"/>
      <c r="B845" s="7"/>
      <c r="C845" s="7"/>
      <c r="D845" s="7"/>
      <c r="E845" s="7"/>
      <c r="F845" s="7"/>
      <c r="G845" s="7"/>
      <c r="H845" s="7"/>
      <c r="I845" s="8"/>
      <c r="J845" s="8"/>
      <c r="P845" s="10"/>
      <c r="Q845" s="10"/>
      <c r="R845" s="10"/>
      <c r="S845" s="10"/>
      <c r="T845" s="10"/>
      <c r="U845" s="10"/>
      <c r="V845" s="10"/>
      <c r="W845" s="10"/>
      <c r="X845" s="10"/>
      <c r="Z845" s="10"/>
      <c r="AA845" s="7"/>
      <c r="AB845" s="7"/>
      <c r="AC845" s="7"/>
      <c r="AD845" s="7"/>
      <c r="AE845" s="7"/>
      <c r="AF845" s="7"/>
      <c r="AG845" s="7"/>
      <c r="AH845" s="7"/>
      <c r="AI845" s="7"/>
    </row>
    <row r="846" spans="1:35" ht="12.75" customHeight="1">
      <c r="A846" s="7"/>
      <c r="B846" s="7"/>
      <c r="C846" s="7"/>
      <c r="D846" s="7"/>
      <c r="E846" s="7"/>
      <c r="F846" s="7"/>
      <c r="G846" s="7"/>
      <c r="H846" s="7"/>
      <c r="I846" s="8"/>
      <c r="J846" s="8"/>
      <c r="P846" s="10"/>
      <c r="Q846" s="10"/>
      <c r="R846" s="10"/>
      <c r="S846" s="10"/>
      <c r="T846" s="10"/>
      <c r="U846" s="10"/>
      <c r="V846" s="10"/>
      <c r="W846" s="10"/>
      <c r="X846" s="10"/>
      <c r="Z846" s="10"/>
      <c r="AA846" s="7"/>
      <c r="AB846" s="7"/>
      <c r="AC846" s="7"/>
      <c r="AD846" s="7"/>
      <c r="AE846" s="7"/>
      <c r="AF846" s="7"/>
      <c r="AG846" s="7"/>
      <c r="AH846" s="7"/>
      <c r="AI846" s="7"/>
    </row>
    <row r="847" spans="1:35" ht="12.75" customHeight="1">
      <c r="A847" s="7"/>
      <c r="B847" s="7"/>
      <c r="C847" s="7"/>
      <c r="D847" s="7"/>
      <c r="E847" s="7"/>
      <c r="F847" s="7"/>
      <c r="G847" s="7"/>
      <c r="H847" s="7"/>
      <c r="I847" s="8"/>
      <c r="J847" s="8"/>
      <c r="P847" s="10"/>
      <c r="Q847" s="10"/>
      <c r="R847" s="10"/>
      <c r="S847" s="10"/>
      <c r="T847" s="10"/>
      <c r="U847" s="10"/>
      <c r="V847" s="10"/>
      <c r="W847" s="10"/>
      <c r="X847" s="10"/>
      <c r="Z847" s="10"/>
      <c r="AA847" s="7"/>
      <c r="AB847" s="7"/>
      <c r="AC847" s="7"/>
      <c r="AD847" s="7"/>
      <c r="AE847" s="7"/>
      <c r="AF847" s="7"/>
      <c r="AG847" s="7"/>
      <c r="AH847" s="7"/>
      <c r="AI847" s="7"/>
    </row>
    <row r="848" spans="1:35" ht="12.75" customHeight="1">
      <c r="A848" s="7"/>
      <c r="B848" s="7"/>
      <c r="C848" s="7"/>
      <c r="D848" s="7"/>
      <c r="E848" s="7"/>
      <c r="F848" s="7"/>
      <c r="G848" s="7"/>
      <c r="H848" s="7"/>
      <c r="I848" s="8"/>
      <c r="J848" s="8"/>
      <c r="P848" s="10"/>
      <c r="Q848" s="10"/>
      <c r="R848" s="10"/>
      <c r="S848" s="10"/>
      <c r="T848" s="10"/>
      <c r="U848" s="10"/>
      <c r="V848" s="10"/>
      <c r="W848" s="10"/>
      <c r="X848" s="10"/>
      <c r="Z848" s="10"/>
      <c r="AA848" s="7"/>
      <c r="AB848" s="7"/>
      <c r="AC848" s="7"/>
      <c r="AD848" s="7"/>
      <c r="AE848" s="7"/>
      <c r="AF848" s="7"/>
      <c r="AG848" s="7"/>
      <c r="AH848" s="7"/>
      <c r="AI848" s="7"/>
    </row>
    <row r="849" spans="1:35" ht="12.75" customHeight="1">
      <c r="A849" s="7"/>
      <c r="B849" s="7"/>
      <c r="C849" s="7"/>
      <c r="D849" s="7"/>
      <c r="E849" s="7"/>
      <c r="F849" s="7"/>
      <c r="G849" s="7"/>
      <c r="H849" s="7"/>
      <c r="I849" s="8"/>
      <c r="J849" s="8"/>
      <c r="P849" s="10"/>
      <c r="Q849" s="10"/>
      <c r="R849" s="10"/>
      <c r="S849" s="10"/>
      <c r="T849" s="10"/>
      <c r="U849" s="10"/>
      <c r="V849" s="10"/>
      <c r="W849" s="10"/>
      <c r="X849" s="10"/>
      <c r="Z849" s="10"/>
      <c r="AA849" s="7"/>
      <c r="AB849" s="7"/>
      <c r="AC849" s="7"/>
      <c r="AD849" s="7"/>
      <c r="AE849" s="7"/>
      <c r="AF849" s="7"/>
      <c r="AG849" s="7"/>
      <c r="AH849" s="7"/>
      <c r="AI849" s="7"/>
    </row>
    <row r="850" spans="1:35" ht="12.75" customHeight="1">
      <c r="A850" s="7"/>
      <c r="B850" s="7"/>
      <c r="C850" s="7"/>
      <c r="D850" s="7"/>
      <c r="E850" s="7"/>
      <c r="F850" s="7"/>
      <c r="G850" s="7"/>
      <c r="H850" s="7"/>
      <c r="I850" s="8"/>
      <c r="J850" s="8"/>
      <c r="P850" s="10"/>
      <c r="Q850" s="10"/>
      <c r="R850" s="10"/>
      <c r="S850" s="10"/>
      <c r="T850" s="10"/>
      <c r="U850" s="10"/>
      <c r="V850" s="10"/>
      <c r="W850" s="10"/>
      <c r="X850" s="10"/>
      <c r="Z850" s="10"/>
      <c r="AA850" s="7"/>
      <c r="AB850" s="7"/>
      <c r="AC850" s="7"/>
      <c r="AD850" s="7"/>
      <c r="AE850" s="7"/>
      <c r="AF850" s="7"/>
      <c r="AG850" s="7"/>
      <c r="AH850" s="7"/>
      <c r="AI850" s="7"/>
    </row>
    <row r="851" spans="1:35" ht="12.75" customHeight="1">
      <c r="A851" s="7"/>
      <c r="B851" s="7"/>
      <c r="C851" s="7"/>
      <c r="D851" s="7"/>
      <c r="E851" s="7"/>
      <c r="F851" s="7"/>
      <c r="G851" s="7"/>
      <c r="H851" s="7"/>
      <c r="I851" s="8"/>
      <c r="J851" s="8"/>
      <c r="P851" s="10"/>
      <c r="Q851" s="10"/>
      <c r="R851" s="10"/>
      <c r="S851" s="10"/>
      <c r="T851" s="10"/>
      <c r="U851" s="10"/>
      <c r="V851" s="10"/>
      <c r="W851" s="10"/>
      <c r="X851" s="10"/>
      <c r="Z851" s="10"/>
      <c r="AA851" s="7"/>
      <c r="AB851" s="7"/>
      <c r="AC851" s="7"/>
      <c r="AD851" s="7"/>
      <c r="AE851" s="7"/>
      <c r="AF851" s="7"/>
      <c r="AG851" s="7"/>
      <c r="AH851" s="7"/>
      <c r="AI851" s="7"/>
    </row>
    <row r="852" spans="1:35" ht="12.75" customHeight="1">
      <c r="A852" s="7"/>
      <c r="B852" s="7"/>
      <c r="C852" s="7"/>
      <c r="D852" s="7"/>
      <c r="E852" s="7"/>
      <c r="F852" s="7"/>
      <c r="G852" s="7"/>
      <c r="H852" s="7"/>
      <c r="I852" s="8"/>
      <c r="J852" s="8"/>
      <c r="P852" s="10"/>
      <c r="Q852" s="10"/>
      <c r="R852" s="10"/>
      <c r="S852" s="10"/>
      <c r="T852" s="10"/>
      <c r="U852" s="10"/>
      <c r="V852" s="10"/>
      <c r="W852" s="10"/>
      <c r="X852" s="10"/>
      <c r="Z852" s="10"/>
      <c r="AA852" s="7"/>
      <c r="AB852" s="7"/>
      <c r="AC852" s="7"/>
      <c r="AD852" s="7"/>
      <c r="AE852" s="7"/>
      <c r="AF852" s="7"/>
      <c r="AG852" s="7"/>
      <c r="AH852" s="7"/>
      <c r="AI852" s="7"/>
    </row>
    <row r="853" spans="1:35" ht="12.75" customHeight="1">
      <c r="A853" s="7"/>
      <c r="B853" s="7"/>
      <c r="C853" s="7"/>
      <c r="D853" s="7"/>
      <c r="E853" s="7"/>
      <c r="F853" s="7"/>
      <c r="G853" s="7"/>
      <c r="H853" s="7"/>
      <c r="I853" s="8"/>
      <c r="J853" s="8"/>
      <c r="P853" s="10"/>
      <c r="Q853" s="10"/>
      <c r="R853" s="10"/>
      <c r="S853" s="10"/>
      <c r="T853" s="10"/>
      <c r="U853" s="10"/>
      <c r="V853" s="10"/>
      <c r="W853" s="10"/>
      <c r="X853" s="10"/>
      <c r="Z853" s="10"/>
      <c r="AA853" s="7"/>
      <c r="AB853" s="7"/>
      <c r="AC853" s="7"/>
      <c r="AD853" s="7"/>
      <c r="AE853" s="7"/>
      <c r="AF853" s="7"/>
      <c r="AG853" s="7"/>
      <c r="AH853" s="7"/>
      <c r="AI853" s="7"/>
    </row>
    <row r="854" spans="1:35" ht="12.75" customHeight="1">
      <c r="A854" s="7"/>
      <c r="B854" s="7"/>
      <c r="C854" s="7"/>
      <c r="D854" s="7"/>
      <c r="E854" s="7"/>
      <c r="F854" s="7"/>
      <c r="G854" s="7"/>
      <c r="H854" s="7"/>
      <c r="I854" s="8"/>
      <c r="J854" s="8"/>
      <c r="P854" s="10"/>
      <c r="Q854" s="10"/>
      <c r="R854" s="10"/>
      <c r="S854" s="10"/>
      <c r="T854" s="10"/>
      <c r="U854" s="10"/>
      <c r="V854" s="10"/>
      <c r="W854" s="10"/>
      <c r="X854" s="10"/>
      <c r="Z854" s="10"/>
      <c r="AA854" s="7"/>
      <c r="AB854" s="7"/>
      <c r="AC854" s="7"/>
      <c r="AD854" s="7"/>
      <c r="AE854" s="7"/>
      <c r="AF854" s="7"/>
      <c r="AG854" s="7"/>
      <c r="AH854" s="7"/>
      <c r="AI854" s="7"/>
    </row>
    <row r="855" spans="1:35" ht="12.75" customHeight="1">
      <c r="A855" s="7"/>
      <c r="B855" s="7"/>
      <c r="C855" s="7"/>
      <c r="D855" s="7"/>
      <c r="E855" s="7"/>
      <c r="F855" s="7"/>
      <c r="G855" s="7"/>
      <c r="H855" s="7"/>
      <c r="I855" s="8"/>
      <c r="J855" s="8"/>
      <c r="P855" s="10"/>
      <c r="Q855" s="10"/>
      <c r="R855" s="10"/>
      <c r="S855" s="10"/>
      <c r="T855" s="10"/>
      <c r="U855" s="10"/>
      <c r="V855" s="10"/>
      <c r="W855" s="10"/>
      <c r="X855" s="10"/>
      <c r="Z855" s="10"/>
      <c r="AA855" s="7"/>
      <c r="AB855" s="7"/>
      <c r="AC855" s="7"/>
      <c r="AD855" s="7"/>
      <c r="AE855" s="7"/>
      <c r="AF855" s="7"/>
      <c r="AG855" s="7"/>
      <c r="AH855" s="7"/>
      <c r="AI855" s="7"/>
    </row>
    <row r="856" spans="1:35" ht="12.75" customHeight="1">
      <c r="A856" s="7"/>
      <c r="B856" s="7"/>
      <c r="C856" s="7"/>
      <c r="D856" s="7"/>
      <c r="E856" s="7"/>
      <c r="F856" s="7"/>
      <c r="G856" s="7"/>
      <c r="H856" s="7"/>
      <c r="I856" s="8"/>
      <c r="J856" s="8"/>
      <c r="P856" s="10"/>
      <c r="Q856" s="10"/>
      <c r="R856" s="10"/>
      <c r="S856" s="10"/>
      <c r="T856" s="10"/>
      <c r="U856" s="10"/>
      <c r="V856" s="10"/>
      <c r="W856" s="10"/>
      <c r="X856" s="10"/>
      <c r="Z856" s="10"/>
      <c r="AA856" s="7"/>
      <c r="AB856" s="7"/>
      <c r="AC856" s="7"/>
      <c r="AD856" s="7"/>
      <c r="AE856" s="7"/>
      <c r="AF856" s="7"/>
      <c r="AG856" s="7"/>
      <c r="AH856" s="7"/>
      <c r="AI856" s="7"/>
    </row>
    <row r="857" spans="1:35" ht="12.75" customHeight="1">
      <c r="A857" s="7"/>
      <c r="B857" s="7"/>
      <c r="C857" s="7"/>
      <c r="D857" s="7"/>
      <c r="E857" s="7"/>
      <c r="F857" s="7"/>
      <c r="G857" s="7"/>
      <c r="H857" s="7"/>
      <c r="I857" s="8"/>
      <c r="J857" s="8"/>
      <c r="P857" s="10"/>
      <c r="Q857" s="10"/>
      <c r="R857" s="10"/>
      <c r="S857" s="10"/>
      <c r="T857" s="10"/>
      <c r="U857" s="10"/>
      <c r="V857" s="10"/>
      <c r="W857" s="10"/>
      <c r="X857" s="10"/>
      <c r="Z857" s="10"/>
      <c r="AA857" s="7"/>
      <c r="AB857" s="7"/>
      <c r="AC857" s="7"/>
      <c r="AD857" s="7"/>
      <c r="AE857" s="7"/>
      <c r="AF857" s="7"/>
      <c r="AG857" s="7"/>
      <c r="AH857" s="7"/>
      <c r="AI857" s="7"/>
    </row>
    <row r="858" spans="1:35" ht="12.75" customHeight="1">
      <c r="A858" s="7"/>
      <c r="B858" s="7"/>
      <c r="C858" s="7"/>
      <c r="D858" s="7"/>
      <c r="E858" s="7"/>
      <c r="F858" s="7"/>
      <c r="G858" s="7"/>
      <c r="H858" s="7"/>
      <c r="I858" s="8"/>
      <c r="J858" s="8"/>
      <c r="P858" s="10"/>
      <c r="Q858" s="10"/>
      <c r="R858" s="10"/>
      <c r="S858" s="10"/>
      <c r="T858" s="10"/>
      <c r="U858" s="10"/>
      <c r="V858" s="10"/>
      <c r="W858" s="10"/>
      <c r="X858" s="10"/>
      <c r="Z858" s="10"/>
      <c r="AA858" s="7"/>
      <c r="AB858" s="7"/>
      <c r="AC858" s="7"/>
      <c r="AD858" s="7"/>
      <c r="AE858" s="7"/>
      <c r="AF858" s="7"/>
      <c r="AG858" s="7"/>
      <c r="AH858" s="7"/>
      <c r="AI858" s="7"/>
    </row>
    <row r="859" spans="1:35" ht="12.75" customHeight="1">
      <c r="A859" s="7"/>
      <c r="B859" s="7"/>
      <c r="C859" s="7"/>
      <c r="D859" s="7"/>
      <c r="E859" s="7"/>
      <c r="F859" s="7"/>
      <c r="G859" s="7"/>
      <c r="H859" s="7"/>
      <c r="I859" s="8"/>
      <c r="J859" s="8"/>
      <c r="P859" s="10"/>
      <c r="Q859" s="10"/>
      <c r="R859" s="10"/>
      <c r="S859" s="10"/>
      <c r="T859" s="10"/>
      <c r="U859" s="10"/>
      <c r="V859" s="10"/>
      <c r="W859" s="10"/>
      <c r="X859" s="10"/>
      <c r="Z859" s="10"/>
      <c r="AA859" s="7"/>
      <c r="AB859" s="7"/>
      <c r="AC859" s="7"/>
      <c r="AD859" s="7"/>
      <c r="AE859" s="7"/>
      <c r="AF859" s="7"/>
      <c r="AG859" s="7"/>
      <c r="AH859" s="7"/>
      <c r="AI859" s="7"/>
    </row>
    <row r="860" spans="1:35" ht="12.75" customHeight="1">
      <c r="A860" s="7"/>
      <c r="B860" s="7"/>
      <c r="C860" s="7"/>
      <c r="D860" s="7"/>
      <c r="E860" s="7"/>
      <c r="F860" s="7"/>
      <c r="G860" s="7"/>
      <c r="H860" s="7"/>
      <c r="I860" s="8"/>
      <c r="J860" s="8"/>
      <c r="P860" s="10"/>
      <c r="Q860" s="10"/>
      <c r="R860" s="10"/>
      <c r="S860" s="10"/>
      <c r="T860" s="10"/>
      <c r="U860" s="10"/>
      <c r="V860" s="10"/>
      <c r="W860" s="10"/>
      <c r="X860" s="10"/>
      <c r="Z860" s="10"/>
      <c r="AA860" s="7"/>
      <c r="AB860" s="7"/>
      <c r="AC860" s="7"/>
      <c r="AD860" s="7"/>
      <c r="AE860" s="7"/>
      <c r="AF860" s="7"/>
      <c r="AG860" s="7"/>
      <c r="AH860" s="7"/>
      <c r="AI860" s="7"/>
    </row>
    <row r="861" spans="1:35" ht="12.75" customHeight="1">
      <c r="A861" s="7"/>
      <c r="B861" s="7"/>
      <c r="C861" s="7"/>
      <c r="D861" s="7"/>
      <c r="E861" s="7"/>
      <c r="F861" s="7"/>
      <c r="G861" s="7"/>
      <c r="H861" s="7"/>
      <c r="I861" s="8"/>
      <c r="J861" s="8"/>
      <c r="P861" s="10"/>
      <c r="Q861" s="10"/>
      <c r="R861" s="10"/>
      <c r="S861" s="10"/>
      <c r="T861" s="10"/>
      <c r="U861" s="10"/>
      <c r="V861" s="10"/>
      <c r="W861" s="10"/>
      <c r="X861" s="10"/>
      <c r="Z861" s="10"/>
      <c r="AA861" s="7"/>
      <c r="AB861" s="7"/>
      <c r="AC861" s="7"/>
      <c r="AD861" s="7"/>
      <c r="AE861" s="7"/>
      <c r="AF861" s="7"/>
      <c r="AG861" s="7"/>
      <c r="AH861" s="7"/>
      <c r="AI861" s="7"/>
    </row>
    <row r="862" spans="1:35" ht="12.75" customHeight="1">
      <c r="A862" s="7"/>
      <c r="B862" s="7"/>
      <c r="C862" s="7"/>
      <c r="D862" s="7"/>
      <c r="E862" s="7"/>
      <c r="F862" s="7"/>
      <c r="G862" s="7"/>
      <c r="H862" s="7"/>
      <c r="I862" s="8"/>
      <c r="J862" s="8"/>
      <c r="P862" s="10"/>
      <c r="Q862" s="10"/>
      <c r="R862" s="10"/>
      <c r="S862" s="10"/>
      <c r="T862" s="10"/>
      <c r="U862" s="10"/>
      <c r="V862" s="10"/>
      <c r="W862" s="10"/>
      <c r="X862" s="10"/>
      <c r="Z862" s="10"/>
      <c r="AA862" s="7"/>
      <c r="AB862" s="7"/>
      <c r="AC862" s="7"/>
      <c r="AD862" s="7"/>
      <c r="AE862" s="7"/>
      <c r="AF862" s="7"/>
      <c r="AG862" s="7"/>
      <c r="AH862" s="7"/>
      <c r="AI862" s="7"/>
    </row>
    <row r="863" spans="1:35" ht="12.75" customHeight="1">
      <c r="A863" s="7"/>
      <c r="B863" s="7"/>
      <c r="C863" s="7"/>
      <c r="D863" s="7"/>
      <c r="E863" s="7"/>
      <c r="F863" s="7"/>
      <c r="G863" s="7"/>
      <c r="H863" s="7"/>
      <c r="I863" s="8"/>
      <c r="J863" s="8"/>
      <c r="P863" s="10"/>
      <c r="Q863" s="10"/>
      <c r="R863" s="10"/>
      <c r="S863" s="10"/>
      <c r="T863" s="10"/>
      <c r="U863" s="10"/>
      <c r="V863" s="10"/>
      <c r="W863" s="10"/>
      <c r="X863" s="10"/>
      <c r="Z863" s="10"/>
      <c r="AA863" s="7"/>
      <c r="AB863" s="7"/>
      <c r="AC863" s="7"/>
      <c r="AD863" s="7"/>
      <c r="AE863" s="7"/>
      <c r="AF863" s="7"/>
      <c r="AG863" s="7"/>
      <c r="AH863" s="7"/>
      <c r="AI863" s="7"/>
    </row>
    <row r="864" spans="1:35" ht="12.75" customHeight="1">
      <c r="A864" s="7"/>
      <c r="B864" s="7"/>
      <c r="C864" s="7"/>
      <c r="D864" s="7"/>
      <c r="E864" s="7"/>
      <c r="F864" s="7"/>
      <c r="G864" s="7"/>
      <c r="H864" s="7"/>
      <c r="I864" s="8"/>
      <c r="J864" s="8"/>
      <c r="P864" s="10"/>
      <c r="Q864" s="10"/>
      <c r="R864" s="10"/>
      <c r="S864" s="10"/>
      <c r="T864" s="10"/>
      <c r="U864" s="10"/>
      <c r="V864" s="10"/>
      <c r="W864" s="10"/>
      <c r="X864" s="10"/>
      <c r="Z864" s="10"/>
      <c r="AA864" s="7"/>
      <c r="AB864" s="7"/>
      <c r="AC864" s="7"/>
      <c r="AD864" s="7"/>
      <c r="AE864" s="7"/>
      <c r="AF864" s="7"/>
      <c r="AG864" s="7"/>
      <c r="AH864" s="7"/>
      <c r="AI864" s="7"/>
    </row>
    <row r="865" spans="1:35" ht="12.75" customHeight="1">
      <c r="A865" s="7"/>
      <c r="B865" s="7"/>
      <c r="C865" s="7"/>
      <c r="D865" s="7"/>
      <c r="E865" s="7"/>
      <c r="F865" s="7"/>
      <c r="G865" s="7"/>
      <c r="H865" s="7"/>
      <c r="I865" s="8"/>
      <c r="J865" s="8"/>
      <c r="P865" s="10"/>
      <c r="Q865" s="10"/>
      <c r="R865" s="10"/>
      <c r="S865" s="10"/>
      <c r="T865" s="10"/>
      <c r="U865" s="10"/>
      <c r="V865" s="10"/>
      <c r="W865" s="10"/>
      <c r="X865" s="10"/>
      <c r="Z865" s="10"/>
      <c r="AA865" s="7"/>
      <c r="AB865" s="7"/>
      <c r="AC865" s="7"/>
      <c r="AD865" s="7"/>
      <c r="AE865" s="7"/>
      <c r="AF865" s="7"/>
      <c r="AG865" s="7"/>
      <c r="AH865" s="7"/>
      <c r="AI865" s="7"/>
    </row>
    <row r="866" spans="1:35" ht="12.75" customHeight="1">
      <c r="A866" s="7"/>
      <c r="B866" s="7"/>
      <c r="C866" s="7"/>
      <c r="D866" s="7"/>
      <c r="E866" s="7"/>
      <c r="F866" s="7"/>
      <c r="G866" s="7"/>
      <c r="H866" s="7"/>
      <c r="I866" s="8"/>
      <c r="J866" s="8"/>
      <c r="P866" s="10"/>
      <c r="Q866" s="10"/>
      <c r="R866" s="10"/>
      <c r="S866" s="10"/>
      <c r="T866" s="10"/>
      <c r="U866" s="10"/>
      <c r="V866" s="10"/>
      <c r="W866" s="10"/>
      <c r="X866" s="10"/>
      <c r="Z866" s="10"/>
      <c r="AA866" s="7"/>
      <c r="AB866" s="7"/>
      <c r="AC866" s="7"/>
      <c r="AD866" s="7"/>
      <c r="AE866" s="7"/>
      <c r="AF866" s="7"/>
      <c r="AG866" s="7"/>
      <c r="AH866" s="7"/>
      <c r="AI866" s="7"/>
    </row>
    <row r="867" spans="1:35" ht="12.75" customHeight="1">
      <c r="A867" s="7"/>
      <c r="B867" s="7"/>
      <c r="C867" s="7"/>
      <c r="D867" s="7"/>
      <c r="E867" s="7"/>
      <c r="F867" s="7"/>
      <c r="G867" s="7"/>
      <c r="H867" s="7"/>
      <c r="I867" s="8"/>
      <c r="J867" s="8"/>
      <c r="P867" s="10"/>
      <c r="Q867" s="10"/>
      <c r="R867" s="10"/>
      <c r="S867" s="10"/>
      <c r="T867" s="10"/>
      <c r="U867" s="10"/>
      <c r="V867" s="10"/>
      <c r="W867" s="10"/>
      <c r="X867" s="10"/>
      <c r="Z867" s="10"/>
      <c r="AA867" s="7"/>
      <c r="AB867" s="7"/>
      <c r="AC867" s="7"/>
      <c r="AD867" s="7"/>
      <c r="AE867" s="7"/>
      <c r="AF867" s="7"/>
      <c r="AG867" s="7"/>
      <c r="AH867" s="7"/>
      <c r="AI867" s="7"/>
    </row>
    <row r="868" spans="1:35" ht="12.75" customHeight="1">
      <c r="A868" s="7"/>
      <c r="B868" s="7"/>
      <c r="C868" s="7"/>
      <c r="D868" s="7"/>
      <c r="E868" s="7"/>
      <c r="F868" s="7"/>
      <c r="G868" s="7"/>
      <c r="H868" s="7"/>
      <c r="I868" s="8"/>
      <c r="J868" s="8"/>
      <c r="P868" s="10"/>
      <c r="Q868" s="10"/>
      <c r="R868" s="10"/>
      <c r="S868" s="10"/>
      <c r="T868" s="10"/>
      <c r="U868" s="10"/>
      <c r="V868" s="10"/>
      <c r="W868" s="10"/>
      <c r="X868" s="10"/>
      <c r="Z868" s="10"/>
      <c r="AA868" s="7"/>
      <c r="AB868" s="7"/>
      <c r="AC868" s="7"/>
      <c r="AD868" s="7"/>
      <c r="AE868" s="7"/>
      <c r="AF868" s="7"/>
      <c r="AG868" s="7"/>
      <c r="AH868" s="7"/>
      <c r="AI868" s="7"/>
    </row>
    <row r="869" spans="1:35" ht="12.75" customHeight="1">
      <c r="A869" s="7"/>
      <c r="B869" s="7"/>
      <c r="C869" s="7"/>
      <c r="D869" s="7"/>
      <c r="E869" s="7"/>
      <c r="F869" s="7"/>
      <c r="G869" s="7"/>
      <c r="H869" s="7"/>
      <c r="I869" s="8"/>
      <c r="J869" s="8"/>
      <c r="P869" s="10"/>
      <c r="Q869" s="10"/>
      <c r="R869" s="10"/>
      <c r="S869" s="10"/>
      <c r="T869" s="10"/>
      <c r="U869" s="10"/>
      <c r="V869" s="10"/>
      <c r="W869" s="10"/>
      <c r="X869" s="10"/>
      <c r="Z869" s="10"/>
      <c r="AA869" s="7"/>
      <c r="AB869" s="7"/>
      <c r="AC869" s="7"/>
      <c r="AD869" s="7"/>
      <c r="AE869" s="7"/>
      <c r="AF869" s="7"/>
      <c r="AG869" s="7"/>
      <c r="AH869" s="7"/>
      <c r="AI869" s="7"/>
    </row>
    <row r="870" spans="1:35" ht="12.75" customHeight="1">
      <c r="A870" s="7"/>
      <c r="B870" s="7"/>
      <c r="C870" s="7"/>
      <c r="D870" s="7"/>
      <c r="E870" s="7"/>
      <c r="F870" s="7"/>
      <c r="G870" s="7"/>
      <c r="H870" s="7"/>
      <c r="I870" s="8"/>
      <c r="J870" s="8"/>
      <c r="P870" s="10"/>
      <c r="Q870" s="10"/>
      <c r="R870" s="10"/>
      <c r="S870" s="10"/>
      <c r="T870" s="10"/>
      <c r="U870" s="10"/>
      <c r="V870" s="10"/>
      <c r="W870" s="10"/>
      <c r="X870" s="10"/>
      <c r="Z870" s="10"/>
      <c r="AA870" s="7"/>
      <c r="AB870" s="7"/>
      <c r="AC870" s="7"/>
      <c r="AD870" s="7"/>
      <c r="AE870" s="7"/>
      <c r="AF870" s="7"/>
      <c r="AG870" s="7"/>
      <c r="AH870" s="7"/>
      <c r="AI870" s="7"/>
    </row>
    <row r="871" spans="1:35" ht="12.75" customHeight="1">
      <c r="A871" s="7"/>
      <c r="B871" s="7"/>
      <c r="C871" s="7"/>
      <c r="D871" s="7"/>
      <c r="E871" s="7"/>
      <c r="F871" s="7"/>
      <c r="G871" s="7"/>
      <c r="H871" s="7"/>
      <c r="I871" s="8"/>
      <c r="J871" s="8"/>
      <c r="P871" s="10"/>
      <c r="Q871" s="10"/>
      <c r="R871" s="10"/>
      <c r="S871" s="10"/>
      <c r="T871" s="10"/>
      <c r="U871" s="10"/>
      <c r="V871" s="10"/>
      <c r="W871" s="10"/>
      <c r="X871" s="10"/>
      <c r="Z871" s="10"/>
      <c r="AA871" s="7"/>
      <c r="AB871" s="7"/>
      <c r="AC871" s="7"/>
      <c r="AD871" s="7"/>
      <c r="AE871" s="7"/>
      <c r="AF871" s="7"/>
      <c r="AG871" s="7"/>
      <c r="AH871" s="7"/>
      <c r="AI871" s="7"/>
    </row>
    <row r="872" spans="1:35" ht="12.75" customHeight="1">
      <c r="A872" s="7"/>
      <c r="B872" s="7"/>
      <c r="C872" s="7"/>
      <c r="D872" s="7"/>
      <c r="E872" s="7"/>
      <c r="F872" s="7"/>
      <c r="G872" s="7"/>
      <c r="H872" s="7"/>
      <c r="I872" s="8"/>
      <c r="J872" s="8"/>
      <c r="P872" s="10"/>
      <c r="Q872" s="10"/>
      <c r="R872" s="10"/>
      <c r="S872" s="10"/>
      <c r="T872" s="10"/>
      <c r="U872" s="10"/>
      <c r="V872" s="10"/>
      <c r="W872" s="10"/>
      <c r="X872" s="10"/>
      <c r="Z872" s="10"/>
      <c r="AA872" s="7"/>
      <c r="AB872" s="7"/>
      <c r="AC872" s="7"/>
      <c r="AD872" s="7"/>
      <c r="AE872" s="7"/>
      <c r="AF872" s="7"/>
      <c r="AG872" s="7"/>
      <c r="AH872" s="7"/>
      <c r="AI872" s="7"/>
    </row>
    <row r="873" spans="1:35" ht="12.75" customHeight="1">
      <c r="A873" s="7"/>
      <c r="B873" s="7"/>
      <c r="C873" s="7"/>
      <c r="D873" s="7"/>
      <c r="E873" s="7"/>
      <c r="F873" s="7"/>
      <c r="G873" s="7"/>
      <c r="H873" s="7"/>
      <c r="I873" s="8"/>
      <c r="J873" s="8"/>
      <c r="P873" s="10"/>
      <c r="Q873" s="10"/>
      <c r="R873" s="10"/>
      <c r="S873" s="10"/>
      <c r="T873" s="10"/>
      <c r="U873" s="10"/>
      <c r="V873" s="10"/>
      <c r="W873" s="10"/>
      <c r="X873" s="10"/>
      <c r="Z873" s="10"/>
      <c r="AA873" s="7"/>
      <c r="AB873" s="7"/>
      <c r="AC873" s="7"/>
      <c r="AD873" s="7"/>
      <c r="AE873" s="7"/>
      <c r="AF873" s="7"/>
      <c r="AG873" s="7"/>
      <c r="AH873" s="7"/>
      <c r="AI873" s="7"/>
    </row>
    <row r="874" spans="1:35" ht="12.75" customHeight="1">
      <c r="A874" s="7"/>
      <c r="B874" s="7"/>
      <c r="C874" s="7"/>
      <c r="D874" s="7"/>
      <c r="E874" s="7"/>
      <c r="F874" s="7"/>
      <c r="G874" s="7"/>
      <c r="H874" s="7"/>
      <c r="I874" s="8"/>
      <c r="J874" s="8"/>
      <c r="P874" s="10"/>
      <c r="Q874" s="10"/>
      <c r="R874" s="10"/>
      <c r="S874" s="10"/>
      <c r="T874" s="10"/>
      <c r="U874" s="10"/>
      <c r="V874" s="10"/>
      <c r="W874" s="10"/>
      <c r="X874" s="10"/>
      <c r="Z874" s="10"/>
      <c r="AA874" s="7"/>
      <c r="AB874" s="7"/>
      <c r="AC874" s="7"/>
      <c r="AD874" s="7"/>
      <c r="AE874" s="7"/>
      <c r="AF874" s="7"/>
      <c r="AG874" s="7"/>
      <c r="AH874" s="7"/>
      <c r="AI874" s="7"/>
    </row>
    <row r="875" spans="1:35" ht="12.75" customHeight="1">
      <c r="A875" s="7"/>
      <c r="B875" s="7"/>
      <c r="C875" s="7"/>
      <c r="D875" s="7"/>
      <c r="E875" s="7"/>
      <c r="F875" s="7"/>
      <c r="G875" s="7"/>
      <c r="H875" s="7"/>
      <c r="I875" s="8"/>
      <c r="J875" s="8"/>
      <c r="P875" s="10"/>
      <c r="Q875" s="10"/>
      <c r="R875" s="10"/>
      <c r="S875" s="10"/>
      <c r="T875" s="10"/>
      <c r="U875" s="10"/>
      <c r="V875" s="10"/>
      <c r="W875" s="10"/>
      <c r="X875" s="10"/>
      <c r="Z875" s="10"/>
      <c r="AA875" s="7"/>
      <c r="AB875" s="7"/>
      <c r="AC875" s="7"/>
      <c r="AD875" s="7"/>
      <c r="AE875" s="7"/>
      <c r="AF875" s="7"/>
      <c r="AG875" s="7"/>
      <c r="AH875" s="7"/>
      <c r="AI875" s="7"/>
    </row>
    <row r="876" spans="1:35" ht="12.75" customHeight="1">
      <c r="A876" s="7"/>
      <c r="B876" s="7"/>
      <c r="C876" s="7"/>
      <c r="D876" s="7"/>
      <c r="E876" s="7"/>
      <c r="F876" s="7"/>
      <c r="G876" s="7"/>
      <c r="H876" s="7"/>
      <c r="I876" s="8"/>
      <c r="J876" s="8"/>
      <c r="P876" s="10"/>
      <c r="Q876" s="10"/>
      <c r="R876" s="10"/>
      <c r="S876" s="10"/>
      <c r="T876" s="10"/>
      <c r="U876" s="10"/>
      <c r="V876" s="10"/>
      <c r="W876" s="10"/>
      <c r="X876" s="10"/>
      <c r="Z876" s="10"/>
      <c r="AA876" s="7"/>
      <c r="AB876" s="7"/>
      <c r="AC876" s="7"/>
      <c r="AD876" s="7"/>
      <c r="AE876" s="7"/>
      <c r="AF876" s="7"/>
      <c r="AG876" s="7"/>
      <c r="AH876" s="7"/>
      <c r="AI876" s="7"/>
    </row>
    <row r="877" spans="1:35" ht="12.75" customHeight="1">
      <c r="A877" s="7"/>
      <c r="B877" s="7"/>
      <c r="C877" s="7"/>
      <c r="D877" s="7"/>
      <c r="E877" s="7"/>
      <c r="F877" s="7"/>
      <c r="G877" s="7"/>
      <c r="H877" s="7"/>
      <c r="I877" s="8"/>
      <c r="J877" s="8"/>
      <c r="P877" s="10"/>
      <c r="Q877" s="10"/>
      <c r="R877" s="10"/>
      <c r="S877" s="10"/>
      <c r="T877" s="10"/>
      <c r="U877" s="10"/>
      <c r="V877" s="10"/>
      <c r="W877" s="10"/>
      <c r="X877" s="10"/>
      <c r="Z877" s="10"/>
      <c r="AA877" s="7"/>
      <c r="AB877" s="7"/>
      <c r="AC877" s="7"/>
      <c r="AD877" s="7"/>
      <c r="AE877" s="7"/>
      <c r="AF877" s="7"/>
      <c r="AG877" s="7"/>
      <c r="AH877" s="7"/>
      <c r="AI877" s="7"/>
    </row>
    <row r="878" spans="1:35" ht="12.75" customHeight="1">
      <c r="A878" s="7"/>
      <c r="B878" s="7"/>
      <c r="C878" s="7"/>
      <c r="D878" s="7"/>
      <c r="E878" s="7"/>
      <c r="F878" s="7"/>
      <c r="G878" s="7"/>
      <c r="H878" s="7"/>
      <c r="I878" s="8"/>
      <c r="J878" s="8"/>
      <c r="P878" s="10"/>
      <c r="Q878" s="10"/>
      <c r="R878" s="10"/>
      <c r="S878" s="10"/>
      <c r="T878" s="10"/>
      <c r="U878" s="10"/>
      <c r="V878" s="10"/>
      <c r="W878" s="10"/>
      <c r="X878" s="10"/>
      <c r="Z878" s="10"/>
      <c r="AA878" s="7"/>
      <c r="AB878" s="7"/>
      <c r="AC878" s="7"/>
      <c r="AD878" s="7"/>
      <c r="AE878" s="7"/>
      <c r="AF878" s="7"/>
      <c r="AG878" s="7"/>
      <c r="AH878" s="7"/>
      <c r="AI878" s="7"/>
    </row>
    <row r="879" spans="1:35" ht="12.75" customHeight="1">
      <c r="A879" s="7"/>
      <c r="B879" s="7"/>
      <c r="C879" s="7"/>
      <c r="D879" s="7"/>
      <c r="E879" s="7"/>
      <c r="F879" s="7"/>
      <c r="G879" s="7"/>
      <c r="H879" s="7"/>
      <c r="I879" s="8"/>
      <c r="J879" s="8"/>
      <c r="P879" s="10"/>
      <c r="Q879" s="10"/>
      <c r="R879" s="10"/>
      <c r="S879" s="10"/>
      <c r="T879" s="10"/>
      <c r="U879" s="10"/>
      <c r="V879" s="10"/>
      <c r="W879" s="10"/>
      <c r="X879" s="10"/>
      <c r="Z879" s="10"/>
      <c r="AA879" s="7"/>
      <c r="AB879" s="7"/>
      <c r="AC879" s="7"/>
      <c r="AD879" s="7"/>
      <c r="AE879" s="7"/>
      <c r="AF879" s="7"/>
      <c r="AG879" s="7"/>
      <c r="AH879" s="7"/>
      <c r="AI879" s="7"/>
    </row>
    <row r="880" spans="1:35" ht="12.75" customHeight="1">
      <c r="A880" s="7"/>
      <c r="B880" s="7"/>
      <c r="C880" s="7"/>
      <c r="D880" s="7"/>
      <c r="E880" s="7"/>
      <c r="F880" s="7"/>
      <c r="G880" s="7"/>
      <c r="H880" s="7"/>
      <c r="I880" s="8"/>
      <c r="J880" s="8"/>
      <c r="P880" s="10"/>
      <c r="Q880" s="10"/>
      <c r="R880" s="10"/>
      <c r="S880" s="10"/>
      <c r="T880" s="10"/>
      <c r="U880" s="10"/>
      <c r="V880" s="10"/>
      <c r="W880" s="10"/>
      <c r="X880" s="10"/>
      <c r="Z880" s="10"/>
      <c r="AA880" s="7"/>
      <c r="AB880" s="7"/>
      <c r="AC880" s="7"/>
      <c r="AD880" s="7"/>
      <c r="AE880" s="7"/>
      <c r="AF880" s="7"/>
      <c r="AG880" s="7"/>
      <c r="AH880" s="7"/>
      <c r="AI880" s="7"/>
    </row>
    <row r="881" spans="1:35" ht="12.75" customHeight="1">
      <c r="A881" s="7"/>
      <c r="B881" s="7"/>
      <c r="C881" s="7"/>
      <c r="D881" s="7"/>
      <c r="E881" s="7"/>
      <c r="F881" s="7"/>
      <c r="G881" s="7"/>
      <c r="H881" s="7"/>
      <c r="I881" s="8"/>
      <c r="J881" s="8"/>
      <c r="P881" s="10"/>
      <c r="Q881" s="10"/>
      <c r="R881" s="10"/>
      <c r="S881" s="10"/>
      <c r="T881" s="10"/>
      <c r="U881" s="10"/>
      <c r="V881" s="10"/>
      <c r="W881" s="10"/>
      <c r="X881" s="10"/>
      <c r="Z881" s="10"/>
      <c r="AA881" s="7"/>
      <c r="AB881" s="7"/>
      <c r="AC881" s="7"/>
      <c r="AD881" s="7"/>
      <c r="AE881" s="7"/>
      <c r="AF881" s="7"/>
      <c r="AG881" s="7"/>
      <c r="AH881" s="7"/>
      <c r="AI881" s="7"/>
    </row>
    <row r="882" spans="1:35" ht="12.75" customHeight="1">
      <c r="A882" s="7"/>
      <c r="B882" s="7"/>
      <c r="C882" s="7"/>
      <c r="D882" s="7"/>
      <c r="E882" s="7"/>
      <c r="F882" s="7"/>
      <c r="G882" s="7"/>
      <c r="H882" s="7"/>
      <c r="I882" s="8"/>
      <c r="J882" s="8"/>
      <c r="P882" s="10"/>
      <c r="Q882" s="10"/>
      <c r="R882" s="10"/>
      <c r="S882" s="10"/>
      <c r="T882" s="10"/>
      <c r="U882" s="10"/>
      <c r="V882" s="10"/>
      <c r="W882" s="10"/>
      <c r="X882" s="10"/>
      <c r="Z882" s="10"/>
      <c r="AA882" s="7"/>
      <c r="AB882" s="7"/>
      <c r="AC882" s="7"/>
      <c r="AD882" s="7"/>
      <c r="AE882" s="7"/>
      <c r="AF882" s="7"/>
      <c r="AG882" s="7"/>
      <c r="AH882" s="7"/>
      <c r="AI882" s="7"/>
    </row>
    <row r="883" spans="1:35" ht="12.75" customHeight="1">
      <c r="A883" s="7"/>
      <c r="B883" s="7"/>
      <c r="C883" s="7"/>
      <c r="D883" s="7"/>
      <c r="E883" s="7"/>
      <c r="F883" s="7"/>
      <c r="G883" s="7"/>
      <c r="H883" s="7"/>
      <c r="I883" s="8"/>
      <c r="J883" s="8"/>
      <c r="P883" s="10"/>
      <c r="Q883" s="10"/>
      <c r="R883" s="10"/>
      <c r="S883" s="10"/>
      <c r="T883" s="10"/>
      <c r="U883" s="10"/>
      <c r="V883" s="10"/>
      <c r="W883" s="10"/>
      <c r="X883" s="10"/>
      <c r="Z883" s="10"/>
      <c r="AA883" s="7"/>
      <c r="AB883" s="7"/>
      <c r="AC883" s="7"/>
      <c r="AD883" s="7"/>
      <c r="AE883" s="7"/>
      <c r="AF883" s="7"/>
      <c r="AG883" s="7"/>
      <c r="AH883" s="7"/>
      <c r="AI883" s="7"/>
    </row>
    <row r="884" spans="1:35" ht="12.75" customHeight="1">
      <c r="A884" s="7"/>
      <c r="B884" s="7"/>
      <c r="C884" s="7"/>
      <c r="D884" s="7"/>
      <c r="E884" s="7"/>
      <c r="F884" s="7"/>
      <c r="G884" s="7"/>
      <c r="H884" s="7"/>
      <c r="I884" s="8"/>
      <c r="J884" s="8"/>
      <c r="P884" s="10"/>
      <c r="Q884" s="10"/>
      <c r="R884" s="10"/>
      <c r="S884" s="10"/>
      <c r="T884" s="10"/>
      <c r="U884" s="10"/>
      <c r="V884" s="10"/>
      <c r="W884" s="10"/>
      <c r="X884" s="10"/>
      <c r="Z884" s="10"/>
      <c r="AA884" s="7"/>
      <c r="AB884" s="7"/>
      <c r="AC884" s="7"/>
      <c r="AD884" s="7"/>
      <c r="AE884" s="7"/>
      <c r="AF884" s="7"/>
      <c r="AG884" s="7"/>
      <c r="AH884" s="7"/>
      <c r="AI884" s="7"/>
    </row>
    <row r="885" spans="1:35" ht="12.75" customHeight="1">
      <c r="A885" s="7"/>
      <c r="B885" s="7"/>
      <c r="C885" s="7"/>
      <c r="D885" s="7"/>
      <c r="E885" s="7"/>
      <c r="F885" s="7"/>
      <c r="G885" s="7"/>
      <c r="H885" s="7"/>
      <c r="I885" s="8"/>
      <c r="J885" s="8"/>
      <c r="P885" s="10"/>
      <c r="Q885" s="10"/>
      <c r="R885" s="10"/>
      <c r="S885" s="10"/>
      <c r="T885" s="10"/>
      <c r="U885" s="10"/>
      <c r="V885" s="10"/>
      <c r="W885" s="10"/>
      <c r="X885" s="10"/>
      <c r="Z885" s="10"/>
      <c r="AA885" s="7"/>
      <c r="AB885" s="7"/>
      <c r="AC885" s="7"/>
      <c r="AD885" s="7"/>
      <c r="AE885" s="7"/>
      <c r="AF885" s="7"/>
      <c r="AG885" s="7"/>
      <c r="AH885" s="7"/>
      <c r="AI885" s="7"/>
    </row>
    <row r="886" spans="1:35" ht="12.75" customHeight="1">
      <c r="A886" s="7"/>
      <c r="B886" s="7"/>
      <c r="C886" s="7"/>
      <c r="D886" s="7"/>
      <c r="E886" s="7"/>
      <c r="F886" s="7"/>
      <c r="G886" s="7"/>
      <c r="H886" s="7"/>
      <c r="I886" s="8"/>
      <c r="J886" s="8"/>
      <c r="P886" s="10"/>
      <c r="Q886" s="10"/>
      <c r="R886" s="10"/>
      <c r="S886" s="10"/>
      <c r="T886" s="10"/>
      <c r="U886" s="10"/>
      <c r="V886" s="10"/>
      <c r="W886" s="10"/>
      <c r="X886" s="10"/>
      <c r="Z886" s="10"/>
      <c r="AA886" s="7"/>
      <c r="AB886" s="7"/>
      <c r="AC886" s="7"/>
      <c r="AD886" s="7"/>
      <c r="AE886" s="7"/>
      <c r="AF886" s="7"/>
      <c r="AG886" s="7"/>
      <c r="AH886" s="7"/>
      <c r="AI886" s="7"/>
    </row>
    <row r="887" spans="1:35" ht="12.75" customHeight="1">
      <c r="A887" s="7"/>
      <c r="B887" s="7"/>
      <c r="C887" s="7"/>
      <c r="D887" s="7"/>
      <c r="E887" s="7"/>
      <c r="F887" s="7"/>
      <c r="G887" s="7"/>
      <c r="H887" s="7"/>
      <c r="I887" s="8"/>
      <c r="J887" s="8"/>
      <c r="P887" s="10"/>
      <c r="Q887" s="10"/>
      <c r="R887" s="10"/>
      <c r="S887" s="10"/>
      <c r="T887" s="10"/>
      <c r="U887" s="10"/>
      <c r="V887" s="10"/>
      <c r="W887" s="10"/>
      <c r="X887" s="10"/>
      <c r="Z887" s="10"/>
      <c r="AA887" s="7"/>
      <c r="AB887" s="7"/>
      <c r="AC887" s="7"/>
      <c r="AD887" s="7"/>
      <c r="AE887" s="7"/>
      <c r="AF887" s="7"/>
      <c r="AG887" s="7"/>
      <c r="AH887" s="7"/>
      <c r="AI887" s="7"/>
    </row>
    <row r="888" spans="1:35" ht="12.75" customHeight="1">
      <c r="A888" s="7"/>
      <c r="B888" s="7"/>
      <c r="C888" s="7"/>
      <c r="D888" s="7"/>
      <c r="E888" s="7"/>
      <c r="F888" s="7"/>
      <c r="G888" s="7"/>
      <c r="H888" s="7"/>
      <c r="I888" s="8"/>
      <c r="J888" s="8"/>
      <c r="P888" s="10"/>
      <c r="Q888" s="10"/>
      <c r="R888" s="10"/>
      <c r="S888" s="10"/>
      <c r="T888" s="10"/>
      <c r="U888" s="10"/>
      <c r="V888" s="10"/>
      <c r="W888" s="10"/>
      <c r="X888" s="10"/>
      <c r="Z888" s="10"/>
      <c r="AA888" s="7"/>
      <c r="AB888" s="7"/>
      <c r="AC888" s="7"/>
      <c r="AD888" s="7"/>
      <c r="AE888" s="7"/>
      <c r="AF888" s="7"/>
      <c r="AG888" s="7"/>
      <c r="AH888" s="7"/>
      <c r="AI888" s="7"/>
    </row>
    <row r="889" spans="1:35" ht="12.75" customHeight="1">
      <c r="A889" s="7"/>
      <c r="B889" s="7"/>
      <c r="C889" s="7"/>
      <c r="D889" s="7"/>
      <c r="E889" s="7"/>
      <c r="F889" s="7"/>
      <c r="G889" s="7"/>
      <c r="H889" s="7"/>
      <c r="I889" s="8"/>
      <c r="J889" s="8"/>
      <c r="P889" s="10"/>
      <c r="Q889" s="10"/>
      <c r="R889" s="10"/>
      <c r="S889" s="10"/>
      <c r="T889" s="10"/>
      <c r="U889" s="10"/>
      <c r="V889" s="10"/>
      <c r="W889" s="10"/>
      <c r="X889" s="10"/>
      <c r="Z889" s="10"/>
      <c r="AA889" s="7"/>
      <c r="AB889" s="7"/>
      <c r="AC889" s="7"/>
      <c r="AD889" s="7"/>
      <c r="AE889" s="7"/>
      <c r="AF889" s="7"/>
      <c r="AG889" s="7"/>
      <c r="AH889" s="7"/>
      <c r="AI889" s="7"/>
    </row>
    <row r="890" spans="1:35" ht="12.75" customHeight="1">
      <c r="A890" s="7"/>
      <c r="B890" s="7"/>
      <c r="C890" s="7"/>
      <c r="D890" s="7"/>
      <c r="E890" s="7"/>
      <c r="F890" s="7"/>
      <c r="G890" s="7"/>
      <c r="H890" s="7"/>
      <c r="I890" s="8"/>
      <c r="J890" s="8"/>
      <c r="P890" s="10"/>
      <c r="Q890" s="10"/>
      <c r="R890" s="10"/>
      <c r="S890" s="10"/>
      <c r="T890" s="10"/>
      <c r="U890" s="10"/>
      <c r="V890" s="10"/>
      <c r="W890" s="10"/>
      <c r="X890" s="10"/>
      <c r="Z890" s="10"/>
      <c r="AA890" s="7"/>
      <c r="AB890" s="7"/>
      <c r="AC890" s="7"/>
      <c r="AD890" s="7"/>
      <c r="AE890" s="7"/>
      <c r="AF890" s="7"/>
      <c r="AG890" s="7"/>
      <c r="AH890" s="7"/>
      <c r="AI890" s="7"/>
    </row>
    <row r="891" spans="1:35" ht="12.75" customHeight="1">
      <c r="A891" s="7"/>
      <c r="B891" s="7"/>
      <c r="C891" s="7"/>
      <c r="D891" s="7"/>
      <c r="E891" s="7"/>
      <c r="F891" s="7"/>
      <c r="G891" s="7"/>
      <c r="H891" s="7"/>
      <c r="I891" s="8"/>
      <c r="J891" s="8"/>
      <c r="P891" s="10"/>
      <c r="Q891" s="10"/>
      <c r="R891" s="10"/>
      <c r="S891" s="10"/>
      <c r="T891" s="10"/>
      <c r="U891" s="10"/>
      <c r="V891" s="10"/>
      <c r="W891" s="10"/>
      <c r="X891" s="10"/>
      <c r="Z891" s="10"/>
      <c r="AA891" s="7"/>
      <c r="AB891" s="7"/>
      <c r="AC891" s="7"/>
      <c r="AD891" s="7"/>
      <c r="AE891" s="7"/>
      <c r="AF891" s="7"/>
      <c r="AG891" s="7"/>
      <c r="AH891" s="7"/>
      <c r="AI891" s="7"/>
    </row>
    <row r="892" spans="1:35" ht="12.75" customHeight="1">
      <c r="A892" s="7"/>
      <c r="B892" s="7"/>
      <c r="C892" s="7"/>
      <c r="D892" s="7"/>
      <c r="E892" s="7"/>
      <c r="F892" s="7"/>
      <c r="G892" s="7"/>
      <c r="H892" s="7"/>
      <c r="I892" s="8"/>
      <c r="J892" s="8"/>
      <c r="P892" s="10"/>
      <c r="Q892" s="10"/>
      <c r="R892" s="10"/>
      <c r="S892" s="10"/>
      <c r="T892" s="10"/>
      <c r="U892" s="10"/>
      <c r="V892" s="10"/>
      <c r="W892" s="10"/>
      <c r="X892" s="10"/>
      <c r="Z892" s="10"/>
      <c r="AA892" s="7"/>
      <c r="AB892" s="7"/>
      <c r="AC892" s="7"/>
      <c r="AD892" s="7"/>
      <c r="AE892" s="7"/>
      <c r="AF892" s="7"/>
      <c r="AG892" s="7"/>
      <c r="AH892" s="7"/>
      <c r="AI892" s="7"/>
    </row>
    <row r="893" spans="1:35" ht="12.75" customHeight="1">
      <c r="A893" s="7"/>
      <c r="B893" s="7"/>
      <c r="C893" s="7"/>
      <c r="D893" s="7"/>
      <c r="E893" s="7"/>
      <c r="F893" s="7"/>
      <c r="G893" s="7"/>
      <c r="H893" s="7"/>
      <c r="I893" s="8"/>
      <c r="J893" s="8"/>
      <c r="P893" s="10"/>
      <c r="Q893" s="10"/>
      <c r="R893" s="10"/>
      <c r="S893" s="10"/>
      <c r="T893" s="10"/>
      <c r="U893" s="10"/>
      <c r="V893" s="10"/>
      <c r="W893" s="10"/>
      <c r="X893" s="10"/>
      <c r="Z893" s="10"/>
      <c r="AA893" s="7"/>
      <c r="AB893" s="7"/>
      <c r="AC893" s="7"/>
      <c r="AD893" s="7"/>
      <c r="AE893" s="7"/>
      <c r="AF893" s="7"/>
      <c r="AG893" s="7"/>
      <c r="AH893" s="7"/>
      <c r="AI893" s="7"/>
    </row>
    <row r="894" spans="1:35" ht="12.75" customHeight="1">
      <c r="A894" s="7"/>
      <c r="B894" s="7"/>
      <c r="C894" s="7"/>
      <c r="D894" s="7"/>
      <c r="E894" s="7"/>
      <c r="F894" s="7"/>
      <c r="G894" s="7"/>
      <c r="H894" s="7"/>
      <c r="I894" s="8"/>
      <c r="J894" s="8"/>
      <c r="P894" s="10"/>
      <c r="Q894" s="10"/>
      <c r="R894" s="10"/>
      <c r="S894" s="10"/>
      <c r="T894" s="10"/>
      <c r="U894" s="10"/>
      <c r="V894" s="10"/>
      <c r="W894" s="10"/>
      <c r="X894" s="10"/>
      <c r="Z894" s="10"/>
      <c r="AA894" s="7"/>
      <c r="AB894" s="7"/>
      <c r="AC894" s="7"/>
      <c r="AD894" s="7"/>
      <c r="AE894" s="7"/>
      <c r="AF894" s="7"/>
      <c r="AG894" s="7"/>
      <c r="AH894" s="7"/>
      <c r="AI894" s="7"/>
    </row>
    <row r="895" spans="1:35" ht="12.75" customHeight="1">
      <c r="A895" s="7"/>
      <c r="B895" s="7"/>
      <c r="C895" s="7"/>
      <c r="D895" s="7"/>
      <c r="E895" s="7"/>
      <c r="F895" s="7"/>
      <c r="G895" s="7"/>
      <c r="H895" s="7"/>
      <c r="I895" s="8"/>
      <c r="J895" s="8"/>
      <c r="P895" s="10"/>
      <c r="Q895" s="10"/>
      <c r="R895" s="10"/>
      <c r="S895" s="10"/>
      <c r="T895" s="10"/>
      <c r="U895" s="10"/>
      <c r="V895" s="10"/>
      <c r="W895" s="10"/>
      <c r="X895" s="10"/>
      <c r="Z895" s="10"/>
      <c r="AA895" s="7"/>
      <c r="AB895" s="7"/>
      <c r="AC895" s="7"/>
      <c r="AD895" s="7"/>
      <c r="AE895" s="7"/>
      <c r="AF895" s="7"/>
      <c r="AG895" s="7"/>
      <c r="AH895" s="7"/>
      <c r="AI895" s="7"/>
    </row>
    <row r="896" spans="1:35" ht="12.75" customHeight="1">
      <c r="A896" s="7"/>
      <c r="B896" s="7"/>
      <c r="C896" s="7"/>
      <c r="D896" s="7"/>
      <c r="E896" s="7"/>
      <c r="F896" s="7"/>
      <c r="G896" s="7"/>
      <c r="H896" s="7"/>
      <c r="I896" s="8"/>
      <c r="J896" s="8"/>
      <c r="P896" s="10"/>
      <c r="Q896" s="10"/>
      <c r="R896" s="10"/>
      <c r="S896" s="10"/>
      <c r="T896" s="10"/>
      <c r="U896" s="10"/>
      <c r="V896" s="10"/>
      <c r="W896" s="10"/>
      <c r="X896" s="10"/>
      <c r="Z896" s="10"/>
      <c r="AA896" s="7"/>
      <c r="AB896" s="7"/>
      <c r="AC896" s="7"/>
      <c r="AD896" s="7"/>
      <c r="AE896" s="7"/>
      <c r="AF896" s="7"/>
      <c r="AG896" s="7"/>
      <c r="AH896" s="7"/>
      <c r="AI896" s="7"/>
    </row>
    <row r="897" spans="1:35" ht="12.75" customHeight="1">
      <c r="A897" s="7"/>
      <c r="B897" s="7"/>
      <c r="C897" s="7"/>
      <c r="D897" s="7"/>
      <c r="E897" s="7"/>
      <c r="F897" s="7"/>
      <c r="G897" s="7"/>
      <c r="H897" s="7"/>
      <c r="I897" s="8"/>
      <c r="J897" s="8"/>
      <c r="P897" s="10"/>
      <c r="Q897" s="10"/>
      <c r="R897" s="10"/>
      <c r="S897" s="10"/>
      <c r="T897" s="10"/>
      <c r="U897" s="10"/>
      <c r="V897" s="10"/>
      <c r="W897" s="10"/>
      <c r="X897" s="10"/>
      <c r="Z897" s="10"/>
      <c r="AA897" s="7"/>
      <c r="AB897" s="7"/>
      <c r="AC897" s="7"/>
      <c r="AD897" s="7"/>
      <c r="AE897" s="7"/>
      <c r="AF897" s="7"/>
      <c r="AG897" s="7"/>
      <c r="AH897" s="7"/>
      <c r="AI897" s="7"/>
    </row>
    <row r="898" spans="1:35" ht="12.75" customHeight="1">
      <c r="A898" s="7"/>
      <c r="B898" s="7"/>
      <c r="C898" s="7"/>
      <c r="D898" s="7"/>
      <c r="E898" s="7"/>
      <c r="F898" s="7"/>
      <c r="G898" s="7"/>
      <c r="H898" s="7"/>
      <c r="I898" s="8"/>
      <c r="J898" s="8"/>
      <c r="P898" s="10"/>
      <c r="Q898" s="10"/>
      <c r="R898" s="10"/>
      <c r="S898" s="10"/>
      <c r="T898" s="10"/>
      <c r="U898" s="10"/>
      <c r="V898" s="10"/>
      <c r="W898" s="10"/>
      <c r="X898" s="10"/>
      <c r="Z898" s="10"/>
      <c r="AA898" s="7"/>
      <c r="AB898" s="7"/>
      <c r="AC898" s="7"/>
      <c r="AD898" s="7"/>
      <c r="AE898" s="7"/>
      <c r="AF898" s="7"/>
      <c r="AG898" s="7"/>
      <c r="AH898" s="7"/>
      <c r="AI898" s="7"/>
    </row>
    <row r="899" spans="1:35" ht="12.75" customHeight="1">
      <c r="A899" s="7"/>
      <c r="B899" s="7"/>
      <c r="C899" s="7"/>
      <c r="D899" s="7"/>
      <c r="E899" s="7"/>
      <c r="F899" s="7"/>
      <c r="G899" s="7"/>
      <c r="H899" s="7"/>
      <c r="I899" s="8"/>
      <c r="J899" s="8"/>
      <c r="P899" s="10"/>
      <c r="Q899" s="10"/>
      <c r="R899" s="10"/>
      <c r="S899" s="10"/>
      <c r="T899" s="10"/>
      <c r="U899" s="10"/>
      <c r="V899" s="10"/>
      <c r="W899" s="10"/>
      <c r="X899" s="10"/>
      <c r="Z899" s="10"/>
      <c r="AA899" s="7"/>
      <c r="AB899" s="7"/>
      <c r="AC899" s="7"/>
      <c r="AD899" s="7"/>
      <c r="AE899" s="7"/>
      <c r="AF899" s="7"/>
      <c r="AG899" s="7"/>
      <c r="AH899" s="7"/>
      <c r="AI899" s="7"/>
    </row>
    <row r="900" spans="1:35" ht="12.75" customHeight="1">
      <c r="A900" s="7"/>
      <c r="B900" s="7"/>
      <c r="C900" s="7"/>
      <c r="D900" s="7"/>
      <c r="E900" s="7"/>
      <c r="F900" s="7"/>
      <c r="G900" s="7"/>
      <c r="H900" s="7"/>
      <c r="I900" s="8"/>
      <c r="J900" s="8"/>
      <c r="P900" s="10"/>
      <c r="Q900" s="10"/>
      <c r="R900" s="10"/>
      <c r="S900" s="10"/>
      <c r="T900" s="10"/>
      <c r="U900" s="10"/>
      <c r="V900" s="10"/>
      <c r="W900" s="10"/>
      <c r="X900" s="10"/>
      <c r="Z900" s="10"/>
      <c r="AA900" s="7"/>
      <c r="AB900" s="7"/>
      <c r="AC900" s="7"/>
      <c r="AD900" s="7"/>
      <c r="AE900" s="7"/>
      <c r="AF900" s="7"/>
      <c r="AG900" s="7"/>
      <c r="AH900" s="7"/>
      <c r="AI900" s="7"/>
    </row>
    <row r="901" spans="1:35" ht="12.75" customHeight="1">
      <c r="A901" s="7"/>
      <c r="B901" s="7"/>
      <c r="C901" s="7"/>
      <c r="D901" s="7"/>
      <c r="E901" s="7"/>
      <c r="F901" s="7"/>
      <c r="G901" s="7"/>
      <c r="H901" s="7"/>
      <c r="I901" s="8"/>
      <c r="J901" s="8"/>
      <c r="P901" s="10"/>
      <c r="Q901" s="10"/>
      <c r="R901" s="10"/>
      <c r="S901" s="10"/>
      <c r="T901" s="10"/>
      <c r="U901" s="10"/>
      <c r="V901" s="10"/>
      <c r="W901" s="10"/>
      <c r="X901" s="10"/>
      <c r="Z901" s="10"/>
      <c r="AA901" s="7"/>
      <c r="AB901" s="7"/>
      <c r="AC901" s="7"/>
      <c r="AD901" s="7"/>
      <c r="AE901" s="7"/>
      <c r="AF901" s="7"/>
      <c r="AG901" s="7"/>
      <c r="AH901" s="7"/>
      <c r="AI901" s="7"/>
    </row>
    <row r="902" spans="1:35" ht="12.75" customHeight="1">
      <c r="A902" s="7"/>
      <c r="B902" s="7"/>
      <c r="C902" s="7"/>
      <c r="D902" s="7"/>
      <c r="E902" s="7"/>
      <c r="F902" s="7"/>
      <c r="G902" s="7"/>
      <c r="H902" s="7"/>
      <c r="I902" s="8"/>
      <c r="J902" s="8"/>
      <c r="P902" s="10"/>
      <c r="Q902" s="10"/>
      <c r="R902" s="10"/>
      <c r="S902" s="10"/>
      <c r="T902" s="10"/>
      <c r="U902" s="10"/>
      <c r="V902" s="10"/>
      <c r="W902" s="10"/>
      <c r="X902" s="10"/>
      <c r="Z902" s="10"/>
      <c r="AA902" s="7"/>
      <c r="AB902" s="7"/>
      <c r="AC902" s="7"/>
      <c r="AD902" s="7"/>
      <c r="AE902" s="7"/>
      <c r="AF902" s="7"/>
      <c r="AG902" s="7"/>
      <c r="AH902" s="7"/>
      <c r="AI902" s="7"/>
    </row>
    <row r="903" spans="1:35" ht="12.75" customHeight="1">
      <c r="A903" s="7"/>
      <c r="B903" s="7"/>
      <c r="C903" s="7"/>
      <c r="D903" s="7"/>
      <c r="E903" s="7"/>
      <c r="F903" s="7"/>
      <c r="G903" s="7"/>
      <c r="H903" s="7"/>
      <c r="I903" s="8"/>
      <c r="J903" s="8"/>
      <c r="P903" s="10"/>
      <c r="Q903" s="10"/>
      <c r="R903" s="10"/>
      <c r="S903" s="10"/>
      <c r="T903" s="10"/>
      <c r="U903" s="10"/>
      <c r="V903" s="10"/>
      <c r="W903" s="10"/>
      <c r="X903" s="10"/>
      <c r="Z903" s="10"/>
      <c r="AA903" s="7"/>
      <c r="AB903" s="7"/>
      <c r="AC903" s="7"/>
      <c r="AD903" s="7"/>
      <c r="AE903" s="7"/>
      <c r="AF903" s="7"/>
      <c r="AG903" s="7"/>
      <c r="AH903" s="7"/>
      <c r="AI903" s="7"/>
    </row>
    <row r="904" spans="1:35" ht="12.75" customHeight="1">
      <c r="A904" s="7"/>
      <c r="B904" s="7"/>
      <c r="C904" s="7"/>
      <c r="D904" s="7"/>
      <c r="E904" s="7"/>
      <c r="F904" s="7"/>
      <c r="G904" s="7"/>
      <c r="H904" s="7"/>
      <c r="I904" s="8"/>
      <c r="J904" s="8"/>
      <c r="P904" s="10"/>
      <c r="Q904" s="10"/>
      <c r="R904" s="10"/>
      <c r="S904" s="10"/>
      <c r="T904" s="10"/>
      <c r="U904" s="10"/>
      <c r="V904" s="10"/>
      <c r="W904" s="10"/>
      <c r="X904" s="10"/>
      <c r="Z904" s="10"/>
      <c r="AA904" s="7"/>
      <c r="AB904" s="7"/>
      <c r="AC904" s="7"/>
      <c r="AD904" s="7"/>
      <c r="AE904" s="7"/>
      <c r="AF904" s="7"/>
      <c r="AG904" s="7"/>
      <c r="AH904" s="7"/>
      <c r="AI904" s="7"/>
    </row>
    <row r="905" spans="1:35" ht="12.75" customHeight="1">
      <c r="A905" s="7"/>
      <c r="B905" s="7"/>
      <c r="C905" s="7"/>
      <c r="D905" s="7"/>
      <c r="E905" s="7"/>
      <c r="F905" s="7"/>
      <c r="G905" s="7"/>
      <c r="H905" s="7"/>
      <c r="I905" s="8"/>
      <c r="J905" s="8"/>
      <c r="P905" s="10"/>
      <c r="Q905" s="10"/>
      <c r="R905" s="10"/>
      <c r="S905" s="10"/>
      <c r="T905" s="10"/>
      <c r="U905" s="10"/>
      <c r="V905" s="10"/>
      <c r="W905" s="10"/>
      <c r="X905" s="10"/>
      <c r="Z905" s="10"/>
      <c r="AA905" s="7"/>
      <c r="AB905" s="7"/>
      <c r="AC905" s="7"/>
      <c r="AD905" s="7"/>
      <c r="AE905" s="7"/>
      <c r="AF905" s="7"/>
      <c r="AG905" s="7"/>
      <c r="AH905" s="7"/>
      <c r="AI905" s="7"/>
    </row>
    <row r="906" spans="1:35" ht="12.75" customHeight="1">
      <c r="A906" s="7"/>
      <c r="B906" s="7"/>
      <c r="C906" s="7"/>
      <c r="D906" s="7"/>
      <c r="E906" s="7"/>
      <c r="F906" s="7"/>
      <c r="G906" s="7"/>
      <c r="H906" s="7"/>
      <c r="I906" s="8"/>
      <c r="J906" s="8"/>
      <c r="P906" s="10"/>
      <c r="Q906" s="10"/>
      <c r="R906" s="10"/>
      <c r="S906" s="10"/>
      <c r="T906" s="10"/>
      <c r="U906" s="10"/>
      <c r="V906" s="10"/>
      <c r="W906" s="10"/>
      <c r="X906" s="10"/>
      <c r="Z906" s="10"/>
      <c r="AA906" s="7"/>
      <c r="AB906" s="7"/>
      <c r="AC906" s="7"/>
      <c r="AD906" s="7"/>
      <c r="AE906" s="7"/>
      <c r="AF906" s="7"/>
      <c r="AG906" s="7"/>
      <c r="AH906" s="7"/>
      <c r="AI906" s="7"/>
    </row>
    <row r="907" spans="1:35" ht="12.75" customHeight="1">
      <c r="A907" s="7"/>
      <c r="B907" s="7"/>
      <c r="C907" s="7"/>
      <c r="D907" s="7"/>
      <c r="E907" s="7"/>
      <c r="F907" s="7"/>
      <c r="G907" s="7"/>
      <c r="H907" s="7"/>
      <c r="I907" s="8"/>
      <c r="J907" s="8"/>
      <c r="P907" s="10"/>
      <c r="Q907" s="10"/>
      <c r="R907" s="10"/>
      <c r="S907" s="10"/>
      <c r="T907" s="10"/>
      <c r="U907" s="10"/>
      <c r="V907" s="10"/>
      <c r="W907" s="10"/>
      <c r="X907" s="10"/>
      <c r="Z907" s="10"/>
      <c r="AA907" s="7"/>
      <c r="AB907" s="7"/>
      <c r="AC907" s="7"/>
      <c r="AD907" s="7"/>
      <c r="AE907" s="7"/>
      <c r="AF907" s="7"/>
      <c r="AG907" s="7"/>
      <c r="AH907" s="7"/>
      <c r="AI907" s="7"/>
    </row>
    <row r="908" spans="1:35" ht="12.75" customHeight="1">
      <c r="A908" s="7"/>
      <c r="B908" s="7"/>
      <c r="C908" s="7"/>
      <c r="D908" s="7"/>
      <c r="E908" s="7"/>
      <c r="F908" s="7"/>
      <c r="G908" s="7"/>
      <c r="H908" s="7"/>
      <c r="I908" s="8"/>
      <c r="J908" s="8"/>
      <c r="P908" s="10"/>
      <c r="Q908" s="10"/>
      <c r="R908" s="10"/>
      <c r="S908" s="10"/>
      <c r="T908" s="10"/>
      <c r="U908" s="10"/>
      <c r="V908" s="10"/>
      <c r="W908" s="10"/>
      <c r="X908" s="10"/>
      <c r="Z908" s="10"/>
      <c r="AA908" s="7"/>
      <c r="AB908" s="7"/>
      <c r="AC908" s="7"/>
      <c r="AD908" s="7"/>
      <c r="AE908" s="7"/>
      <c r="AF908" s="7"/>
      <c r="AG908" s="7"/>
      <c r="AH908" s="7"/>
      <c r="AI908" s="7"/>
    </row>
    <row r="909" spans="1:35" ht="12.75" customHeight="1">
      <c r="A909" s="7"/>
      <c r="B909" s="7"/>
      <c r="C909" s="7"/>
      <c r="D909" s="7"/>
      <c r="E909" s="7"/>
      <c r="F909" s="7"/>
      <c r="G909" s="7"/>
      <c r="H909" s="7"/>
      <c r="I909" s="8"/>
      <c r="J909" s="8"/>
      <c r="P909" s="10"/>
      <c r="Q909" s="10"/>
      <c r="R909" s="10"/>
      <c r="S909" s="10"/>
      <c r="T909" s="10"/>
      <c r="U909" s="10"/>
      <c r="V909" s="10"/>
      <c r="W909" s="10"/>
      <c r="X909" s="10"/>
      <c r="Z909" s="10"/>
      <c r="AA909" s="7"/>
      <c r="AB909" s="7"/>
      <c r="AC909" s="7"/>
      <c r="AD909" s="7"/>
      <c r="AE909" s="7"/>
      <c r="AF909" s="7"/>
      <c r="AG909" s="7"/>
      <c r="AH909" s="7"/>
      <c r="AI909" s="7"/>
    </row>
    <row r="910" spans="1:35" ht="12.75" customHeight="1">
      <c r="A910" s="7"/>
      <c r="B910" s="7"/>
      <c r="C910" s="7"/>
      <c r="D910" s="7"/>
      <c r="E910" s="7"/>
      <c r="F910" s="7"/>
      <c r="G910" s="7"/>
      <c r="H910" s="7"/>
      <c r="I910" s="8"/>
      <c r="J910" s="8"/>
      <c r="P910" s="10"/>
      <c r="Q910" s="10"/>
      <c r="R910" s="10"/>
      <c r="S910" s="10"/>
      <c r="T910" s="10"/>
      <c r="U910" s="10"/>
      <c r="V910" s="10"/>
      <c r="W910" s="10"/>
      <c r="X910" s="10"/>
      <c r="Z910" s="10"/>
      <c r="AA910" s="7"/>
      <c r="AB910" s="7"/>
      <c r="AC910" s="7"/>
      <c r="AD910" s="7"/>
      <c r="AE910" s="7"/>
      <c r="AF910" s="7"/>
      <c r="AG910" s="7"/>
      <c r="AH910" s="7"/>
      <c r="AI910" s="7"/>
    </row>
    <row r="911" spans="1:35" ht="12.75" customHeight="1">
      <c r="A911" s="7"/>
      <c r="B911" s="7"/>
      <c r="C911" s="7"/>
      <c r="D911" s="7"/>
      <c r="E911" s="7"/>
      <c r="F911" s="7"/>
      <c r="G911" s="7"/>
      <c r="H911" s="7"/>
      <c r="I911" s="8"/>
      <c r="J911" s="8"/>
      <c r="P911" s="10"/>
      <c r="Q911" s="10"/>
      <c r="R911" s="10"/>
      <c r="S911" s="10"/>
      <c r="T911" s="10"/>
      <c r="U911" s="10"/>
      <c r="V911" s="10"/>
      <c r="W911" s="10"/>
      <c r="X911" s="10"/>
      <c r="Z911" s="10"/>
      <c r="AA911" s="7"/>
      <c r="AB911" s="7"/>
      <c r="AC911" s="7"/>
      <c r="AD911" s="7"/>
      <c r="AE911" s="7"/>
      <c r="AF911" s="7"/>
      <c r="AG911" s="7"/>
      <c r="AH911" s="7"/>
      <c r="AI911" s="7"/>
    </row>
    <row r="912" spans="1:35" ht="12.75" customHeight="1">
      <c r="A912" s="7"/>
      <c r="B912" s="7"/>
      <c r="C912" s="7"/>
      <c r="D912" s="7"/>
      <c r="E912" s="7"/>
      <c r="F912" s="7"/>
      <c r="G912" s="7"/>
      <c r="H912" s="7"/>
      <c r="I912" s="8"/>
      <c r="J912" s="8"/>
      <c r="P912" s="10"/>
      <c r="Q912" s="10"/>
      <c r="R912" s="10"/>
      <c r="S912" s="10"/>
      <c r="T912" s="10"/>
      <c r="U912" s="10"/>
      <c r="V912" s="10"/>
      <c r="W912" s="10"/>
      <c r="X912" s="10"/>
      <c r="Z912" s="10"/>
      <c r="AA912" s="7"/>
      <c r="AB912" s="7"/>
      <c r="AC912" s="7"/>
      <c r="AD912" s="7"/>
      <c r="AE912" s="7"/>
      <c r="AF912" s="7"/>
      <c r="AG912" s="7"/>
      <c r="AH912" s="7"/>
      <c r="AI912" s="7"/>
    </row>
    <row r="913" spans="1:35" ht="12.75" customHeight="1">
      <c r="A913" s="7"/>
      <c r="B913" s="7"/>
      <c r="C913" s="7"/>
      <c r="D913" s="7"/>
      <c r="E913" s="7"/>
      <c r="F913" s="7"/>
      <c r="G913" s="7"/>
      <c r="H913" s="7"/>
      <c r="I913" s="8"/>
      <c r="J913" s="8"/>
      <c r="P913" s="10"/>
      <c r="Q913" s="10"/>
      <c r="R913" s="10"/>
      <c r="S913" s="10"/>
      <c r="T913" s="10"/>
      <c r="U913" s="10"/>
      <c r="V913" s="10"/>
      <c r="W913" s="10"/>
      <c r="X913" s="10"/>
      <c r="Z913" s="10"/>
      <c r="AA913" s="7"/>
      <c r="AB913" s="7"/>
      <c r="AC913" s="7"/>
      <c r="AD913" s="7"/>
      <c r="AE913" s="7"/>
      <c r="AF913" s="7"/>
      <c r="AG913" s="7"/>
      <c r="AH913" s="7"/>
      <c r="AI913" s="7"/>
    </row>
    <row r="914" spans="1:35" ht="12.75" customHeight="1">
      <c r="A914" s="7"/>
      <c r="B914" s="7"/>
      <c r="C914" s="7"/>
      <c r="D914" s="7"/>
      <c r="E914" s="7"/>
      <c r="F914" s="7"/>
      <c r="G914" s="7"/>
      <c r="H914" s="7"/>
      <c r="I914" s="8"/>
      <c r="J914" s="8"/>
      <c r="P914" s="10"/>
      <c r="Q914" s="10"/>
      <c r="R914" s="10"/>
      <c r="S914" s="10"/>
      <c r="T914" s="10"/>
      <c r="U914" s="10"/>
      <c r="V914" s="10"/>
      <c r="W914" s="10"/>
      <c r="X914" s="10"/>
      <c r="Z914" s="10"/>
      <c r="AA914" s="7"/>
      <c r="AB914" s="7"/>
      <c r="AC914" s="7"/>
      <c r="AD914" s="7"/>
      <c r="AE914" s="7"/>
      <c r="AF914" s="7"/>
      <c r="AG914" s="7"/>
      <c r="AH914" s="7"/>
      <c r="AI914" s="7"/>
    </row>
    <row r="915" spans="1:35" ht="12.75" customHeight="1">
      <c r="A915" s="7"/>
      <c r="B915" s="7"/>
      <c r="C915" s="7"/>
      <c r="D915" s="7"/>
      <c r="E915" s="7"/>
      <c r="F915" s="7"/>
      <c r="G915" s="7"/>
      <c r="H915" s="7"/>
      <c r="I915" s="8"/>
      <c r="J915" s="8"/>
      <c r="P915" s="10"/>
      <c r="Q915" s="10"/>
      <c r="R915" s="10"/>
      <c r="S915" s="10"/>
      <c r="T915" s="10"/>
      <c r="U915" s="10"/>
      <c r="V915" s="10"/>
      <c r="W915" s="10"/>
      <c r="X915" s="10"/>
      <c r="Z915" s="10"/>
      <c r="AA915" s="7"/>
      <c r="AB915" s="7"/>
      <c r="AC915" s="7"/>
      <c r="AD915" s="7"/>
      <c r="AE915" s="7"/>
      <c r="AF915" s="7"/>
      <c r="AG915" s="7"/>
      <c r="AH915" s="7"/>
      <c r="AI915" s="7"/>
    </row>
    <row r="916" spans="1:35" ht="12.75" customHeight="1">
      <c r="A916" s="7"/>
      <c r="B916" s="7"/>
      <c r="C916" s="7"/>
      <c r="D916" s="7"/>
      <c r="E916" s="7"/>
      <c r="F916" s="7"/>
      <c r="G916" s="7"/>
      <c r="H916" s="7"/>
      <c r="I916" s="8"/>
      <c r="J916" s="8"/>
      <c r="P916" s="10"/>
      <c r="Q916" s="10"/>
      <c r="R916" s="10"/>
      <c r="S916" s="10"/>
      <c r="T916" s="10"/>
      <c r="U916" s="10"/>
      <c r="V916" s="10"/>
      <c r="W916" s="10"/>
      <c r="X916" s="10"/>
      <c r="Z916" s="10"/>
      <c r="AA916" s="7"/>
      <c r="AB916" s="7"/>
      <c r="AC916" s="7"/>
      <c r="AD916" s="7"/>
      <c r="AE916" s="7"/>
      <c r="AF916" s="7"/>
      <c r="AG916" s="7"/>
      <c r="AH916" s="7"/>
      <c r="AI916" s="7"/>
    </row>
    <row r="917" spans="1:35" ht="12.75" customHeight="1">
      <c r="A917" s="7"/>
      <c r="B917" s="7"/>
      <c r="C917" s="7"/>
      <c r="D917" s="7"/>
      <c r="E917" s="7"/>
      <c r="F917" s="7"/>
      <c r="G917" s="7"/>
      <c r="H917" s="7"/>
      <c r="I917" s="8"/>
      <c r="J917" s="8"/>
      <c r="P917" s="10"/>
      <c r="Q917" s="10"/>
      <c r="R917" s="10"/>
      <c r="S917" s="10"/>
      <c r="T917" s="10"/>
      <c r="U917" s="10"/>
      <c r="V917" s="10"/>
      <c r="W917" s="10"/>
      <c r="X917" s="10"/>
      <c r="Z917" s="10"/>
      <c r="AA917" s="7"/>
      <c r="AB917" s="7"/>
      <c r="AC917" s="7"/>
      <c r="AD917" s="7"/>
      <c r="AE917" s="7"/>
      <c r="AF917" s="7"/>
      <c r="AG917" s="7"/>
      <c r="AH917" s="7"/>
      <c r="AI917" s="7"/>
    </row>
    <row r="918" spans="1:35" ht="12.75" customHeight="1">
      <c r="A918" s="7"/>
      <c r="B918" s="7"/>
      <c r="C918" s="7"/>
      <c r="D918" s="7"/>
      <c r="E918" s="7"/>
      <c r="F918" s="7"/>
      <c r="G918" s="7"/>
      <c r="H918" s="7"/>
      <c r="I918" s="8"/>
      <c r="J918" s="8"/>
      <c r="P918" s="10"/>
      <c r="Q918" s="10"/>
      <c r="R918" s="10"/>
      <c r="S918" s="10"/>
      <c r="T918" s="10"/>
      <c r="U918" s="10"/>
      <c r="V918" s="10"/>
      <c r="W918" s="10"/>
      <c r="X918" s="10"/>
      <c r="Z918" s="10"/>
      <c r="AA918" s="7"/>
      <c r="AB918" s="7"/>
      <c r="AC918" s="7"/>
      <c r="AD918" s="7"/>
      <c r="AE918" s="7"/>
      <c r="AF918" s="7"/>
      <c r="AG918" s="7"/>
      <c r="AH918" s="7"/>
      <c r="AI918" s="7"/>
    </row>
    <row r="919" spans="1:35" ht="12.75" customHeight="1">
      <c r="A919" s="7"/>
      <c r="B919" s="7"/>
      <c r="C919" s="7"/>
      <c r="D919" s="7"/>
      <c r="E919" s="7"/>
      <c r="F919" s="7"/>
      <c r="G919" s="7"/>
      <c r="H919" s="7"/>
      <c r="I919" s="8"/>
      <c r="J919" s="8"/>
      <c r="P919" s="10"/>
      <c r="Q919" s="10"/>
      <c r="R919" s="10"/>
      <c r="S919" s="10"/>
      <c r="T919" s="10"/>
      <c r="U919" s="10"/>
      <c r="V919" s="10"/>
      <c r="W919" s="10"/>
      <c r="X919" s="10"/>
      <c r="Z919" s="10"/>
      <c r="AA919" s="7"/>
      <c r="AB919" s="7"/>
      <c r="AC919" s="7"/>
      <c r="AD919" s="7"/>
      <c r="AE919" s="7"/>
      <c r="AF919" s="7"/>
      <c r="AG919" s="7"/>
      <c r="AH919" s="7"/>
      <c r="AI919" s="7"/>
    </row>
    <row r="920" spans="1:35" ht="12.75" customHeight="1">
      <c r="A920" s="7"/>
      <c r="B920" s="7"/>
      <c r="C920" s="7"/>
      <c r="D920" s="7"/>
      <c r="E920" s="7"/>
      <c r="F920" s="7"/>
      <c r="G920" s="7"/>
      <c r="H920" s="7"/>
      <c r="I920" s="8"/>
      <c r="J920" s="8"/>
      <c r="P920" s="10"/>
      <c r="Q920" s="10"/>
      <c r="R920" s="10"/>
      <c r="S920" s="10"/>
      <c r="T920" s="10"/>
      <c r="U920" s="10"/>
      <c r="V920" s="10"/>
      <c r="W920" s="10"/>
      <c r="X920" s="10"/>
      <c r="Z920" s="10"/>
      <c r="AA920" s="7"/>
      <c r="AB920" s="7"/>
      <c r="AC920" s="7"/>
      <c r="AD920" s="7"/>
      <c r="AE920" s="7"/>
      <c r="AF920" s="7"/>
      <c r="AG920" s="7"/>
      <c r="AH920" s="7"/>
      <c r="AI920" s="7"/>
    </row>
    <row r="921" spans="1:35" ht="12.75" customHeight="1">
      <c r="A921" s="7"/>
      <c r="B921" s="7"/>
      <c r="C921" s="7"/>
      <c r="D921" s="7"/>
      <c r="E921" s="7"/>
      <c r="F921" s="7"/>
      <c r="G921" s="7"/>
      <c r="H921" s="7"/>
      <c r="I921" s="8"/>
      <c r="J921" s="8"/>
      <c r="P921" s="10"/>
      <c r="Q921" s="10"/>
      <c r="R921" s="10"/>
      <c r="S921" s="10"/>
      <c r="T921" s="10"/>
      <c r="U921" s="10"/>
      <c r="V921" s="10"/>
      <c r="W921" s="10"/>
      <c r="X921" s="10"/>
      <c r="Z921" s="10"/>
      <c r="AA921" s="7"/>
      <c r="AB921" s="7"/>
      <c r="AC921" s="7"/>
      <c r="AD921" s="7"/>
      <c r="AE921" s="7"/>
      <c r="AF921" s="7"/>
      <c r="AG921" s="7"/>
      <c r="AH921" s="7"/>
      <c r="AI921" s="7"/>
    </row>
    <row r="922" spans="1:35" ht="12.75" customHeight="1">
      <c r="A922" s="7"/>
      <c r="B922" s="7"/>
      <c r="C922" s="7"/>
      <c r="D922" s="7"/>
      <c r="E922" s="7"/>
      <c r="F922" s="7"/>
      <c r="G922" s="7"/>
      <c r="H922" s="7"/>
      <c r="I922" s="8"/>
      <c r="J922" s="8"/>
      <c r="P922" s="10"/>
      <c r="Q922" s="10"/>
      <c r="R922" s="10"/>
      <c r="S922" s="10"/>
      <c r="T922" s="10"/>
      <c r="U922" s="10"/>
      <c r="V922" s="10"/>
      <c r="W922" s="10"/>
      <c r="X922" s="10"/>
      <c r="Z922" s="10"/>
      <c r="AA922" s="7"/>
      <c r="AB922" s="7"/>
      <c r="AC922" s="7"/>
      <c r="AD922" s="7"/>
      <c r="AE922" s="7"/>
      <c r="AF922" s="7"/>
      <c r="AG922" s="7"/>
      <c r="AH922" s="7"/>
      <c r="AI922" s="7"/>
    </row>
    <row r="923" spans="1:35" ht="12.75" customHeight="1">
      <c r="A923" s="7"/>
      <c r="B923" s="7"/>
      <c r="C923" s="7"/>
      <c r="D923" s="7"/>
      <c r="E923" s="7"/>
      <c r="F923" s="7"/>
      <c r="G923" s="7"/>
      <c r="H923" s="7"/>
      <c r="I923" s="8"/>
      <c r="J923" s="8"/>
      <c r="P923" s="10"/>
      <c r="Q923" s="10"/>
      <c r="R923" s="10"/>
      <c r="S923" s="10"/>
      <c r="T923" s="10"/>
      <c r="U923" s="10"/>
      <c r="V923" s="10"/>
      <c r="W923" s="10"/>
      <c r="X923" s="10"/>
      <c r="Z923" s="10"/>
      <c r="AA923" s="7"/>
      <c r="AB923" s="7"/>
      <c r="AC923" s="7"/>
      <c r="AD923" s="7"/>
      <c r="AE923" s="7"/>
      <c r="AF923" s="7"/>
      <c r="AG923" s="7"/>
      <c r="AH923" s="7"/>
      <c r="AI923" s="7"/>
    </row>
    <row r="924" spans="1:35" ht="12.75" customHeight="1">
      <c r="A924" s="7"/>
      <c r="B924" s="7"/>
      <c r="C924" s="7"/>
      <c r="D924" s="7"/>
      <c r="E924" s="7"/>
      <c r="F924" s="7"/>
      <c r="G924" s="7"/>
      <c r="H924" s="7"/>
      <c r="I924" s="8"/>
      <c r="J924" s="8"/>
      <c r="P924" s="10"/>
      <c r="Q924" s="10"/>
      <c r="R924" s="10"/>
      <c r="S924" s="10"/>
      <c r="T924" s="10"/>
      <c r="U924" s="10"/>
      <c r="V924" s="10"/>
      <c r="W924" s="10"/>
      <c r="X924" s="10"/>
      <c r="Z924" s="10"/>
      <c r="AA924" s="7"/>
      <c r="AB924" s="7"/>
      <c r="AC924" s="7"/>
      <c r="AD924" s="7"/>
      <c r="AE924" s="7"/>
      <c r="AF924" s="7"/>
      <c r="AG924" s="7"/>
      <c r="AH924" s="7"/>
      <c r="AI924" s="7"/>
    </row>
    <row r="925" spans="1:35" ht="12.75" customHeight="1">
      <c r="A925" s="7"/>
      <c r="B925" s="7"/>
      <c r="C925" s="7"/>
      <c r="D925" s="7"/>
      <c r="E925" s="7"/>
      <c r="F925" s="7"/>
      <c r="G925" s="7"/>
      <c r="H925" s="7"/>
      <c r="I925" s="8"/>
      <c r="J925" s="8"/>
      <c r="P925" s="10"/>
      <c r="Q925" s="10"/>
      <c r="R925" s="10"/>
      <c r="S925" s="10"/>
      <c r="T925" s="10"/>
      <c r="U925" s="10"/>
      <c r="V925" s="10"/>
      <c r="W925" s="10"/>
      <c r="X925" s="10"/>
      <c r="Z925" s="10"/>
      <c r="AA925" s="7"/>
      <c r="AB925" s="7"/>
      <c r="AC925" s="7"/>
      <c r="AD925" s="7"/>
      <c r="AE925" s="7"/>
      <c r="AF925" s="7"/>
      <c r="AG925" s="7"/>
      <c r="AH925" s="7"/>
      <c r="AI925" s="7"/>
    </row>
    <row r="926" spans="1:35" ht="12.75" customHeight="1">
      <c r="A926" s="7"/>
      <c r="B926" s="7"/>
      <c r="C926" s="7"/>
      <c r="D926" s="7"/>
      <c r="E926" s="7"/>
      <c r="F926" s="7"/>
      <c r="G926" s="7"/>
      <c r="H926" s="7"/>
      <c r="I926" s="8"/>
      <c r="J926" s="8"/>
      <c r="P926" s="10"/>
      <c r="Q926" s="10"/>
      <c r="R926" s="10"/>
      <c r="S926" s="10"/>
      <c r="T926" s="10"/>
      <c r="U926" s="10"/>
      <c r="V926" s="10"/>
      <c r="W926" s="10"/>
      <c r="X926" s="10"/>
      <c r="Z926" s="10"/>
      <c r="AA926" s="7"/>
      <c r="AB926" s="7"/>
      <c r="AC926" s="7"/>
      <c r="AD926" s="7"/>
      <c r="AE926" s="7"/>
      <c r="AF926" s="7"/>
      <c r="AG926" s="7"/>
      <c r="AH926" s="7"/>
      <c r="AI926" s="7"/>
    </row>
    <row r="927" spans="1:35" ht="12.75" customHeight="1">
      <c r="A927" s="7"/>
      <c r="B927" s="7"/>
      <c r="C927" s="7"/>
      <c r="D927" s="7"/>
      <c r="E927" s="7"/>
      <c r="F927" s="7"/>
      <c r="G927" s="7"/>
      <c r="H927" s="7"/>
      <c r="I927" s="8"/>
      <c r="J927" s="8"/>
      <c r="P927" s="10"/>
      <c r="Q927" s="10"/>
      <c r="R927" s="10"/>
      <c r="S927" s="10"/>
      <c r="T927" s="10"/>
      <c r="U927" s="10"/>
      <c r="V927" s="10"/>
      <c r="W927" s="10"/>
      <c r="X927" s="10"/>
      <c r="Z927" s="10"/>
      <c r="AA927" s="7"/>
      <c r="AB927" s="7"/>
      <c r="AC927" s="7"/>
      <c r="AD927" s="7"/>
      <c r="AE927" s="7"/>
      <c r="AF927" s="7"/>
      <c r="AG927" s="7"/>
      <c r="AH927" s="7"/>
      <c r="AI927" s="7"/>
    </row>
    <row r="928" spans="1:35" ht="12.75" customHeight="1">
      <c r="A928" s="7"/>
      <c r="B928" s="7"/>
      <c r="C928" s="7"/>
      <c r="D928" s="7"/>
      <c r="E928" s="7"/>
      <c r="F928" s="7"/>
      <c r="G928" s="7"/>
      <c r="H928" s="7"/>
      <c r="I928" s="8"/>
      <c r="J928" s="8"/>
      <c r="P928" s="10"/>
      <c r="Q928" s="10"/>
      <c r="R928" s="10"/>
      <c r="S928" s="10"/>
      <c r="T928" s="10"/>
      <c r="U928" s="10"/>
      <c r="V928" s="10"/>
      <c r="W928" s="10"/>
      <c r="X928" s="10"/>
      <c r="Z928" s="10"/>
      <c r="AA928" s="7"/>
      <c r="AB928" s="7"/>
      <c r="AC928" s="7"/>
      <c r="AD928" s="7"/>
      <c r="AE928" s="7"/>
      <c r="AF928" s="7"/>
      <c r="AG928" s="7"/>
      <c r="AH928" s="7"/>
      <c r="AI928" s="7"/>
    </row>
    <row r="929" spans="1:35" ht="12.75" customHeight="1">
      <c r="A929" s="7"/>
      <c r="B929" s="7"/>
      <c r="C929" s="7"/>
      <c r="D929" s="7"/>
      <c r="E929" s="7"/>
      <c r="F929" s="7"/>
      <c r="G929" s="7"/>
      <c r="H929" s="7"/>
      <c r="I929" s="8"/>
      <c r="J929" s="8"/>
      <c r="P929" s="10"/>
      <c r="Q929" s="10"/>
      <c r="R929" s="10"/>
      <c r="S929" s="10"/>
      <c r="T929" s="10"/>
      <c r="U929" s="10"/>
      <c r="V929" s="10"/>
      <c r="W929" s="10"/>
      <c r="X929" s="10"/>
      <c r="Z929" s="10"/>
      <c r="AA929" s="7"/>
      <c r="AB929" s="7"/>
      <c r="AC929" s="7"/>
      <c r="AD929" s="7"/>
      <c r="AE929" s="7"/>
      <c r="AF929" s="7"/>
      <c r="AG929" s="7"/>
      <c r="AH929" s="7"/>
      <c r="AI929" s="7"/>
    </row>
    <row r="930" spans="1:35" ht="12.75" customHeight="1">
      <c r="A930" s="7"/>
      <c r="B930" s="7"/>
      <c r="C930" s="7"/>
      <c r="D930" s="7"/>
      <c r="E930" s="7"/>
      <c r="F930" s="7"/>
      <c r="G930" s="7"/>
      <c r="H930" s="7"/>
      <c r="I930" s="8"/>
      <c r="J930" s="8"/>
      <c r="P930" s="10"/>
      <c r="Q930" s="10"/>
      <c r="R930" s="10"/>
      <c r="S930" s="10"/>
      <c r="T930" s="10"/>
      <c r="U930" s="10"/>
      <c r="V930" s="10"/>
      <c r="W930" s="10"/>
      <c r="X930" s="10"/>
      <c r="Z930" s="10"/>
      <c r="AA930" s="7"/>
      <c r="AB930" s="7"/>
      <c r="AC930" s="7"/>
      <c r="AD930" s="7"/>
      <c r="AE930" s="7"/>
      <c r="AF930" s="7"/>
      <c r="AG930" s="7"/>
      <c r="AH930" s="7"/>
      <c r="AI930" s="7"/>
    </row>
    <row r="931" spans="1:35" ht="12.75" customHeight="1">
      <c r="A931" s="7"/>
      <c r="B931" s="7"/>
      <c r="C931" s="7"/>
      <c r="D931" s="7"/>
      <c r="E931" s="7"/>
      <c r="F931" s="7"/>
      <c r="G931" s="7"/>
      <c r="H931" s="7"/>
      <c r="I931" s="8"/>
      <c r="J931" s="8"/>
      <c r="P931" s="10"/>
      <c r="Q931" s="10"/>
      <c r="R931" s="10"/>
      <c r="S931" s="10"/>
      <c r="T931" s="10"/>
      <c r="U931" s="10"/>
      <c r="V931" s="10"/>
      <c r="W931" s="10"/>
      <c r="X931" s="10"/>
      <c r="Z931" s="10"/>
      <c r="AA931" s="7"/>
      <c r="AB931" s="7"/>
      <c r="AC931" s="7"/>
      <c r="AD931" s="7"/>
      <c r="AE931" s="7"/>
      <c r="AF931" s="7"/>
      <c r="AG931" s="7"/>
      <c r="AH931" s="7"/>
      <c r="AI931" s="7"/>
    </row>
    <row r="932" spans="1:35" ht="12.75" customHeight="1">
      <c r="A932" s="7"/>
      <c r="B932" s="7"/>
      <c r="C932" s="7"/>
      <c r="D932" s="7"/>
      <c r="E932" s="7"/>
      <c r="F932" s="7"/>
      <c r="G932" s="7"/>
      <c r="H932" s="7"/>
      <c r="I932" s="8"/>
      <c r="J932" s="8"/>
      <c r="P932" s="10"/>
      <c r="Q932" s="10"/>
      <c r="R932" s="10"/>
      <c r="S932" s="10"/>
      <c r="T932" s="10"/>
      <c r="U932" s="10"/>
      <c r="V932" s="10"/>
      <c r="W932" s="10"/>
      <c r="X932" s="10"/>
      <c r="Z932" s="10"/>
      <c r="AA932" s="7"/>
      <c r="AB932" s="7"/>
      <c r="AC932" s="7"/>
      <c r="AD932" s="7"/>
      <c r="AE932" s="7"/>
      <c r="AF932" s="7"/>
      <c r="AG932" s="7"/>
      <c r="AH932" s="7"/>
      <c r="AI932" s="7"/>
    </row>
    <row r="933" spans="1:35" ht="12.75" customHeight="1">
      <c r="A933" s="7"/>
      <c r="B933" s="7"/>
      <c r="C933" s="7"/>
      <c r="D933" s="7"/>
      <c r="E933" s="7"/>
      <c r="F933" s="7"/>
      <c r="G933" s="7"/>
      <c r="H933" s="7"/>
      <c r="I933" s="8"/>
      <c r="J933" s="8"/>
      <c r="P933" s="10"/>
      <c r="Q933" s="10"/>
      <c r="R933" s="10"/>
      <c r="S933" s="10"/>
      <c r="T933" s="10"/>
      <c r="U933" s="10"/>
      <c r="V933" s="10"/>
      <c r="W933" s="10"/>
      <c r="X933" s="10"/>
      <c r="Z933" s="10"/>
      <c r="AA933" s="7"/>
      <c r="AB933" s="7"/>
      <c r="AC933" s="7"/>
      <c r="AD933" s="7"/>
      <c r="AE933" s="7"/>
      <c r="AF933" s="7"/>
      <c r="AG933" s="7"/>
      <c r="AH933" s="7"/>
      <c r="AI933" s="7"/>
    </row>
    <row r="934" spans="1:35" ht="12.75" customHeight="1">
      <c r="A934" s="7"/>
      <c r="B934" s="7"/>
      <c r="C934" s="7"/>
      <c r="D934" s="7"/>
      <c r="E934" s="7"/>
      <c r="F934" s="7"/>
      <c r="G934" s="7"/>
      <c r="H934" s="7"/>
      <c r="I934" s="8"/>
      <c r="J934" s="8"/>
      <c r="P934" s="10"/>
      <c r="Q934" s="10"/>
      <c r="R934" s="10"/>
      <c r="S934" s="10"/>
      <c r="T934" s="10"/>
      <c r="U934" s="10"/>
      <c r="V934" s="10"/>
      <c r="W934" s="10"/>
      <c r="X934" s="10"/>
      <c r="Z934" s="10"/>
      <c r="AA934" s="7"/>
      <c r="AB934" s="7"/>
      <c r="AC934" s="7"/>
      <c r="AD934" s="7"/>
      <c r="AE934" s="7"/>
      <c r="AF934" s="7"/>
      <c r="AG934" s="7"/>
      <c r="AH934" s="7"/>
      <c r="AI934" s="7"/>
    </row>
    <row r="935" spans="1:35" ht="12.75" customHeight="1">
      <c r="A935" s="7"/>
      <c r="B935" s="7"/>
      <c r="C935" s="7"/>
      <c r="D935" s="7"/>
      <c r="E935" s="7"/>
      <c r="F935" s="7"/>
      <c r="G935" s="7"/>
      <c r="H935" s="7"/>
      <c r="I935" s="8"/>
      <c r="J935" s="8"/>
      <c r="P935" s="10"/>
      <c r="Q935" s="10"/>
      <c r="R935" s="10"/>
      <c r="S935" s="10"/>
      <c r="T935" s="10"/>
      <c r="U935" s="10"/>
      <c r="V935" s="10"/>
      <c r="W935" s="10"/>
      <c r="X935" s="10"/>
      <c r="Z935" s="10"/>
      <c r="AA935" s="7"/>
      <c r="AB935" s="7"/>
      <c r="AC935" s="7"/>
      <c r="AD935" s="7"/>
      <c r="AE935" s="7"/>
      <c r="AF935" s="7"/>
      <c r="AG935" s="7"/>
      <c r="AH935" s="7"/>
      <c r="AI935" s="7"/>
    </row>
    <row r="936" spans="1:35" ht="12.75" customHeight="1">
      <c r="A936" s="7"/>
      <c r="B936" s="7"/>
      <c r="C936" s="7"/>
      <c r="D936" s="7"/>
      <c r="E936" s="7"/>
      <c r="F936" s="7"/>
      <c r="G936" s="7"/>
      <c r="H936" s="7"/>
      <c r="I936" s="8"/>
      <c r="J936" s="8"/>
      <c r="P936" s="10"/>
      <c r="Q936" s="10"/>
      <c r="R936" s="10"/>
      <c r="S936" s="10"/>
      <c r="T936" s="10"/>
      <c r="U936" s="10"/>
      <c r="V936" s="10"/>
      <c r="W936" s="10"/>
      <c r="X936" s="10"/>
      <c r="Z936" s="10"/>
      <c r="AA936" s="7"/>
      <c r="AB936" s="7"/>
      <c r="AC936" s="7"/>
      <c r="AD936" s="7"/>
      <c r="AE936" s="7"/>
      <c r="AF936" s="7"/>
      <c r="AG936" s="7"/>
      <c r="AH936" s="7"/>
      <c r="AI936" s="7"/>
    </row>
    <row r="937" spans="1:35" ht="12.75" customHeight="1">
      <c r="A937" s="7"/>
      <c r="B937" s="7"/>
      <c r="C937" s="7"/>
      <c r="D937" s="7"/>
      <c r="E937" s="7"/>
      <c r="F937" s="7"/>
      <c r="G937" s="7"/>
      <c r="H937" s="7"/>
      <c r="I937" s="8"/>
      <c r="J937" s="8"/>
      <c r="P937" s="10"/>
      <c r="Q937" s="10"/>
      <c r="R937" s="10"/>
      <c r="S937" s="10"/>
      <c r="T937" s="10"/>
      <c r="U937" s="10"/>
      <c r="V937" s="10"/>
      <c r="W937" s="10"/>
      <c r="X937" s="10"/>
      <c r="Z937" s="10"/>
      <c r="AA937" s="7"/>
      <c r="AB937" s="7"/>
      <c r="AC937" s="7"/>
      <c r="AD937" s="7"/>
      <c r="AE937" s="7"/>
      <c r="AF937" s="7"/>
      <c r="AG937" s="7"/>
      <c r="AH937" s="7"/>
      <c r="AI937" s="7"/>
    </row>
    <row r="938" spans="1:35" ht="12.75" customHeight="1">
      <c r="A938" s="7"/>
      <c r="B938" s="7"/>
      <c r="C938" s="7"/>
      <c r="D938" s="7"/>
      <c r="E938" s="7"/>
      <c r="F938" s="7"/>
      <c r="G938" s="7"/>
      <c r="H938" s="7"/>
      <c r="I938" s="8"/>
      <c r="J938" s="8"/>
      <c r="P938" s="10"/>
      <c r="Q938" s="10"/>
      <c r="R938" s="10"/>
      <c r="S938" s="10"/>
      <c r="T938" s="10"/>
      <c r="U938" s="10"/>
      <c r="V938" s="10"/>
      <c r="W938" s="10"/>
      <c r="X938" s="10"/>
      <c r="Z938" s="10"/>
      <c r="AA938" s="7"/>
      <c r="AB938" s="7"/>
      <c r="AC938" s="7"/>
      <c r="AD938" s="7"/>
      <c r="AE938" s="7"/>
      <c r="AF938" s="7"/>
      <c r="AG938" s="7"/>
      <c r="AH938" s="7"/>
      <c r="AI938" s="7"/>
    </row>
    <row r="939" spans="1:35" ht="12.75" customHeight="1">
      <c r="A939" s="7"/>
      <c r="B939" s="7"/>
      <c r="C939" s="7"/>
      <c r="D939" s="7"/>
      <c r="E939" s="7"/>
      <c r="F939" s="7"/>
      <c r="G939" s="7"/>
      <c r="H939" s="7"/>
      <c r="I939" s="8"/>
      <c r="J939" s="8"/>
      <c r="P939" s="10"/>
      <c r="Q939" s="10"/>
      <c r="R939" s="10"/>
      <c r="S939" s="10"/>
      <c r="T939" s="10"/>
      <c r="U939" s="10"/>
      <c r="V939" s="10"/>
      <c r="W939" s="10"/>
      <c r="X939" s="10"/>
      <c r="Z939" s="10"/>
      <c r="AA939" s="7"/>
      <c r="AB939" s="7"/>
      <c r="AC939" s="7"/>
      <c r="AD939" s="7"/>
      <c r="AE939" s="7"/>
      <c r="AF939" s="7"/>
      <c r="AG939" s="7"/>
      <c r="AH939" s="7"/>
      <c r="AI939" s="7"/>
    </row>
    <row r="940" spans="1:35" ht="12.75" customHeight="1">
      <c r="A940" s="7"/>
      <c r="B940" s="7"/>
      <c r="C940" s="7"/>
      <c r="D940" s="7"/>
      <c r="E940" s="7"/>
      <c r="F940" s="7"/>
      <c r="G940" s="7"/>
      <c r="H940" s="7"/>
      <c r="I940" s="8"/>
      <c r="J940" s="8"/>
      <c r="P940" s="10"/>
      <c r="Q940" s="10"/>
      <c r="R940" s="10"/>
      <c r="S940" s="10"/>
      <c r="T940" s="10"/>
      <c r="U940" s="10"/>
      <c r="V940" s="10"/>
      <c r="W940" s="10"/>
      <c r="X940" s="10"/>
      <c r="Z940" s="10"/>
      <c r="AA940" s="7"/>
      <c r="AB940" s="7"/>
      <c r="AC940" s="7"/>
      <c r="AD940" s="7"/>
      <c r="AE940" s="7"/>
      <c r="AF940" s="7"/>
      <c r="AG940" s="7"/>
      <c r="AH940" s="7"/>
      <c r="AI940" s="7"/>
    </row>
    <row r="941" spans="1:35" ht="12.75" customHeight="1">
      <c r="A941" s="7"/>
      <c r="B941" s="7"/>
      <c r="C941" s="7"/>
      <c r="D941" s="7"/>
      <c r="E941" s="7"/>
      <c r="F941" s="7"/>
      <c r="G941" s="7"/>
      <c r="H941" s="7"/>
      <c r="I941" s="8"/>
      <c r="J941" s="8"/>
      <c r="P941" s="10"/>
      <c r="Q941" s="10"/>
      <c r="R941" s="10"/>
      <c r="S941" s="10"/>
      <c r="T941" s="10"/>
      <c r="U941" s="10"/>
      <c r="V941" s="10"/>
      <c r="W941" s="10"/>
      <c r="X941" s="10"/>
      <c r="Z941" s="10"/>
      <c r="AA941" s="7"/>
      <c r="AB941" s="7"/>
      <c r="AC941" s="7"/>
      <c r="AD941" s="7"/>
      <c r="AE941" s="7"/>
      <c r="AF941" s="7"/>
      <c r="AG941" s="7"/>
      <c r="AH941" s="7"/>
      <c r="AI941" s="7"/>
    </row>
    <row r="942" spans="1:35" ht="12.75" customHeight="1">
      <c r="A942" s="7"/>
      <c r="B942" s="7"/>
      <c r="C942" s="7"/>
      <c r="D942" s="7"/>
      <c r="E942" s="7"/>
      <c r="F942" s="7"/>
      <c r="G942" s="7"/>
      <c r="H942" s="7"/>
      <c r="I942" s="8"/>
      <c r="J942" s="8"/>
      <c r="P942" s="10"/>
      <c r="Q942" s="10"/>
      <c r="R942" s="10"/>
      <c r="S942" s="10"/>
      <c r="T942" s="10"/>
      <c r="U942" s="10"/>
      <c r="V942" s="10"/>
      <c r="W942" s="10"/>
      <c r="X942" s="10"/>
      <c r="Z942" s="10"/>
      <c r="AA942" s="7"/>
      <c r="AB942" s="7"/>
      <c r="AC942" s="7"/>
      <c r="AD942" s="7"/>
      <c r="AE942" s="7"/>
      <c r="AF942" s="7"/>
      <c r="AG942" s="7"/>
      <c r="AH942" s="7"/>
      <c r="AI942" s="7"/>
    </row>
    <row r="943" spans="1:35" ht="12.75" customHeight="1">
      <c r="A943" s="7"/>
      <c r="B943" s="7"/>
      <c r="C943" s="7"/>
      <c r="D943" s="7"/>
      <c r="E943" s="7"/>
      <c r="F943" s="7"/>
      <c r="G943" s="7"/>
      <c r="H943" s="7"/>
      <c r="I943" s="8"/>
      <c r="J943" s="8"/>
      <c r="P943" s="10"/>
      <c r="Q943" s="10"/>
      <c r="R943" s="10"/>
      <c r="S943" s="10"/>
      <c r="T943" s="10"/>
      <c r="U943" s="10"/>
      <c r="V943" s="10"/>
      <c r="W943" s="10"/>
      <c r="X943" s="10"/>
      <c r="Z943" s="10"/>
      <c r="AA943" s="7"/>
      <c r="AB943" s="7"/>
      <c r="AC943" s="7"/>
      <c r="AD943" s="7"/>
      <c r="AE943" s="7"/>
      <c r="AF943" s="7"/>
      <c r="AG943" s="7"/>
      <c r="AH943" s="7"/>
      <c r="AI943" s="7"/>
    </row>
    <row r="944" spans="1:35" ht="12.75" customHeight="1">
      <c r="A944" s="7"/>
      <c r="B944" s="7"/>
      <c r="C944" s="7"/>
      <c r="D944" s="7"/>
      <c r="E944" s="7"/>
      <c r="F944" s="7"/>
      <c r="G944" s="7"/>
      <c r="H944" s="7"/>
      <c r="I944" s="8"/>
      <c r="J944" s="8"/>
      <c r="P944" s="10"/>
      <c r="Q944" s="10"/>
      <c r="R944" s="10"/>
      <c r="S944" s="10"/>
      <c r="T944" s="10"/>
      <c r="U944" s="10"/>
      <c r="V944" s="10"/>
      <c r="W944" s="10"/>
      <c r="X944" s="10"/>
      <c r="Z944" s="10"/>
      <c r="AA944" s="7"/>
      <c r="AB944" s="7"/>
      <c r="AC944" s="7"/>
      <c r="AD944" s="7"/>
      <c r="AE944" s="7"/>
      <c r="AF944" s="7"/>
      <c r="AG944" s="7"/>
      <c r="AH944" s="7"/>
      <c r="AI944" s="7"/>
    </row>
    <row r="945" spans="1:35" ht="12.75" customHeight="1">
      <c r="A945" s="7"/>
      <c r="B945" s="7"/>
      <c r="C945" s="7"/>
      <c r="D945" s="7"/>
      <c r="E945" s="7"/>
      <c r="F945" s="7"/>
      <c r="G945" s="7"/>
      <c r="H945" s="7"/>
      <c r="I945" s="8"/>
      <c r="J945" s="8"/>
      <c r="P945" s="10"/>
      <c r="Q945" s="10"/>
      <c r="R945" s="10"/>
      <c r="S945" s="10"/>
      <c r="T945" s="10"/>
      <c r="U945" s="10"/>
      <c r="V945" s="10"/>
      <c r="W945" s="10"/>
      <c r="X945" s="10"/>
      <c r="Z945" s="10"/>
      <c r="AA945" s="7"/>
      <c r="AB945" s="7"/>
      <c r="AC945" s="7"/>
      <c r="AD945" s="7"/>
      <c r="AE945" s="7"/>
      <c r="AF945" s="7"/>
      <c r="AG945" s="7"/>
      <c r="AH945" s="7"/>
      <c r="AI945" s="7"/>
    </row>
    <row r="946" spans="1:35" ht="12.75" customHeight="1">
      <c r="A946" s="7"/>
      <c r="B946" s="7"/>
      <c r="C946" s="7"/>
      <c r="D946" s="7"/>
      <c r="E946" s="7"/>
      <c r="F946" s="7"/>
      <c r="G946" s="7"/>
      <c r="H946" s="7"/>
      <c r="I946" s="8"/>
      <c r="J946" s="8"/>
      <c r="P946" s="10"/>
      <c r="Q946" s="10"/>
      <c r="R946" s="10"/>
      <c r="S946" s="10"/>
      <c r="T946" s="10"/>
      <c r="U946" s="10"/>
      <c r="V946" s="10"/>
      <c r="W946" s="10"/>
      <c r="X946" s="10"/>
      <c r="Z946" s="10"/>
      <c r="AA946" s="7"/>
      <c r="AB946" s="7"/>
      <c r="AC946" s="7"/>
      <c r="AD946" s="7"/>
      <c r="AE946" s="7"/>
      <c r="AF946" s="7"/>
      <c r="AG946" s="7"/>
      <c r="AH946" s="7"/>
      <c r="AI946" s="7"/>
    </row>
    <row r="947" spans="1:35" ht="12.75" customHeight="1">
      <c r="A947" s="7"/>
      <c r="B947" s="7"/>
      <c r="C947" s="7"/>
      <c r="D947" s="7"/>
      <c r="E947" s="7"/>
      <c r="F947" s="7"/>
      <c r="G947" s="7"/>
      <c r="H947" s="7"/>
      <c r="I947" s="8"/>
      <c r="J947" s="8"/>
      <c r="P947" s="10"/>
      <c r="Q947" s="10"/>
      <c r="R947" s="10"/>
      <c r="S947" s="10"/>
      <c r="T947" s="10"/>
      <c r="U947" s="10"/>
      <c r="V947" s="10"/>
      <c r="W947" s="10"/>
      <c r="X947" s="10"/>
      <c r="Z947" s="10"/>
      <c r="AA947" s="7"/>
      <c r="AB947" s="7"/>
      <c r="AC947" s="7"/>
      <c r="AD947" s="7"/>
      <c r="AE947" s="7"/>
      <c r="AF947" s="7"/>
      <c r="AG947" s="7"/>
      <c r="AH947" s="7"/>
      <c r="AI947" s="7"/>
    </row>
    <row r="948" spans="1:35" ht="12.75" customHeight="1">
      <c r="A948" s="7"/>
      <c r="B948" s="7"/>
      <c r="C948" s="7"/>
      <c r="D948" s="7"/>
      <c r="E948" s="7"/>
      <c r="F948" s="7"/>
      <c r="G948" s="7"/>
      <c r="H948" s="7"/>
      <c r="I948" s="8"/>
      <c r="J948" s="8"/>
      <c r="P948" s="10"/>
      <c r="Q948" s="10"/>
      <c r="R948" s="10"/>
      <c r="S948" s="10"/>
      <c r="T948" s="10"/>
      <c r="U948" s="10"/>
      <c r="V948" s="10"/>
      <c r="W948" s="10"/>
      <c r="X948" s="10"/>
      <c r="Z948" s="10"/>
      <c r="AA948" s="7"/>
      <c r="AB948" s="7"/>
      <c r="AC948" s="7"/>
      <c r="AD948" s="7"/>
      <c r="AE948" s="7"/>
      <c r="AF948" s="7"/>
      <c r="AG948" s="7"/>
      <c r="AH948" s="7"/>
      <c r="AI948" s="7"/>
    </row>
    <row r="949" spans="1:35" ht="12.75" customHeight="1">
      <c r="A949" s="7"/>
      <c r="B949" s="7"/>
      <c r="C949" s="7"/>
      <c r="D949" s="7"/>
      <c r="E949" s="7"/>
      <c r="F949" s="7"/>
      <c r="G949" s="7"/>
      <c r="H949" s="7"/>
      <c r="I949" s="8"/>
      <c r="J949" s="8"/>
      <c r="P949" s="10"/>
      <c r="Q949" s="10"/>
      <c r="R949" s="10"/>
      <c r="S949" s="10"/>
      <c r="T949" s="10"/>
      <c r="U949" s="10"/>
      <c r="V949" s="10"/>
      <c r="W949" s="10"/>
      <c r="X949" s="10"/>
      <c r="Z949" s="10"/>
      <c r="AA949" s="7"/>
      <c r="AB949" s="7"/>
      <c r="AC949" s="7"/>
      <c r="AD949" s="7"/>
      <c r="AE949" s="7"/>
      <c r="AF949" s="7"/>
      <c r="AG949" s="7"/>
      <c r="AH949" s="7"/>
      <c r="AI949" s="7"/>
    </row>
    <row r="950" spans="1:35" ht="12.75" customHeight="1">
      <c r="A950" s="7"/>
      <c r="B950" s="7"/>
      <c r="C950" s="7"/>
      <c r="D950" s="7"/>
      <c r="E950" s="7"/>
      <c r="F950" s="7"/>
      <c r="G950" s="7"/>
      <c r="H950" s="7"/>
      <c r="I950" s="8"/>
      <c r="J950" s="8"/>
      <c r="P950" s="10"/>
      <c r="Q950" s="10"/>
      <c r="R950" s="10"/>
      <c r="S950" s="10"/>
      <c r="T950" s="10"/>
      <c r="U950" s="10"/>
      <c r="V950" s="10"/>
      <c r="W950" s="10"/>
      <c r="X950" s="10"/>
      <c r="Z950" s="10"/>
      <c r="AA950" s="7"/>
      <c r="AB950" s="7"/>
      <c r="AC950" s="7"/>
      <c r="AD950" s="7"/>
      <c r="AE950" s="7"/>
      <c r="AF950" s="7"/>
      <c r="AG950" s="7"/>
      <c r="AH950" s="7"/>
      <c r="AI950" s="7"/>
    </row>
    <row r="951" spans="1:35" ht="12.75" customHeight="1">
      <c r="A951" s="7"/>
      <c r="B951" s="7"/>
      <c r="C951" s="7"/>
      <c r="D951" s="7"/>
      <c r="E951" s="7"/>
      <c r="F951" s="7"/>
      <c r="G951" s="7"/>
      <c r="H951" s="7"/>
      <c r="I951" s="8"/>
      <c r="J951" s="8"/>
      <c r="P951" s="10"/>
      <c r="Q951" s="10"/>
      <c r="R951" s="10"/>
      <c r="S951" s="10"/>
      <c r="T951" s="10"/>
      <c r="U951" s="10"/>
      <c r="V951" s="10"/>
      <c r="W951" s="10"/>
      <c r="X951" s="10"/>
      <c r="Z951" s="10"/>
      <c r="AA951" s="7"/>
      <c r="AB951" s="7"/>
      <c r="AC951" s="7"/>
      <c r="AD951" s="7"/>
      <c r="AE951" s="7"/>
      <c r="AF951" s="7"/>
      <c r="AG951" s="7"/>
      <c r="AH951" s="7"/>
      <c r="AI951" s="7"/>
    </row>
    <row r="952" spans="1:35" ht="12.75" customHeight="1">
      <c r="A952" s="7"/>
      <c r="B952" s="7"/>
      <c r="C952" s="7"/>
      <c r="D952" s="7"/>
      <c r="E952" s="7"/>
      <c r="F952" s="7"/>
      <c r="G952" s="7"/>
      <c r="H952" s="7"/>
      <c r="I952" s="8"/>
      <c r="J952" s="8"/>
      <c r="P952" s="10"/>
      <c r="Q952" s="10"/>
      <c r="R952" s="10"/>
      <c r="S952" s="10"/>
      <c r="T952" s="10"/>
      <c r="U952" s="10"/>
      <c r="V952" s="10"/>
      <c r="W952" s="10"/>
      <c r="X952" s="10"/>
      <c r="Z952" s="10"/>
      <c r="AA952" s="7"/>
      <c r="AB952" s="7"/>
      <c r="AC952" s="7"/>
      <c r="AD952" s="7"/>
      <c r="AE952" s="7"/>
      <c r="AF952" s="7"/>
      <c r="AG952" s="7"/>
      <c r="AH952" s="7"/>
      <c r="AI952" s="7"/>
    </row>
    <row r="953" spans="1:35" ht="12.75" customHeight="1">
      <c r="A953" s="7"/>
      <c r="B953" s="7"/>
      <c r="C953" s="7"/>
      <c r="D953" s="7"/>
      <c r="E953" s="7"/>
      <c r="F953" s="7"/>
      <c r="G953" s="7"/>
      <c r="H953" s="7"/>
      <c r="I953" s="8"/>
      <c r="J953" s="8"/>
      <c r="P953" s="10"/>
      <c r="Q953" s="10"/>
      <c r="R953" s="10"/>
      <c r="S953" s="10"/>
      <c r="T953" s="10"/>
      <c r="U953" s="10"/>
      <c r="V953" s="10"/>
      <c r="W953" s="10"/>
      <c r="X953" s="10"/>
      <c r="Z953" s="10"/>
      <c r="AA953" s="7"/>
      <c r="AB953" s="7"/>
      <c r="AC953" s="7"/>
      <c r="AD953" s="7"/>
      <c r="AE953" s="7"/>
      <c r="AF953" s="7"/>
      <c r="AG953" s="7"/>
      <c r="AH953" s="7"/>
      <c r="AI953" s="7"/>
    </row>
    <row r="954" spans="1:35" ht="12.75" customHeight="1">
      <c r="A954" s="7"/>
      <c r="B954" s="7"/>
      <c r="C954" s="7"/>
      <c r="D954" s="7"/>
      <c r="E954" s="7"/>
      <c r="F954" s="7"/>
      <c r="G954" s="7"/>
      <c r="H954" s="7"/>
      <c r="I954" s="8"/>
      <c r="J954" s="8"/>
      <c r="P954" s="10"/>
      <c r="Q954" s="10"/>
      <c r="R954" s="10"/>
      <c r="S954" s="10"/>
      <c r="T954" s="10"/>
      <c r="U954" s="10"/>
      <c r="V954" s="10"/>
      <c r="W954" s="10"/>
      <c r="X954" s="10"/>
      <c r="Z954" s="10"/>
      <c r="AA954" s="7"/>
      <c r="AB954" s="7"/>
      <c r="AC954" s="7"/>
      <c r="AD954" s="7"/>
      <c r="AE954" s="7"/>
      <c r="AF954" s="7"/>
      <c r="AG954" s="7"/>
      <c r="AH954" s="7"/>
      <c r="AI954" s="7"/>
    </row>
    <row r="955" spans="1:35" ht="12.75" customHeight="1">
      <c r="A955" s="7"/>
      <c r="B955" s="7"/>
      <c r="C955" s="7"/>
      <c r="D955" s="7"/>
      <c r="E955" s="7"/>
      <c r="F955" s="7"/>
      <c r="G955" s="7"/>
      <c r="H955" s="7"/>
      <c r="I955" s="8"/>
      <c r="J955" s="8"/>
      <c r="P955" s="10"/>
      <c r="Q955" s="10"/>
      <c r="R955" s="10"/>
      <c r="S955" s="10"/>
      <c r="T955" s="10"/>
      <c r="U955" s="10"/>
      <c r="V955" s="10"/>
      <c r="W955" s="10"/>
      <c r="X955" s="10"/>
      <c r="Z955" s="10"/>
      <c r="AA955" s="7"/>
      <c r="AB955" s="7"/>
      <c r="AC955" s="7"/>
      <c r="AD955" s="7"/>
      <c r="AE955" s="7"/>
      <c r="AF955" s="7"/>
      <c r="AG955" s="7"/>
      <c r="AH955" s="7"/>
      <c r="AI955" s="7"/>
    </row>
    <row r="956" spans="1:35" ht="12.75" customHeight="1">
      <c r="A956" s="7"/>
      <c r="B956" s="7"/>
      <c r="C956" s="7"/>
      <c r="D956" s="7"/>
      <c r="E956" s="7"/>
      <c r="F956" s="7"/>
      <c r="G956" s="7"/>
      <c r="H956" s="7"/>
      <c r="I956" s="8"/>
      <c r="J956" s="8"/>
      <c r="P956" s="10"/>
      <c r="Q956" s="10"/>
      <c r="R956" s="10"/>
      <c r="S956" s="10"/>
      <c r="T956" s="10"/>
      <c r="U956" s="10"/>
      <c r="V956" s="10"/>
      <c r="W956" s="10"/>
      <c r="X956" s="10"/>
      <c r="Z956" s="10"/>
      <c r="AA956" s="7"/>
      <c r="AB956" s="7"/>
      <c r="AC956" s="7"/>
      <c r="AD956" s="7"/>
      <c r="AE956" s="7"/>
      <c r="AF956" s="7"/>
      <c r="AG956" s="7"/>
      <c r="AH956" s="7"/>
      <c r="AI956" s="7"/>
    </row>
    <row r="957" spans="1:35" ht="12.75" customHeight="1">
      <c r="A957" s="7"/>
      <c r="B957" s="7"/>
      <c r="C957" s="7"/>
      <c r="D957" s="7"/>
      <c r="E957" s="7"/>
      <c r="F957" s="7"/>
      <c r="G957" s="7"/>
      <c r="H957" s="7"/>
      <c r="I957" s="8"/>
      <c r="J957" s="8"/>
      <c r="P957" s="10"/>
      <c r="Q957" s="10"/>
      <c r="R957" s="10"/>
      <c r="S957" s="10"/>
      <c r="T957" s="10"/>
      <c r="U957" s="10"/>
      <c r="V957" s="10"/>
      <c r="W957" s="10"/>
      <c r="X957" s="10"/>
      <c r="Z957" s="10"/>
      <c r="AA957" s="7"/>
      <c r="AB957" s="7"/>
      <c r="AC957" s="7"/>
      <c r="AD957" s="7"/>
      <c r="AE957" s="7"/>
      <c r="AF957" s="7"/>
      <c r="AG957" s="7"/>
      <c r="AH957" s="7"/>
      <c r="AI957" s="7"/>
    </row>
    <row r="958" spans="1:35" ht="12.75" customHeight="1">
      <c r="A958" s="7"/>
      <c r="B958" s="7"/>
      <c r="C958" s="7"/>
      <c r="D958" s="7"/>
      <c r="E958" s="7"/>
      <c r="F958" s="7"/>
      <c r="G958" s="7"/>
      <c r="H958" s="7"/>
      <c r="I958" s="8"/>
      <c r="J958" s="8"/>
      <c r="P958" s="10"/>
      <c r="Q958" s="10"/>
      <c r="R958" s="10"/>
      <c r="S958" s="10"/>
      <c r="T958" s="10"/>
      <c r="U958" s="10"/>
      <c r="V958" s="10"/>
      <c r="W958" s="10"/>
      <c r="X958" s="10"/>
      <c r="Z958" s="10"/>
      <c r="AA958" s="7"/>
      <c r="AB958" s="7"/>
      <c r="AC958" s="7"/>
      <c r="AD958" s="7"/>
      <c r="AE958" s="7"/>
      <c r="AF958" s="7"/>
      <c r="AG958" s="7"/>
      <c r="AH958" s="7"/>
      <c r="AI958" s="7"/>
    </row>
    <row r="959" spans="1:35" ht="12.75" customHeight="1">
      <c r="A959" s="7"/>
      <c r="B959" s="7"/>
      <c r="C959" s="7"/>
      <c r="D959" s="7"/>
      <c r="E959" s="7"/>
      <c r="F959" s="7"/>
      <c r="G959" s="7"/>
      <c r="H959" s="7"/>
      <c r="I959" s="8"/>
      <c r="J959" s="8"/>
      <c r="P959" s="10"/>
      <c r="Q959" s="10"/>
      <c r="R959" s="10"/>
      <c r="S959" s="10"/>
      <c r="T959" s="10"/>
      <c r="U959" s="10"/>
      <c r="V959" s="10"/>
      <c r="W959" s="10"/>
      <c r="X959" s="10"/>
      <c r="Z959" s="10"/>
      <c r="AA959" s="7"/>
      <c r="AB959" s="7"/>
      <c r="AC959" s="7"/>
      <c r="AD959" s="7"/>
      <c r="AE959" s="7"/>
      <c r="AF959" s="7"/>
      <c r="AG959" s="7"/>
      <c r="AH959" s="7"/>
      <c r="AI959" s="7"/>
    </row>
    <row r="960" spans="1:35" ht="12.75" customHeight="1">
      <c r="A960" s="7"/>
      <c r="B960" s="7"/>
      <c r="C960" s="7"/>
      <c r="D960" s="7"/>
      <c r="E960" s="7"/>
      <c r="F960" s="7"/>
      <c r="G960" s="7"/>
      <c r="H960" s="7"/>
      <c r="I960" s="8"/>
      <c r="J960" s="8"/>
      <c r="P960" s="10"/>
      <c r="Q960" s="10"/>
      <c r="R960" s="10"/>
      <c r="S960" s="10"/>
      <c r="T960" s="10"/>
      <c r="U960" s="10"/>
      <c r="V960" s="10"/>
      <c r="W960" s="10"/>
      <c r="X960" s="10"/>
      <c r="Z960" s="10"/>
      <c r="AA960" s="7"/>
      <c r="AB960" s="7"/>
      <c r="AC960" s="7"/>
      <c r="AD960" s="7"/>
      <c r="AE960" s="7"/>
      <c r="AF960" s="7"/>
      <c r="AG960" s="7"/>
      <c r="AH960" s="7"/>
      <c r="AI960" s="7"/>
    </row>
    <row r="961" spans="1:35" ht="12.75" customHeight="1">
      <c r="A961" s="7"/>
      <c r="B961" s="7"/>
      <c r="C961" s="7"/>
      <c r="D961" s="7"/>
      <c r="E961" s="7"/>
      <c r="F961" s="7"/>
      <c r="G961" s="7"/>
      <c r="H961" s="7"/>
      <c r="I961" s="8"/>
      <c r="J961" s="8"/>
      <c r="P961" s="10"/>
      <c r="Q961" s="10"/>
      <c r="R961" s="10"/>
      <c r="S961" s="10"/>
      <c r="T961" s="10"/>
      <c r="U961" s="10"/>
      <c r="V961" s="10"/>
      <c r="W961" s="10"/>
      <c r="X961" s="10"/>
      <c r="Z961" s="10"/>
      <c r="AA961" s="7"/>
      <c r="AB961" s="7"/>
      <c r="AC961" s="7"/>
      <c r="AD961" s="7"/>
      <c r="AE961" s="7"/>
      <c r="AF961" s="7"/>
      <c r="AG961" s="7"/>
      <c r="AH961" s="7"/>
      <c r="AI961" s="7"/>
    </row>
    <row r="962" spans="1:35" ht="12.75" customHeight="1">
      <c r="A962" s="7"/>
      <c r="B962" s="7"/>
      <c r="C962" s="7"/>
      <c r="D962" s="7"/>
      <c r="E962" s="7"/>
      <c r="F962" s="7"/>
      <c r="G962" s="7"/>
      <c r="H962" s="7"/>
      <c r="I962" s="8"/>
      <c r="J962" s="8"/>
      <c r="P962" s="10"/>
      <c r="Q962" s="10"/>
      <c r="R962" s="10"/>
      <c r="S962" s="10"/>
      <c r="T962" s="10"/>
      <c r="U962" s="10"/>
      <c r="V962" s="10"/>
      <c r="W962" s="10"/>
      <c r="X962" s="10"/>
      <c r="Z962" s="10"/>
      <c r="AA962" s="7"/>
      <c r="AB962" s="7"/>
      <c r="AC962" s="7"/>
      <c r="AD962" s="7"/>
      <c r="AE962" s="7"/>
      <c r="AF962" s="7"/>
      <c r="AG962" s="7"/>
      <c r="AH962" s="7"/>
      <c r="AI962" s="7"/>
    </row>
    <row r="963" spans="1:35" ht="12.75" customHeight="1">
      <c r="A963" s="7"/>
      <c r="B963" s="7"/>
      <c r="C963" s="7"/>
      <c r="D963" s="7"/>
      <c r="E963" s="7"/>
      <c r="F963" s="7"/>
      <c r="G963" s="7"/>
      <c r="H963" s="7"/>
      <c r="I963" s="8"/>
      <c r="J963" s="8"/>
      <c r="P963" s="10"/>
      <c r="Q963" s="10"/>
      <c r="R963" s="10"/>
      <c r="S963" s="10"/>
      <c r="T963" s="10"/>
      <c r="U963" s="10"/>
      <c r="V963" s="10"/>
      <c r="W963" s="10"/>
      <c r="X963" s="10"/>
      <c r="Z963" s="10"/>
      <c r="AA963" s="7"/>
      <c r="AB963" s="7"/>
      <c r="AC963" s="7"/>
      <c r="AD963" s="7"/>
      <c r="AE963" s="7"/>
      <c r="AF963" s="7"/>
      <c r="AG963" s="7"/>
      <c r="AH963" s="7"/>
      <c r="AI963" s="7"/>
    </row>
    <row r="964" spans="1:35" ht="12.75" customHeight="1">
      <c r="A964" s="7"/>
      <c r="B964" s="7"/>
      <c r="C964" s="7"/>
      <c r="D964" s="7"/>
      <c r="E964" s="7"/>
      <c r="F964" s="7"/>
      <c r="G964" s="7"/>
      <c r="H964" s="7"/>
      <c r="I964" s="8"/>
      <c r="J964" s="8"/>
      <c r="P964" s="10"/>
      <c r="Q964" s="10"/>
      <c r="R964" s="10"/>
      <c r="S964" s="10"/>
      <c r="T964" s="10"/>
      <c r="U964" s="10"/>
      <c r="V964" s="10"/>
      <c r="W964" s="10"/>
      <c r="X964" s="10"/>
      <c r="Z964" s="10"/>
      <c r="AA964" s="7"/>
      <c r="AB964" s="7"/>
      <c r="AC964" s="7"/>
      <c r="AD964" s="7"/>
      <c r="AE964" s="7"/>
      <c r="AF964" s="7"/>
      <c r="AG964" s="7"/>
      <c r="AH964" s="7"/>
      <c r="AI964" s="7"/>
    </row>
    <row r="965" spans="1:35" ht="12.75" customHeight="1">
      <c r="A965" s="7"/>
      <c r="B965" s="7"/>
      <c r="C965" s="7"/>
      <c r="D965" s="7"/>
      <c r="E965" s="7"/>
      <c r="F965" s="7"/>
      <c r="G965" s="7"/>
      <c r="H965" s="7"/>
      <c r="I965" s="8"/>
      <c r="J965" s="8"/>
      <c r="P965" s="10"/>
      <c r="Q965" s="10"/>
      <c r="R965" s="10"/>
      <c r="S965" s="10"/>
      <c r="T965" s="10"/>
      <c r="U965" s="10"/>
      <c r="V965" s="10"/>
      <c r="W965" s="10"/>
      <c r="X965" s="10"/>
      <c r="Z965" s="10"/>
      <c r="AA965" s="7"/>
      <c r="AB965" s="7"/>
      <c r="AC965" s="7"/>
      <c r="AD965" s="7"/>
      <c r="AE965" s="7"/>
      <c r="AF965" s="7"/>
      <c r="AG965" s="7"/>
      <c r="AH965" s="7"/>
      <c r="AI965" s="7"/>
    </row>
    <row r="966" spans="1:35" ht="12.75" customHeight="1">
      <c r="A966" s="7"/>
      <c r="B966" s="7"/>
      <c r="C966" s="7"/>
      <c r="D966" s="7"/>
      <c r="E966" s="7"/>
      <c r="F966" s="7"/>
      <c r="G966" s="7"/>
      <c r="H966" s="7"/>
      <c r="I966" s="8"/>
      <c r="J966" s="8"/>
      <c r="P966" s="10"/>
      <c r="Q966" s="10"/>
      <c r="R966" s="10"/>
      <c r="S966" s="10"/>
      <c r="T966" s="10"/>
      <c r="U966" s="10"/>
      <c r="V966" s="10"/>
      <c r="W966" s="10"/>
      <c r="X966" s="10"/>
      <c r="Z966" s="10"/>
      <c r="AA966" s="7"/>
      <c r="AB966" s="7"/>
      <c r="AC966" s="7"/>
      <c r="AD966" s="7"/>
      <c r="AE966" s="7"/>
      <c r="AF966" s="7"/>
      <c r="AG966" s="7"/>
      <c r="AH966" s="7"/>
      <c r="AI966" s="7"/>
    </row>
    <row r="967" spans="1:35" ht="12.75" customHeight="1">
      <c r="A967" s="7"/>
      <c r="B967" s="7"/>
      <c r="C967" s="7"/>
      <c r="D967" s="7"/>
      <c r="E967" s="7"/>
      <c r="F967" s="7"/>
      <c r="G967" s="7"/>
      <c r="H967" s="7"/>
      <c r="I967" s="8"/>
      <c r="J967" s="8"/>
      <c r="P967" s="10"/>
      <c r="Q967" s="10"/>
      <c r="R967" s="10"/>
      <c r="S967" s="10"/>
      <c r="T967" s="10"/>
      <c r="U967" s="10"/>
      <c r="V967" s="10"/>
      <c r="W967" s="10"/>
      <c r="X967" s="10"/>
      <c r="Z967" s="10"/>
      <c r="AA967" s="7"/>
      <c r="AB967" s="7"/>
      <c r="AC967" s="7"/>
      <c r="AD967" s="7"/>
      <c r="AE967" s="7"/>
      <c r="AF967" s="7"/>
      <c r="AG967" s="7"/>
      <c r="AH967" s="7"/>
      <c r="AI967" s="7"/>
    </row>
    <row r="968" spans="1:35" ht="12.75" customHeight="1">
      <c r="A968" s="7"/>
      <c r="B968" s="7"/>
      <c r="C968" s="7"/>
      <c r="D968" s="7"/>
      <c r="E968" s="7"/>
      <c r="F968" s="7"/>
      <c r="G968" s="7"/>
      <c r="H968" s="7"/>
      <c r="I968" s="8"/>
      <c r="J968" s="8"/>
      <c r="P968" s="10"/>
      <c r="Q968" s="10"/>
      <c r="R968" s="10"/>
      <c r="S968" s="10"/>
      <c r="T968" s="10"/>
      <c r="U968" s="10"/>
      <c r="V968" s="10"/>
      <c r="W968" s="10"/>
      <c r="X968" s="10"/>
      <c r="Z968" s="10"/>
      <c r="AA968" s="7"/>
      <c r="AB968" s="7"/>
      <c r="AC968" s="7"/>
      <c r="AD968" s="7"/>
      <c r="AE968" s="7"/>
      <c r="AF968" s="7"/>
      <c r="AG968" s="7"/>
      <c r="AH968" s="7"/>
      <c r="AI968" s="7"/>
    </row>
    <row r="969" spans="1:35" ht="12.75" customHeight="1">
      <c r="A969" s="7"/>
      <c r="B969" s="7"/>
      <c r="C969" s="7"/>
      <c r="D969" s="7"/>
      <c r="E969" s="7"/>
      <c r="F969" s="7"/>
      <c r="G969" s="7"/>
      <c r="H969" s="7"/>
      <c r="I969" s="8"/>
      <c r="J969" s="8"/>
      <c r="P969" s="10"/>
      <c r="Q969" s="10"/>
      <c r="R969" s="10"/>
      <c r="S969" s="10"/>
      <c r="T969" s="10"/>
      <c r="U969" s="10"/>
      <c r="V969" s="10"/>
      <c r="W969" s="10"/>
      <c r="X969" s="10"/>
      <c r="Z969" s="10"/>
      <c r="AA969" s="7"/>
      <c r="AB969" s="7"/>
      <c r="AC969" s="7"/>
      <c r="AD969" s="7"/>
      <c r="AE969" s="7"/>
      <c r="AF969" s="7"/>
      <c r="AG969" s="7"/>
      <c r="AH969" s="7"/>
      <c r="AI969" s="7"/>
    </row>
    <row r="970" spans="1:35" ht="12.75" customHeight="1">
      <c r="A970" s="7"/>
      <c r="B970" s="7"/>
      <c r="C970" s="7"/>
      <c r="D970" s="7"/>
      <c r="E970" s="7"/>
      <c r="F970" s="7"/>
      <c r="G970" s="7"/>
      <c r="H970" s="7"/>
      <c r="I970" s="8"/>
      <c r="J970" s="8"/>
      <c r="P970" s="10"/>
      <c r="Q970" s="10"/>
      <c r="R970" s="10"/>
      <c r="S970" s="10"/>
      <c r="T970" s="10"/>
      <c r="U970" s="10"/>
      <c r="V970" s="10"/>
      <c r="W970" s="10"/>
      <c r="X970" s="10"/>
      <c r="Z970" s="10"/>
      <c r="AA970" s="7"/>
      <c r="AB970" s="7"/>
      <c r="AC970" s="7"/>
      <c r="AD970" s="7"/>
      <c r="AE970" s="7"/>
      <c r="AF970" s="7"/>
      <c r="AG970" s="7"/>
      <c r="AH970" s="7"/>
      <c r="AI970" s="7"/>
    </row>
    <row r="971" spans="1:35" ht="12.75" customHeight="1">
      <c r="A971" s="7"/>
      <c r="B971" s="7"/>
      <c r="C971" s="7"/>
      <c r="D971" s="7"/>
      <c r="E971" s="7"/>
      <c r="F971" s="7"/>
      <c r="G971" s="7"/>
      <c r="H971" s="7"/>
      <c r="I971" s="8"/>
      <c r="J971" s="8"/>
      <c r="P971" s="10"/>
      <c r="Q971" s="10"/>
      <c r="R971" s="10"/>
      <c r="S971" s="10"/>
      <c r="T971" s="10"/>
      <c r="U971" s="10"/>
      <c r="V971" s="10"/>
      <c r="W971" s="10"/>
      <c r="X971" s="10"/>
      <c r="Z971" s="10"/>
      <c r="AA971" s="7"/>
      <c r="AB971" s="7"/>
      <c r="AC971" s="7"/>
      <c r="AD971" s="7"/>
      <c r="AE971" s="7"/>
      <c r="AF971" s="7"/>
      <c r="AG971" s="7"/>
      <c r="AH971" s="7"/>
      <c r="AI971" s="7"/>
    </row>
    <row r="972" spans="1:35" ht="12.75" customHeight="1">
      <c r="A972" s="7"/>
      <c r="B972" s="7"/>
      <c r="C972" s="7"/>
      <c r="D972" s="7"/>
      <c r="E972" s="7"/>
      <c r="F972" s="7"/>
      <c r="G972" s="7"/>
      <c r="H972" s="7"/>
      <c r="I972" s="8"/>
      <c r="J972" s="8"/>
      <c r="P972" s="10"/>
      <c r="Q972" s="10"/>
      <c r="R972" s="10"/>
      <c r="S972" s="10"/>
      <c r="T972" s="10"/>
      <c r="U972" s="10"/>
      <c r="V972" s="10"/>
      <c r="W972" s="10"/>
      <c r="X972" s="10"/>
      <c r="Z972" s="10"/>
      <c r="AA972" s="7"/>
      <c r="AB972" s="7"/>
      <c r="AC972" s="7"/>
      <c r="AD972" s="7"/>
      <c r="AE972" s="7"/>
      <c r="AF972" s="7"/>
      <c r="AG972" s="7"/>
      <c r="AH972" s="7"/>
      <c r="AI972" s="7"/>
    </row>
    <row r="973" spans="1:35" ht="12.75" customHeight="1">
      <c r="A973" s="7"/>
      <c r="B973" s="7"/>
      <c r="C973" s="7"/>
      <c r="D973" s="7"/>
      <c r="E973" s="7"/>
      <c r="F973" s="7"/>
      <c r="G973" s="7"/>
      <c r="H973" s="7"/>
      <c r="I973" s="8"/>
      <c r="J973" s="8"/>
      <c r="P973" s="10"/>
      <c r="Q973" s="10"/>
      <c r="R973" s="10"/>
      <c r="S973" s="10"/>
      <c r="T973" s="10"/>
      <c r="U973" s="10"/>
      <c r="V973" s="10"/>
      <c r="W973" s="10"/>
      <c r="X973" s="10"/>
      <c r="Z973" s="10"/>
      <c r="AA973" s="7"/>
      <c r="AB973" s="7"/>
      <c r="AC973" s="7"/>
      <c r="AD973" s="7"/>
      <c r="AE973" s="7"/>
      <c r="AF973" s="7"/>
      <c r="AG973" s="7"/>
      <c r="AH973" s="7"/>
      <c r="AI973" s="7"/>
    </row>
    <row r="974" spans="1:35" ht="12.75" customHeight="1">
      <c r="A974" s="7"/>
      <c r="B974" s="7"/>
      <c r="C974" s="7"/>
      <c r="D974" s="7"/>
      <c r="E974" s="7"/>
      <c r="F974" s="7"/>
      <c r="G974" s="7"/>
      <c r="H974" s="7"/>
      <c r="I974" s="8"/>
      <c r="J974" s="8"/>
      <c r="P974" s="10"/>
      <c r="Q974" s="10"/>
      <c r="R974" s="10"/>
      <c r="S974" s="10"/>
      <c r="T974" s="10"/>
      <c r="U974" s="10"/>
      <c r="V974" s="10"/>
      <c r="W974" s="10"/>
      <c r="X974" s="10"/>
      <c r="Z974" s="10"/>
      <c r="AA974" s="7"/>
      <c r="AB974" s="7"/>
      <c r="AC974" s="7"/>
      <c r="AD974" s="7"/>
      <c r="AE974" s="7"/>
      <c r="AF974" s="7"/>
      <c r="AG974" s="7"/>
      <c r="AH974" s="7"/>
      <c r="AI974" s="7"/>
    </row>
    <row r="975" spans="1:35" ht="12.75" customHeight="1">
      <c r="A975" s="7"/>
      <c r="B975" s="7"/>
      <c r="C975" s="7"/>
      <c r="D975" s="7"/>
      <c r="E975" s="7"/>
      <c r="F975" s="7"/>
      <c r="G975" s="7"/>
      <c r="H975" s="7"/>
      <c r="I975" s="8"/>
      <c r="J975" s="8"/>
      <c r="P975" s="10"/>
      <c r="Q975" s="10"/>
      <c r="R975" s="10"/>
      <c r="S975" s="10"/>
      <c r="T975" s="10"/>
      <c r="U975" s="10"/>
      <c r="V975" s="10"/>
      <c r="W975" s="10"/>
      <c r="X975" s="10"/>
      <c r="Z975" s="10"/>
      <c r="AA975" s="7"/>
      <c r="AB975" s="7"/>
      <c r="AC975" s="7"/>
      <c r="AD975" s="7"/>
      <c r="AE975" s="7"/>
      <c r="AF975" s="7"/>
      <c r="AG975" s="7"/>
      <c r="AH975" s="7"/>
      <c r="AI975" s="7"/>
    </row>
    <row r="976" spans="1:35" ht="12.75" customHeight="1">
      <c r="A976" s="7"/>
      <c r="B976" s="7"/>
      <c r="C976" s="7"/>
      <c r="D976" s="7"/>
      <c r="E976" s="7"/>
      <c r="F976" s="7"/>
      <c r="G976" s="7"/>
      <c r="H976" s="7"/>
      <c r="I976" s="8"/>
      <c r="J976" s="8"/>
      <c r="P976" s="10"/>
      <c r="Q976" s="10"/>
      <c r="R976" s="10"/>
      <c r="S976" s="10"/>
      <c r="T976" s="10"/>
      <c r="U976" s="10"/>
      <c r="V976" s="10"/>
      <c r="W976" s="10"/>
      <c r="X976" s="10"/>
      <c r="Z976" s="10"/>
      <c r="AA976" s="7"/>
      <c r="AB976" s="7"/>
      <c r="AC976" s="7"/>
      <c r="AD976" s="7"/>
      <c r="AE976" s="7"/>
      <c r="AF976" s="7"/>
      <c r="AG976" s="7"/>
      <c r="AH976" s="7"/>
      <c r="AI976" s="7"/>
    </row>
    <row r="977" spans="1:35" ht="12.75" customHeight="1">
      <c r="A977" s="7"/>
      <c r="B977" s="7"/>
      <c r="C977" s="7"/>
      <c r="D977" s="7"/>
      <c r="E977" s="7"/>
      <c r="F977" s="7"/>
      <c r="G977" s="7"/>
      <c r="H977" s="7"/>
      <c r="I977" s="8"/>
      <c r="J977" s="8"/>
      <c r="P977" s="10"/>
      <c r="Q977" s="10"/>
      <c r="R977" s="10"/>
      <c r="S977" s="10"/>
      <c r="T977" s="10"/>
      <c r="U977" s="10"/>
      <c r="V977" s="10"/>
      <c r="W977" s="10"/>
      <c r="X977" s="10"/>
      <c r="Z977" s="10"/>
      <c r="AA977" s="7"/>
      <c r="AB977" s="7"/>
      <c r="AC977" s="7"/>
      <c r="AD977" s="7"/>
      <c r="AE977" s="7"/>
      <c r="AF977" s="7"/>
      <c r="AG977" s="7"/>
      <c r="AH977" s="7"/>
      <c r="AI977" s="7"/>
    </row>
    <row r="978" spans="1:35" ht="12.75" customHeight="1">
      <c r="A978" s="7"/>
      <c r="B978" s="7"/>
      <c r="C978" s="7"/>
      <c r="D978" s="7"/>
      <c r="E978" s="7"/>
      <c r="F978" s="7"/>
      <c r="G978" s="7"/>
      <c r="H978" s="7"/>
      <c r="I978" s="8"/>
      <c r="J978" s="8"/>
      <c r="P978" s="10"/>
      <c r="Q978" s="10"/>
      <c r="R978" s="10"/>
      <c r="S978" s="10"/>
      <c r="T978" s="10"/>
      <c r="U978" s="10"/>
      <c r="V978" s="10"/>
      <c r="W978" s="10"/>
      <c r="X978" s="10"/>
      <c r="Z978" s="10"/>
      <c r="AA978" s="7"/>
      <c r="AB978" s="7"/>
      <c r="AC978" s="7"/>
      <c r="AD978" s="7"/>
      <c r="AE978" s="7"/>
      <c r="AF978" s="7"/>
      <c r="AG978" s="7"/>
      <c r="AH978" s="7"/>
      <c r="AI978" s="7"/>
    </row>
    <row r="979" spans="1:35" ht="12.75" customHeight="1">
      <c r="A979" s="7"/>
      <c r="B979" s="7"/>
      <c r="C979" s="7"/>
      <c r="D979" s="7"/>
      <c r="E979" s="7"/>
      <c r="F979" s="7"/>
      <c r="G979" s="7"/>
      <c r="H979" s="7"/>
      <c r="I979" s="8"/>
      <c r="J979" s="8"/>
      <c r="P979" s="10"/>
      <c r="Q979" s="10"/>
      <c r="R979" s="10"/>
      <c r="S979" s="10"/>
      <c r="T979" s="10"/>
      <c r="U979" s="10"/>
      <c r="V979" s="10"/>
      <c r="W979" s="10"/>
      <c r="X979" s="10"/>
      <c r="Z979" s="10"/>
      <c r="AA979" s="7"/>
      <c r="AB979" s="7"/>
      <c r="AC979" s="7"/>
      <c r="AD979" s="7"/>
      <c r="AE979" s="7"/>
      <c r="AF979" s="7"/>
      <c r="AG979" s="7"/>
      <c r="AH979" s="7"/>
      <c r="AI979" s="7"/>
    </row>
    <row r="980" spans="1:35" ht="12.75" customHeight="1">
      <c r="A980" s="7"/>
      <c r="B980" s="7"/>
      <c r="C980" s="7"/>
      <c r="D980" s="7"/>
      <c r="E980" s="7"/>
      <c r="F980" s="7"/>
      <c r="G980" s="7"/>
      <c r="H980" s="7"/>
      <c r="I980" s="8"/>
      <c r="J980" s="8"/>
      <c r="P980" s="10"/>
      <c r="Q980" s="10"/>
      <c r="R980" s="10"/>
      <c r="S980" s="10"/>
      <c r="T980" s="10"/>
      <c r="U980" s="10"/>
      <c r="V980" s="10"/>
      <c r="W980" s="10"/>
      <c r="X980" s="10"/>
      <c r="Z980" s="10"/>
      <c r="AA980" s="7"/>
      <c r="AB980" s="7"/>
      <c r="AC980" s="7"/>
      <c r="AD980" s="7"/>
      <c r="AE980" s="7"/>
      <c r="AF980" s="7"/>
      <c r="AG980" s="7"/>
      <c r="AH980" s="7"/>
      <c r="AI980" s="7"/>
    </row>
    <row r="981" spans="1:35" ht="12.75" customHeight="1">
      <c r="A981" s="7"/>
      <c r="B981" s="7"/>
      <c r="C981" s="7"/>
      <c r="D981" s="7"/>
      <c r="E981" s="7"/>
      <c r="F981" s="7"/>
      <c r="G981" s="7"/>
      <c r="H981" s="7"/>
      <c r="I981" s="8"/>
      <c r="J981" s="8"/>
      <c r="P981" s="10"/>
      <c r="Q981" s="10"/>
      <c r="R981" s="10"/>
      <c r="S981" s="10"/>
      <c r="T981" s="10"/>
      <c r="U981" s="10"/>
      <c r="V981" s="10"/>
      <c r="W981" s="10"/>
      <c r="X981" s="10"/>
      <c r="Z981" s="10"/>
      <c r="AA981" s="7"/>
      <c r="AB981" s="7"/>
      <c r="AC981" s="7"/>
      <c r="AD981" s="7"/>
      <c r="AE981" s="7"/>
      <c r="AF981" s="7"/>
      <c r="AG981" s="7"/>
      <c r="AH981" s="7"/>
      <c r="AI981" s="7"/>
    </row>
    <row r="982" spans="1:35" ht="12.75" customHeight="1">
      <c r="A982" s="7"/>
      <c r="B982" s="7"/>
      <c r="C982" s="7"/>
      <c r="D982" s="7"/>
      <c r="E982" s="7"/>
      <c r="F982" s="7"/>
      <c r="G982" s="7"/>
      <c r="H982" s="7"/>
      <c r="I982" s="8"/>
      <c r="J982" s="8"/>
      <c r="P982" s="10"/>
      <c r="Q982" s="10"/>
      <c r="R982" s="10"/>
      <c r="S982" s="10"/>
      <c r="T982" s="10"/>
      <c r="U982" s="10"/>
      <c r="V982" s="10"/>
      <c r="W982" s="10"/>
      <c r="X982" s="10"/>
      <c r="Z982" s="10"/>
      <c r="AA982" s="7"/>
      <c r="AB982" s="7"/>
      <c r="AC982" s="7"/>
      <c r="AD982" s="7"/>
      <c r="AE982" s="7"/>
      <c r="AF982" s="7"/>
      <c r="AG982" s="7"/>
      <c r="AH982" s="7"/>
      <c r="AI982" s="7"/>
    </row>
    <row r="983" spans="1:35" ht="12.75" customHeight="1">
      <c r="A983" s="7"/>
      <c r="B983" s="7"/>
      <c r="C983" s="7"/>
      <c r="D983" s="7"/>
      <c r="E983" s="7"/>
      <c r="F983" s="7"/>
      <c r="G983" s="7"/>
      <c r="H983" s="7"/>
      <c r="I983" s="8"/>
      <c r="J983" s="8"/>
      <c r="P983" s="10"/>
      <c r="Q983" s="10"/>
      <c r="R983" s="10"/>
      <c r="S983" s="10"/>
      <c r="T983" s="10"/>
      <c r="U983" s="10"/>
      <c r="V983" s="10"/>
      <c r="W983" s="10"/>
      <c r="X983" s="10"/>
      <c r="Z983" s="10"/>
      <c r="AA983" s="7"/>
      <c r="AB983" s="7"/>
      <c r="AC983" s="7"/>
      <c r="AD983" s="7"/>
      <c r="AE983" s="7"/>
      <c r="AF983" s="7"/>
      <c r="AG983" s="7"/>
      <c r="AH983" s="7"/>
      <c r="AI983" s="7"/>
    </row>
    <row r="984" spans="1:35" ht="12.75" customHeight="1">
      <c r="A984" s="7"/>
      <c r="B984" s="7"/>
      <c r="C984" s="7"/>
      <c r="D984" s="7"/>
      <c r="E984" s="7"/>
      <c r="F984" s="7"/>
      <c r="G984" s="7"/>
      <c r="H984" s="7"/>
      <c r="I984" s="8"/>
      <c r="J984" s="8"/>
      <c r="P984" s="10"/>
      <c r="Q984" s="10"/>
      <c r="R984" s="10"/>
      <c r="S984" s="10"/>
      <c r="T984" s="10"/>
      <c r="U984" s="10"/>
      <c r="V984" s="10"/>
      <c r="W984" s="10"/>
      <c r="X984" s="10"/>
      <c r="Z984" s="10"/>
      <c r="AA984" s="7"/>
      <c r="AB984" s="7"/>
      <c r="AC984" s="7"/>
      <c r="AD984" s="7"/>
      <c r="AE984" s="7"/>
      <c r="AF984" s="7"/>
      <c r="AG984" s="7"/>
      <c r="AH984" s="7"/>
      <c r="AI984" s="7"/>
    </row>
    <row r="985" spans="1:35" ht="12.75" customHeight="1">
      <c r="A985" s="7"/>
      <c r="B985" s="7"/>
      <c r="C985" s="7"/>
      <c r="D985" s="7"/>
      <c r="E985" s="7"/>
      <c r="F985" s="7"/>
      <c r="G985" s="7"/>
      <c r="H985" s="7"/>
      <c r="I985" s="8"/>
      <c r="J985" s="8"/>
      <c r="P985" s="10"/>
      <c r="Q985" s="10"/>
      <c r="R985" s="10"/>
      <c r="S985" s="10"/>
      <c r="T985" s="10"/>
      <c r="U985" s="10"/>
      <c r="V985" s="10"/>
      <c r="W985" s="10"/>
      <c r="X985" s="10"/>
      <c r="Z985" s="10"/>
      <c r="AA985" s="7"/>
      <c r="AB985" s="7"/>
      <c r="AC985" s="7"/>
      <c r="AD985" s="7"/>
      <c r="AE985" s="7"/>
      <c r="AF985" s="7"/>
      <c r="AG985" s="7"/>
      <c r="AH985" s="7"/>
      <c r="AI985" s="7"/>
    </row>
    <row r="986" spans="1:35" ht="12.75" customHeight="1">
      <c r="A986" s="7"/>
      <c r="B986" s="7"/>
      <c r="C986" s="7"/>
      <c r="D986" s="7"/>
      <c r="E986" s="7"/>
      <c r="F986" s="7"/>
      <c r="G986" s="7"/>
      <c r="H986" s="7"/>
      <c r="I986" s="8"/>
      <c r="J986" s="8"/>
      <c r="P986" s="10"/>
      <c r="Q986" s="10"/>
      <c r="R986" s="10"/>
      <c r="S986" s="10"/>
      <c r="T986" s="10"/>
      <c r="U986" s="10"/>
      <c r="V986" s="10"/>
      <c r="W986" s="10"/>
      <c r="X986" s="10"/>
      <c r="Z986" s="10"/>
      <c r="AA986" s="7"/>
      <c r="AB986" s="7"/>
      <c r="AC986" s="7"/>
      <c r="AD986" s="7"/>
      <c r="AE986" s="7"/>
      <c r="AF986" s="7"/>
      <c r="AG986" s="7"/>
      <c r="AH986" s="7"/>
      <c r="AI986" s="7"/>
    </row>
    <row r="987" spans="1:35" ht="12.75" customHeight="1">
      <c r="A987" s="7"/>
      <c r="B987" s="7"/>
      <c r="C987" s="7"/>
      <c r="D987" s="7"/>
      <c r="E987" s="7"/>
      <c r="F987" s="7"/>
      <c r="G987" s="7"/>
      <c r="H987" s="7"/>
      <c r="I987" s="8"/>
      <c r="J987" s="8"/>
      <c r="P987" s="10"/>
      <c r="Q987" s="10"/>
      <c r="R987" s="10"/>
      <c r="S987" s="10"/>
      <c r="T987" s="10"/>
      <c r="U987" s="10"/>
      <c r="V987" s="10"/>
      <c r="W987" s="10"/>
      <c r="X987" s="10"/>
      <c r="Z987" s="10"/>
      <c r="AA987" s="7"/>
      <c r="AB987" s="7"/>
      <c r="AC987" s="7"/>
      <c r="AD987" s="7"/>
      <c r="AE987" s="7"/>
      <c r="AF987" s="7"/>
      <c r="AG987" s="7"/>
      <c r="AH987" s="7"/>
      <c r="AI987" s="7"/>
    </row>
    <row r="988" spans="1:35" ht="12.75" customHeight="1">
      <c r="A988" s="7"/>
      <c r="B988" s="7"/>
      <c r="C988" s="7"/>
      <c r="D988" s="7"/>
      <c r="E988" s="7"/>
      <c r="F988" s="7"/>
      <c r="G988" s="7"/>
      <c r="H988" s="7"/>
      <c r="I988" s="8"/>
      <c r="J988" s="8"/>
      <c r="P988" s="10"/>
      <c r="Q988" s="10"/>
      <c r="R988" s="10"/>
      <c r="S988" s="10"/>
      <c r="T988" s="10"/>
      <c r="U988" s="10"/>
      <c r="V988" s="10"/>
      <c r="W988" s="10"/>
      <c r="X988" s="10"/>
      <c r="Z988" s="10"/>
      <c r="AA988" s="7"/>
      <c r="AB988" s="7"/>
      <c r="AC988" s="7"/>
      <c r="AD988" s="7"/>
      <c r="AE988" s="7"/>
      <c r="AF988" s="7"/>
      <c r="AG988" s="7"/>
      <c r="AH988" s="7"/>
      <c r="AI988" s="7"/>
    </row>
    <row r="989" spans="1:35" ht="12.75" customHeight="1">
      <c r="A989" s="7"/>
      <c r="B989" s="7"/>
      <c r="C989" s="7"/>
      <c r="D989" s="7"/>
      <c r="E989" s="7"/>
      <c r="F989" s="7"/>
      <c r="G989" s="7"/>
      <c r="H989" s="7"/>
      <c r="I989" s="8"/>
      <c r="J989" s="8"/>
      <c r="P989" s="10"/>
      <c r="Q989" s="10"/>
      <c r="R989" s="10"/>
      <c r="S989" s="10"/>
      <c r="T989" s="10"/>
      <c r="U989" s="10"/>
      <c r="V989" s="10"/>
      <c r="W989" s="10"/>
      <c r="X989" s="10"/>
      <c r="Z989" s="10"/>
      <c r="AA989" s="7"/>
      <c r="AB989" s="7"/>
      <c r="AC989" s="7"/>
      <c r="AD989" s="7"/>
      <c r="AE989" s="7"/>
      <c r="AF989" s="7"/>
      <c r="AG989" s="7"/>
      <c r="AH989" s="7"/>
      <c r="AI989" s="7"/>
    </row>
    <row r="990" spans="1:35" ht="12.75" customHeight="1">
      <c r="A990" s="7"/>
      <c r="B990" s="7"/>
      <c r="C990" s="7"/>
      <c r="D990" s="7"/>
      <c r="E990" s="7"/>
      <c r="F990" s="7"/>
      <c r="G990" s="7"/>
      <c r="H990" s="7"/>
      <c r="I990" s="8"/>
      <c r="J990" s="8"/>
      <c r="P990" s="10"/>
      <c r="Q990" s="10"/>
      <c r="R990" s="10"/>
      <c r="S990" s="10"/>
      <c r="T990" s="10"/>
      <c r="U990" s="10"/>
      <c r="V990" s="10"/>
      <c r="W990" s="10"/>
      <c r="X990" s="10"/>
      <c r="Z990" s="10"/>
      <c r="AA990" s="7"/>
      <c r="AB990" s="7"/>
      <c r="AC990" s="7"/>
      <c r="AD990" s="7"/>
      <c r="AE990" s="7"/>
      <c r="AF990" s="7"/>
      <c r="AG990" s="7"/>
      <c r="AH990" s="7"/>
      <c r="AI990" s="7"/>
    </row>
    <row r="991" spans="1:35" ht="12.75" customHeight="1">
      <c r="A991" s="7"/>
      <c r="B991" s="7"/>
      <c r="C991" s="7"/>
      <c r="D991" s="7"/>
      <c r="E991" s="7"/>
      <c r="F991" s="7"/>
      <c r="G991" s="7"/>
      <c r="H991" s="7"/>
      <c r="I991" s="8"/>
      <c r="J991" s="8"/>
      <c r="P991" s="10"/>
      <c r="Q991" s="10"/>
      <c r="R991" s="10"/>
      <c r="S991" s="10"/>
      <c r="T991" s="10"/>
      <c r="U991" s="10"/>
      <c r="V991" s="10"/>
      <c r="W991" s="10"/>
      <c r="X991" s="10"/>
      <c r="Z991" s="10"/>
      <c r="AA991" s="7"/>
      <c r="AB991" s="7"/>
      <c r="AC991" s="7"/>
      <c r="AD991" s="7"/>
      <c r="AE991" s="7"/>
      <c r="AF991" s="7"/>
      <c r="AG991" s="7"/>
      <c r="AH991" s="7"/>
      <c r="AI991" s="7"/>
    </row>
    <row r="992" spans="1:35" ht="12.75" customHeight="1">
      <c r="A992" s="7"/>
      <c r="B992" s="7"/>
      <c r="C992" s="7"/>
      <c r="D992" s="7"/>
      <c r="E992" s="7"/>
      <c r="F992" s="7"/>
      <c r="G992" s="7"/>
      <c r="H992" s="7"/>
      <c r="I992" s="8"/>
      <c r="J992" s="8"/>
      <c r="P992" s="10"/>
      <c r="Q992" s="10"/>
      <c r="R992" s="10"/>
      <c r="S992" s="10"/>
      <c r="T992" s="10"/>
      <c r="U992" s="10"/>
      <c r="V992" s="10"/>
      <c r="W992" s="10"/>
      <c r="X992" s="10"/>
      <c r="Z992" s="10"/>
      <c r="AA992" s="7"/>
      <c r="AB992" s="7"/>
      <c r="AC992" s="7"/>
      <c r="AD992" s="7"/>
      <c r="AE992" s="7"/>
      <c r="AF992" s="7"/>
      <c r="AG992" s="7"/>
      <c r="AH992" s="7"/>
      <c r="AI992" s="7"/>
    </row>
    <row r="993" spans="1:35" ht="12.75" customHeight="1">
      <c r="A993" s="7"/>
      <c r="B993" s="7"/>
      <c r="C993" s="7"/>
      <c r="D993" s="7"/>
      <c r="E993" s="7"/>
      <c r="F993" s="7"/>
      <c r="G993" s="7"/>
      <c r="H993" s="7"/>
      <c r="I993" s="8"/>
      <c r="J993" s="8"/>
      <c r="P993" s="10"/>
      <c r="Q993" s="10"/>
      <c r="R993" s="10"/>
      <c r="S993" s="10"/>
      <c r="T993" s="10"/>
      <c r="U993" s="10"/>
      <c r="V993" s="10"/>
      <c r="W993" s="10"/>
      <c r="X993" s="10"/>
      <c r="Z993" s="10"/>
      <c r="AA993" s="7"/>
      <c r="AB993" s="7"/>
      <c r="AC993" s="7"/>
      <c r="AD993" s="7"/>
      <c r="AE993" s="7"/>
      <c r="AF993" s="7"/>
      <c r="AG993" s="7"/>
      <c r="AH993" s="7"/>
      <c r="AI993" s="7"/>
    </row>
    <row r="994" spans="1:35" ht="12.75" customHeight="1">
      <c r="A994" s="7"/>
      <c r="B994" s="7"/>
      <c r="C994" s="7"/>
      <c r="D994" s="7"/>
      <c r="E994" s="7"/>
      <c r="F994" s="7"/>
      <c r="G994" s="7"/>
      <c r="H994" s="7"/>
      <c r="I994" s="8"/>
      <c r="J994" s="8"/>
      <c r="P994" s="10"/>
      <c r="Q994" s="10"/>
      <c r="R994" s="10"/>
      <c r="S994" s="10"/>
      <c r="T994" s="10"/>
      <c r="U994" s="10"/>
      <c r="V994" s="10"/>
      <c r="W994" s="10"/>
      <c r="X994" s="10"/>
      <c r="Z994" s="10"/>
      <c r="AA994" s="7"/>
      <c r="AB994" s="7"/>
      <c r="AC994" s="7"/>
      <c r="AD994" s="7"/>
      <c r="AE994" s="7"/>
      <c r="AF994" s="7"/>
      <c r="AG994" s="7"/>
      <c r="AH994" s="7"/>
      <c r="AI994" s="7"/>
    </row>
    <row r="995" spans="1:35" ht="12.75" customHeight="1">
      <c r="A995" s="7"/>
      <c r="B995" s="7"/>
      <c r="C995" s="7"/>
      <c r="D995" s="7"/>
      <c r="E995" s="7"/>
      <c r="F995" s="7"/>
      <c r="G995" s="7"/>
      <c r="H995" s="7"/>
      <c r="I995" s="8"/>
      <c r="J995" s="8"/>
      <c r="P995" s="10"/>
      <c r="Q995" s="10"/>
      <c r="R995" s="10"/>
      <c r="S995" s="10"/>
      <c r="T995" s="10"/>
      <c r="U995" s="10"/>
      <c r="V995" s="10"/>
      <c r="W995" s="10"/>
      <c r="X995" s="10"/>
      <c r="Z995" s="10"/>
      <c r="AA995" s="7"/>
      <c r="AB995" s="7"/>
      <c r="AC995" s="7"/>
      <c r="AD995" s="7"/>
      <c r="AE995" s="7"/>
      <c r="AF995" s="7"/>
      <c r="AG995" s="7"/>
      <c r="AH995" s="7"/>
      <c r="AI995" s="7"/>
    </row>
    <row r="996" spans="1:35" ht="12.75" customHeight="1">
      <c r="A996" s="7"/>
      <c r="B996" s="7"/>
      <c r="C996" s="7"/>
      <c r="D996" s="7"/>
      <c r="E996" s="7"/>
      <c r="F996" s="7"/>
      <c r="G996" s="7"/>
      <c r="H996" s="7"/>
      <c r="I996" s="8"/>
      <c r="J996" s="8"/>
      <c r="P996" s="10"/>
      <c r="Q996" s="10"/>
      <c r="R996" s="10"/>
      <c r="S996" s="10"/>
      <c r="T996" s="10"/>
      <c r="U996" s="10"/>
      <c r="V996" s="10"/>
      <c r="W996" s="10"/>
      <c r="X996" s="10"/>
      <c r="Z996" s="10"/>
      <c r="AA996" s="7"/>
      <c r="AB996" s="7"/>
      <c r="AC996" s="7"/>
      <c r="AD996" s="7"/>
      <c r="AE996" s="7"/>
      <c r="AF996" s="7"/>
      <c r="AG996" s="7"/>
      <c r="AH996" s="7"/>
      <c r="AI996" s="7"/>
    </row>
    <row r="997" spans="1:35" ht="12.75" customHeight="1">
      <c r="A997" s="7"/>
      <c r="B997" s="7"/>
      <c r="C997" s="7"/>
      <c r="D997" s="7"/>
      <c r="E997" s="7"/>
      <c r="F997" s="7"/>
      <c r="G997" s="7"/>
      <c r="H997" s="7"/>
      <c r="I997" s="8"/>
      <c r="J997" s="8"/>
      <c r="P997" s="10"/>
      <c r="Q997" s="10"/>
      <c r="R997" s="10"/>
      <c r="S997" s="10"/>
      <c r="T997" s="10"/>
      <c r="U997" s="10"/>
      <c r="V997" s="10"/>
      <c r="W997" s="10"/>
      <c r="X997" s="10"/>
      <c r="Z997" s="10"/>
      <c r="AA997" s="7"/>
      <c r="AB997" s="7"/>
      <c r="AC997" s="7"/>
      <c r="AD997" s="7"/>
      <c r="AE997" s="7"/>
      <c r="AF997" s="7"/>
      <c r="AG997" s="7"/>
      <c r="AH997" s="7"/>
      <c r="AI997" s="7"/>
    </row>
    <row r="998" spans="1:35" ht="12.75" customHeight="1">
      <c r="A998" s="7"/>
      <c r="B998" s="7"/>
      <c r="C998" s="7"/>
      <c r="D998" s="7"/>
      <c r="E998" s="7"/>
      <c r="F998" s="7"/>
      <c r="G998" s="7"/>
      <c r="H998" s="7"/>
      <c r="I998" s="8"/>
      <c r="J998" s="8"/>
      <c r="P998" s="10"/>
      <c r="Q998" s="10"/>
      <c r="R998" s="10"/>
      <c r="S998" s="10"/>
      <c r="T998" s="10"/>
      <c r="U998" s="10"/>
      <c r="V998" s="10"/>
      <c r="W998" s="10"/>
      <c r="X998" s="10"/>
      <c r="Z998" s="10"/>
      <c r="AA998" s="7"/>
      <c r="AB998" s="7"/>
      <c r="AC998" s="7"/>
      <c r="AD998" s="7"/>
      <c r="AE998" s="7"/>
      <c r="AF998" s="7"/>
      <c r="AG998" s="7"/>
      <c r="AH998" s="7"/>
      <c r="AI998" s="7"/>
    </row>
    <row r="999" spans="1:35" ht="12.75" customHeight="1">
      <c r="A999" s="7"/>
      <c r="B999" s="7"/>
      <c r="C999" s="7"/>
      <c r="D999" s="7"/>
      <c r="E999" s="7"/>
      <c r="F999" s="7"/>
      <c r="G999" s="7"/>
      <c r="H999" s="7"/>
      <c r="I999" s="8"/>
      <c r="J999" s="8"/>
      <c r="P999" s="10"/>
      <c r="Q999" s="10"/>
      <c r="R999" s="10"/>
      <c r="S999" s="10"/>
      <c r="T999" s="10"/>
      <c r="U999" s="10"/>
      <c r="V999" s="10"/>
      <c r="W999" s="10"/>
      <c r="X999" s="10"/>
      <c r="Z999" s="10"/>
      <c r="AA999" s="7"/>
      <c r="AB999" s="7"/>
      <c r="AC999" s="7"/>
      <c r="AD999" s="7"/>
      <c r="AE999" s="7"/>
      <c r="AF999" s="7"/>
      <c r="AG999" s="7"/>
      <c r="AH999" s="7"/>
      <c r="AI999" s="7"/>
    </row>
    <row r="1000" spans="1:35" ht="12.75" customHeight="1">
      <c r="A1000" s="7"/>
      <c r="B1000" s="7"/>
      <c r="C1000" s="7"/>
      <c r="D1000" s="7"/>
      <c r="E1000" s="7"/>
      <c r="F1000" s="7"/>
      <c r="G1000" s="7"/>
      <c r="H1000" s="7"/>
      <c r="I1000" s="8"/>
      <c r="J1000" s="8"/>
      <c r="P1000" s="10"/>
      <c r="Q1000" s="10"/>
      <c r="R1000" s="10"/>
      <c r="S1000" s="10"/>
      <c r="T1000" s="10"/>
      <c r="U1000" s="10"/>
      <c r="V1000" s="10"/>
      <c r="W1000" s="10"/>
      <c r="X1000" s="10"/>
      <c r="Z1000" s="10"/>
      <c r="AA1000" s="7"/>
      <c r="AB1000" s="7"/>
      <c r="AC1000" s="7"/>
      <c r="AD1000" s="7"/>
      <c r="AE1000" s="7"/>
      <c r="AF1000" s="7"/>
      <c r="AG1000" s="7"/>
      <c r="AH1000" s="7"/>
      <c r="AI1000" s="7"/>
    </row>
    <row r="1001" spans="1:35" ht="12.75" customHeight="1">
      <c r="A1001" s="7"/>
      <c r="B1001" s="7"/>
      <c r="C1001" s="7"/>
      <c r="D1001" s="7"/>
      <c r="E1001" s="7"/>
      <c r="F1001" s="7"/>
      <c r="G1001" s="7"/>
      <c r="H1001" s="7"/>
      <c r="I1001" s="8"/>
      <c r="J1001" s="8"/>
      <c r="P1001" s="10"/>
      <c r="Q1001" s="10"/>
      <c r="R1001" s="10"/>
      <c r="S1001" s="10"/>
      <c r="T1001" s="10"/>
      <c r="U1001" s="10"/>
      <c r="V1001" s="10"/>
      <c r="W1001" s="10"/>
      <c r="X1001" s="10"/>
      <c r="Z1001" s="10"/>
      <c r="AA1001" s="7"/>
      <c r="AB1001" s="7"/>
      <c r="AC1001" s="7"/>
      <c r="AD1001" s="7"/>
      <c r="AE1001" s="7"/>
      <c r="AF1001" s="7"/>
      <c r="AG1001" s="7"/>
      <c r="AH1001" s="7"/>
      <c r="AI1001" s="7"/>
    </row>
    <row r="1002" spans="1:35" ht="12.75" customHeight="1">
      <c r="A1002" s="7"/>
      <c r="B1002" s="7"/>
      <c r="C1002" s="7"/>
      <c r="D1002" s="7"/>
      <c r="E1002" s="7"/>
      <c r="F1002" s="7"/>
      <c r="G1002" s="7"/>
      <c r="H1002" s="7"/>
      <c r="I1002" s="8"/>
      <c r="J1002" s="8"/>
      <c r="P1002" s="10"/>
      <c r="Q1002" s="10"/>
      <c r="R1002" s="10"/>
      <c r="S1002" s="10"/>
      <c r="T1002" s="10"/>
      <c r="U1002" s="10"/>
      <c r="V1002" s="10"/>
      <c r="W1002" s="10"/>
      <c r="X1002" s="10"/>
      <c r="Z1002" s="10"/>
      <c r="AA1002" s="7"/>
      <c r="AB1002" s="7"/>
      <c r="AC1002" s="7"/>
      <c r="AD1002" s="7"/>
      <c r="AE1002" s="7"/>
      <c r="AF1002" s="7"/>
      <c r="AG1002" s="7"/>
      <c r="AH1002" s="7"/>
      <c r="AI1002" s="7"/>
    </row>
    <row r="1003" spans="1:35" ht="12.75" customHeight="1">
      <c r="A1003" s="7"/>
      <c r="B1003" s="7"/>
      <c r="C1003" s="7"/>
      <c r="D1003" s="7"/>
      <c r="E1003" s="7"/>
      <c r="F1003" s="7"/>
      <c r="G1003" s="7"/>
      <c r="H1003" s="7"/>
      <c r="I1003" s="8"/>
      <c r="J1003" s="8"/>
      <c r="P1003" s="10"/>
      <c r="Q1003" s="10"/>
      <c r="R1003" s="10"/>
      <c r="S1003" s="10"/>
      <c r="T1003" s="10"/>
      <c r="U1003" s="10"/>
      <c r="V1003" s="10"/>
      <c r="W1003" s="10"/>
      <c r="X1003" s="10"/>
      <c r="Z1003" s="10"/>
      <c r="AA1003" s="7"/>
      <c r="AB1003" s="7"/>
      <c r="AC1003" s="7"/>
      <c r="AD1003" s="7"/>
      <c r="AE1003" s="7"/>
      <c r="AF1003" s="7"/>
      <c r="AG1003" s="7"/>
      <c r="AH1003" s="7"/>
      <c r="AI1003" s="7"/>
    </row>
    <row r="1004" spans="1:35" ht="12.75" customHeight="1">
      <c r="A1004" s="7"/>
      <c r="B1004" s="7"/>
      <c r="C1004" s="7"/>
      <c r="D1004" s="7"/>
      <c r="E1004" s="7"/>
      <c r="F1004" s="7"/>
      <c r="G1004" s="7"/>
      <c r="H1004" s="7"/>
      <c r="I1004" s="8"/>
      <c r="J1004" s="8"/>
      <c r="P1004" s="10"/>
      <c r="Q1004" s="10"/>
      <c r="R1004" s="10"/>
      <c r="S1004" s="10"/>
      <c r="T1004" s="10"/>
      <c r="U1004" s="10"/>
      <c r="V1004" s="10"/>
      <c r="W1004" s="10"/>
      <c r="X1004" s="10"/>
      <c r="Z1004" s="10"/>
      <c r="AA1004" s="7"/>
      <c r="AB1004" s="7"/>
      <c r="AC1004" s="7"/>
      <c r="AD1004" s="7"/>
      <c r="AE1004" s="7"/>
      <c r="AF1004" s="7"/>
      <c r="AG1004" s="7"/>
      <c r="AH1004" s="7"/>
      <c r="AI1004" s="7"/>
    </row>
  </sheetData>
  <mergeCells count="21">
    <mergeCell ref="C1:AI1"/>
    <mergeCell ref="BY1:CJ1"/>
    <mergeCell ref="CK1:DD1"/>
    <mergeCell ref="CE2:CH2"/>
    <mergeCell ref="CI2:CJ2"/>
    <mergeCell ref="CK2:CR2"/>
    <mergeCell ref="CS2:CT2"/>
    <mergeCell ref="CU2:CW2"/>
    <mergeCell ref="AY2:BC2"/>
    <mergeCell ref="BL2:BP2"/>
    <mergeCell ref="BD2:BK2"/>
    <mergeCell ref="BQ2:BW2"/>
    <mergeCell ref="C2:J2"/>
    <mergeCell ref="K2:O2"/>
    <mergeCell ref="AJ1:BX1"/>
    <mergeCell ref="P2:AI2"/>
    <mergeCell ref="CX2:DD2"/>
    <mergeCell ref="AJ2:AX2"/>
    <mergeCell ref="BY2:CD2"/>
    <mergeCell ref="DG1:DH2"/>
    <mergeCell ref="DE1:DF2"/>
  </mergeCells>
  <conditionalFormatting sqref="B16">
    <cfRule type="colorScale" priority="2">
      <colorScale>
        <cfvo type="min"/>
        <cfvo type="max"/>
        <color rgb="FF57BB8A"/>
        <color rgb="FFFFFFFF"/>
      </colorScale>
    </cfRule>
  </conditionalFormatting>
  <conditionalFormatting sqref="B43">
    <cfRule type="colorScale" priority="1">
      <colorScale>
        <cfvo type="min"/>
        <cfvo type="max"/>
        <color rgb="FF57BB8A"/>
        <color rgb="FFFFFFFF"/>
      </colorScale>
    </cfRule>
  </conditionalFormatting>
  <pageMargins left="0.74791666666666701" right="0.74791666666666701" top="0.98402777777777795" bottom="0.98402777777777795" header="0" footer="0"/>
  <pageSetup paperSize="9"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B428A-FE15-894C-87D9-1D3A9E77EB5D}">
  <dimension ref="A1:D35"/>
  <sheetViews>
    <sheetView zoomScale="125" workbookViewId="0">
      <selection activeCell="C22" sqref="C22"/>
    </sheetView>
  </sheetViews>
  <sheetFormatPr baseColWidth="10" defaultRowHeight="14"/>
  <cols>
    <col min="1" max="1" width="12.796875" bestFit="1" customWidth="1"/>
    <col min="2" max="2" width="10.796875" customWidth="1"/>
    <col min="3" max="3" width="47" bestFit="1" customWidth="1"/>
    <col min="4" max="4" width="100.3984375" customWidth="1"/>
  </cols>
  <sheetData>
    <row r="1" spans="1:4">
      <c r="A1" s="200" t="s">
        <v>510</v>
      </c>
      <c r="B1" s="182" t="s">
        <v>528</v>
      </c>
      <c r="C1" s="182"/>
      <c r="D1" s="200" t="s">
        <v>569</v>
      </c>
    </row>
    <row r="2" spans="1:4">
      <c r="A2" s="220"/>
      <c r="B2" s="139" t="s">
        <v>527</v>
      </c>
      <c r="C2" s="139" t="s">
        <v>510</v>
      </c>
      <c r="D2" s="220"/>
    </row>
    <row r="3" spans="1:4">
      <c r="A3" t="s">
        <v>479</v>
      </c>
      <c r="B3" s="19" t="s">
        <v>518</v>
      </c>
      <c r="C3" s="19" t="s">
        <v>3</v>
      </c>
    </row>
    <row r="4" spans="1:4">
      <c r="A4" t="s">
        <v>480</v>
      </c>
      <c r="B4" s="19" t="s">
        <v>519</v>
      </c>
      <c r="C4" s="19" t="s">
        <v>2</v>
      </c>
    </row>
    <row r="5" spans="1:4">
      <c r="A5" t="s">
        <v>481</v>
      </c>
      <c r="B5" s="19" t="s">
        <v>520</v>
      </c>
      <c r="C5" s="19" t="s">
        <v>563</v>
      </c>
    </row>
    <row r="6" spans="1:4">
      <c r="A6" t="s">
        <v>482</v>
      </c>
      <c r="B6" s="19" t="s">
        <v>521</v>
      </c>
      <c r="C6" s="19" t="s">
        <v>705</v>
      </c>
    </row>
    <row r="7" spans="1:4">
      <c r="A7" t="s">
        <v>483</v>
      </c>
      <c r="B7" s="19" t="s">
        <v>522</v>
      </c>
      <c r="C7" s="19" t="s">
        <v>78</v>
      </c>
    </row>
    <row r="8" spans="1:4">
      <c r="A8" t="s">
        <v>484</v>
      </c>
      <c r="B8" s="19" t="s">
        <v>523</v>
      </c>
      <c r="C8" s="19" t="s">
        <v>238</v>
      </c>
    </row>
    <row r="9" spans="1:4">
      <c r="A9" t="s">
        <v>485</v>
      </c>
      <c r="B9" s="19" t="s">
        <v>524</v>
      </c>
      <c r="C9" s="19" t="s">
        <v>170</v>
      </c>
    </row>
    <row r="10" spans="1:4">
      <c r="A10" t="s">
        <v>486</v>
      </c>
      <c r="B10" s="19" t="s">
        <v>525</v>
      </c>
      <c r="C10" s="19" t="s">
        <v>171</v>
      </c>
      <c r="D10" s="19" t="s">
        <v>570</v>
      </c>
    </row>
    <row r="11" spans="1:4">
      <c r="A11" t="s">
        <v>487</v>
      </c>
      <c r="B11" s="19" t="s">
        <v>526</v>
      </c>
      <c r="C11" s="19" t="s">
        <v>463</v>
      </c>
      <c r="D11" s="19"/>
    </row>
    <row r="12" spans="1:4">
      <c r="A12" t="s">
        <v>283</v>
      </c>
      <c r="B12" s="19" t="s">
        <v>0</v>
      </c>
      <c r="C12" s="19" t="s">
        <v>0</v>
      </c>
    </row>
    <row r="13" spans="1:4">
      <c r="A13" t="s">
        <v>488</v>
      </c>
      <c r="B13" s="19" t="s">
        <v>529</v>
      </c>
      <c r="C13" s="19" t="s">
        <v>297</v>
      </c>
    </row>
    <row r="14" spans="1:4">
      <c r="A14" t="s">
        <v>489</v>
      </c>
      <c r="B14" s="19" t="s">
        <v>530</v>
      </c>
      <c r="C14" s="19" t="s">
        <v>265</v>
      </c>
    </row>
    <row r="15" spans="1:4">
      <c r="A15" t="s">
        <v>490</v>
      </c>
      <c r="B15" s="19" t="s">
        <v>0</v>
      </c>
      <c r="C15" s="19" t="s">
        <v>0</v>
      </c>
    </row>
    <row r="16" spans="1:4">
      <c r="A16" t="s">
        <v>491</v>
      </c>
      <c r="B16" s="19" t="s">
        <v>531</v>
      </c>
      <c r="C16" s="19" t="s">
        <v>249</v>
      </c>
    </row>
    <row r="17" spans="1:4">
      <c r="A17" t="s">
        <v>492</v>
      </c>
      <c r="B17" s="19" t="s">
        <v>529</v>
      </c>
      <c r="C17" s="19" t="s">
        <v>297</v>
      </c>
    </row>
    <row r="18" spans="1:4">
      <c r="A18" t="s">
        <v>493</v>
      </c>
      <c r="B18" s="19" t="s">
        <v>0</v>
      </c>
      <c r="C18" s="19" t="s">
        <v>0</v>
      </c>
    </row>
    <row r="19" spans="1:4">
      <c r="A19" t="s">
        <v>494</v>
      </c>
      <c r="B19" s="19" t="s">
        <v>533</v>
      </c>
      <c r="C19" s="19" t="s">
        <v>240</v>
      </c>
    </row>
    <row r="20" spans="1:4">
      <c r="A20" t="s">
        <v>495</v>
      </c>
      <c r="B20" s="19" t="s">
        <v>532</v>
      </c>
      <c r="C20" s="19" t="s">
        <v>263</v>
      </c>
    </row>
    <row r="21" spans="1:4">
      <c r="A21" t="s">
        <v>284</v>
      </c>
      <c r="B21" s="19" t="s">
        <v>0</v>
      </c>
      <c r="C21" s="19" t="s">
        <v>0</v>
      </c>
      <c r="D21" s="19"/>
    </row>
    <row r="22" spans="1:4">
      <c r="A22" t="s">
        <v>496</v>
      </c>
      <c r="B22" s="19" t="s">
        <v>560</v>
      </c>
      <c r="C22" s="19" t="s">
        <v>549</v>
      </c>
      <c r="D22" s="19" t="s">
        <v>568</v>
      </c>
    </row>
    <row r="23" spans="1:4">
      <c r="A23" t="s">
        <v>497</v>
      </c>
      <c r="B23" s="19" t="s">
        <v>531</v>
      </c>
      <c r="C23" s="19" t="s">
        <v>249</v>
      </c>
      <c r="D23" s="19" t="s">
        <v>568</v>
      </c>
    </row>
    <row r="24" spans="1:4">
      <c r="A24" t="s">
        <v>498</v>
      </c>
      <c r="B24" s="19" t="s">
        <v>0</v>
      </c>
      <c r="C24" s="19" t="s">
        <v>0</v>
      </c>
      <c r="D24" s="19"/>
    </row>
    <row r="25" spans="1:4">
      <c r="A25" t="s">
        <v>499</v>
      </c>
      <c r="B25" s="19" t="s">
        <v>534</v>
      </c>
      <c r="C25" s="19" t="s">
        <v>537</v>
      </c>
      <c r="D25" s="19" t="s">
        <v>568</v>
      </c>
    </row>
    <row r="26" spans="1:4">
      <c r="A26" t="s">
        <v>500</v>
      </c>
      <c r="B26" s="19" t="s">
        <v>533</v>
      </c>
      <c r="C26" s="19" t="s">
        <v>240</v>
      </c>
      <c r="D26" s="19" t="s">
        <v>568</v>
      </c>
    </row>
    <row r="27" spans="1:4">
      <c r="A27" t="s">
        <v>501</v>
      </c>
      <c r="B27" s="19" t="s">
        <v>0</v>
      </c>
      <c r="C27" s="19" t="s">
        <v>0</v>
      </c>
    </row>
    <row r="28" spans="1:4">
      <c r="A28" t="s">
        <v>502</v>
      </c>
      <c r="B28" s="19" t="s">
        <v>702</v>
      </c>
      <c r="C28" s="19" t="s">
        <v>547</v>
      </c>
      <c r="D28" s="19" t="s">
        <v>696</v>
      </c>
    </row>
    <row r="29" spans="1:4">
      <c r="A29" t="s">
        <v>503</v>
      </c>
      <c r="B29" s="19" t="s">
        <v>561</v>
      </c>
      <c r="C29" s="19" t="s">
        <v>697</v>
      </c>
      <c r="D29" s="19" t="s">
        <v>696</v>
      </c>
    </row>
    <row r="30" spans="1:4">
      <c r="A30" t="s">
        <v>504</v>
      </c>
      <c r="B30" s="19" t="s">
        <v>0</v>
      </c>
      <c r="C30" s="19" t="s">
        <v>0</v>
      </c>
    </row>
    <row r="31" spans="1:4">
      <c r="A31" t="s">
        <v>505</v>
      </c>
      <c r="B31" s="19" t="s">
        <v>562</v>
      </c>
      <c r="C31" s="19" t="s">
        <v>557</v>
      </c>
      <c r="D31" s="19" t="s">
        <v>696</v>
      </c>
    </row>
    <row r="32" spans="1:4">
      <c r="A32" t="s">
        <v>506</v>
      </c>
      <c r="B32" s="19" t="s">
        <v>567</v>
      </c>
      <c r="C32" s="19" t="s">
        <v>566</v>
      </c>
      <c r="D32" s="19" t="s">
        <v>696</v>
      </c>
    </row>
    <row r="33" spans="1:3">
      <c r="A33" t="s">
        <v>507</v>
      </c>
      <c r="B33" s="19" t="s">
        <v>0</v>
      </c>
      <c r="C33" s="19" t="s">
        <v>0</v>
      </c>
    </row>
    <row r="34" spans="1:3">
      <c r="A34" t="s">
        <v>508</v>
      </c>
      <c r="B34" s="19" t="s">
        <v>535</v>
      </c>
      <c r="C34" s="19" t="s">
        <v>539</v>
      </c>
    </row>
    <row r="35" spans="1:3">
      <c r="A35" t="s">
        <v>509</v>
      </c>
      <c r="B35" s="19" t="s">
        <v>533</v>
      </c>
      <c r="C35" s="19" t="s">
        <v>240</v>
      </c>
    </row>
  </sheetData>
  <mergeCells count="3">
    <mergeCell ref="B1:C1"/>
    <mergeCell ref="A1:A2"/>
    <mergeCell ref="D1:D2"/>
  </mergeCells>
  <pageMargins left="0.7" right="0.7" top="0.75" bottom="0.75" header="0.3" footer="0.3"/>
  <pageSetup orientation="portrait" horizontalDpi="0" verticalDpi="0"/>
  <legacyDrawing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References</vt:lpstr>
      <vt:lpstr>Quality assessment</vt:lpstr>
      <vt:lpstr>Data extracted</vt:lpstr>
      <vt:lpstr>Mapping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Lukas Brümmer</dc:creator>
  <cp:keywords/>
  <dc:description/>
  <cp:lastModifiedBy>Lukas Brümmer</cp:lastModifiedBy>
  <cp:revision/>
  <cp:lastPrinted>2025-07-19T08:05:46Z</cp:lastPrinted>
  <dcterms:created xsi:type="dcterms:W3CDTF">2023-05-15T12:25:19Z</dcterms:created>
  <dcterms:modified xsi:type="dcterms:W3CDTF">2026-02-15T10:34:50Z</dcterms:modified>
  <cp:category/>
  <cp:contentStatus/>
</cp:coreProperties>
</file>